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30" windowWidth="20220" windowHeight="11985" firstSheet="2" activeTab="3"/>
  </bookViews>
  <sheets>
    <sheet name="May" sheetId="12" state="hidden" r:id="rId1"/>
    <sheet name="June" sheetId="15" state="hidden" r:id="rId2"/>
    <sheet name="WholeDayAllCols" sheetId="9" r:id="rId3"/>
    <sheet name="Custom Data" sheetId="18" r:id="rId4"/>
    <sheet name="Custom Full" sheetId="21" r:id="rId5"/>
    <sheet name="ManualCpy" sheetId="22" r:id="rId6"/>
    <sheet name="Paste" sheetId="23" r:id="rId7"/>
    <sheet name="MissingDays" sheetId="24" r:id="rId8"/>
  </sheets>
  <definedNames>
    <definedName name="ExternalData_1" localSheetId="3" hidden="1">'Custom Data'!$A$1:$H$82</definedName>
    <definedName name="ExternalData_1" localSheetId="4" hidden="1">'Custom Full'!$A$1:$F$1887</definedName>
    <definedName name="ExternalData_1" localSheetId="5" hidden="1">ManualCpy!$A$1:$G$159</definedName>
  </definedNames>
  <calcPr calcId="145621"/>
</workbook>
</file>

<file path=xl/calcChain.xml><?xml version="1.0" encoding="utf-8"?>
<calcChain xmlns="http://schemas.openxmlformats.org/spreadsheetml/2006/main">
  <c r="I2" i="22" l="1"/>
  <c r="I3" i="22"/>
  <c r="G2" i="9" l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H81" i="9"/>
  <c r="I81" i="9"/>
  <c r="N81" i="9"/>
  <c r="G82" i="9"/>
  <c r="H82" i="9"/>
  <c r="I82" i="9"/>
  <c r="N82" i="9"/>
  <c r="A160" i="9" l="1"/>
  <c r="G160" i="9"/>
  <c r="H160" i="9"/>
  <c r="I160" i="9"/>
  <c r="N160" i="9"/>
  <c r="G161" i="9"/>
  <c r="H161" i="9"/>
  <c r="I161" i="9"/>
  <c r="N161" i="9"/>
  <c r="G162" i="9"/>
  <c r="H162" i="9"/>
  <c r="I162" i="9"/>
  <c r="N162" i="9"/>
  <c r="A238" i="9" l="1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N229" i="9" l="1"/>
  <c r="N230" i="9"/>
  <c r="N231" i="9"/>
  <c r="N232" i="9"/>
  <c r="N233" i="9"/>
  <c r="N234" i="9"/>
  <c r="N235" i="9"/>
  <c r="N236" i="9"/>
  <c r="N237" i="9"/>
  <c r="N238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G237" i="9"/>
  <c r="G235" i="9"/>
  <c r="G232" i="9"/>
  <c r="N152" i="9"/>
  <c r="N153" i="9"/>
  <c r="N154" i="9"/>
  <c r="N155" i="9"/>
  <c r="N156" i="9"/>
  <c r="N157" i="9"/>
  <c r="N158" i="9"/>
  <c r="N159" i="9"/>
  <c r="I155" i="9"/>
  <c r="I156" i="9"/>
  <c r="I157" i="9"/>
  <c r="I158" i="9"/>
  <c r="I159" i="9"/>
  <c r="A158" i="9"/>
  <c r="A156" i="9"/>
  <c r="G158" i="9"/>
  <c r="G156" i="9"/>
  <c r="I152" i="9"/>
  <c r="I153" i="9"/>
  <c r="I154" i="9"/>
  <c r="A153" i="9"/>
  <c r="I150" i="9"/>
  <c r="I151" i="9"/>
  <c r="I163" i="9"/>
  <c r="I164" i="9"/>
  <c r="I165" i="9"/>
  <c r="G153" i="9"/>
  <c r="A79" i="9"/>
  <c r="A77" i="9"/>
  <c r="A74" i="9"/>
  <c r="I166" i="9" l="1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N163" i="9" l="1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5" i="9"/>
  <c r="A76" i="9"/>
  <c r="A78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4" i="9"/>
  <c r="A155" i="9"/>
  <c r="A157" i="9"/>
  <c r="A159" i="9"/>
  <c r="A3" i="9"/>
  <c r="G83" i="9" l="1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4" i="9"/>
  <c r="G155" i="9"/>
  <c r="G157" i="9"/>
  <c r="G159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3" i="9"/>
  <c r="G234" i="9"/>
  <c r="G236" i="9"/>
  <c r="G238" i="9"/>
  <c r="S8" i="18" l="1"/>
  <c r="S5" i="18"/>
  <c r="S2" i="18"/>
  <c r="E2171" i="15" l="1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2366" i="15"/>
  <c r="E2367" i="15"/>
  <c r="E2368" i="15"/>
  <c r="E2369" i="15"/>
  <c r="E2370" i="15"/>
  <c r="E2371" i="15"/>
  <c r="E2372" i="15"/>
  <c r="E2373" i="15"/>
  <c r="E2374" i="15"/>
  <c r="E2375" i="15"/>
  <c r="E2376" i="15"/>
  <c r="E2377" i="15"/>
  <c r="E2378" i="15"/>
  <c r="E2379" i="15"/>
  <c r="E2380" i="15"/>
  <c r="E2381" i="15"/>
  <c r="E2382" i="15"/>
  <c r="E2383" i="15"/>
  <c r="E2384" i="15"/>
  <c r="E2385" i="15"/>
  <c r="E2386" i="15"/>
  <c r="E2387" i="15"/>
  <c r="E2388" i="15"/>
  <c r="E2389" i="15"/>
  <c r="E2390" i="15"/>
  <c r="E2391" i="15"/>
  <c r="E2392" i="15"/>
  <c r="E2393" i="15"/>
  <c r="E2394" i="15"/>
  <c r="E2395" i="15"/>
  <c r="E2396" i="15"/>
  <c r="E2397" i="15"/>
  <c r="E2398" i="15"/>
  <c r="E2170" i="15" l="1"/>
  <c r="E2169" i="15"/>
  <c r="E2167" i="15"/>
  <c r="E2166" i="15"/>
  <c r="E2164" i="15"/>
  <c r="E2163" i="15"/>
  <c r="E2161" i="15"/>
  <c r="E2160" i="15"/>
  <c r="E2158" i="15"/>
  <c r="E2157" i="15"/>
  <c r="E2155" i="15"/>
  <c r="E2154" i="15"/>
  <c r="E2152" i="15"/>
  <c r="E2151" i="15"/>
  <c r="E2149" i="15"/>
  <c r="E2148" i="15"/>
  <c r="E2146" i="15"/>
  <c r="E2145" i="15"/>
  <c r="E2143" i="15"/>
  <c r="E2142" i="15"/>
  <c r="E2140" i="15"/>
  <c r="E2139" i="15"/>
  <c r="E2137" i="15"/>
  <c r="E2136" i="15"/>
  <c r="E2134" i="15"/>
  <c r="E2133" i="15"/>
  <c r="E2131" i="15"/>
  <c r="E2130" i="15"/>
  <c r="E2128" i="15"/>
  <c r="E2127" i="15"/>
  <c r="E2125" i="15"/>
  <c r="E2124" i="15"/>
  <c r="E2122" i="15"/>
  <c r="E2121" i="15"/>
  <c r="E2119" i="15"/>
  <c r="E2118" i="15"/>
  <c r="E2116" i="15"/>
  <c r="E2115" i="15"/>
  <c r="E2113" i="15"/>
  <c r="E2112" i="15"/>
  <c r="E2110" i="15"/>
  <c r="E2109" i="15"/>
  <c r="E2107" i="15"/>
  <c r="E2106" i="15"/>
  <c r="E2104" i="15"/>
  <c r="E2103" i="15"/>
  <c r="E2101" i="15"/>
  <c r="E2100" i="15"/>
  <c r="E2098" i="15"/>
  <c r="E2097" i="15"/>
  <c r="E2095" i="15"/>
  <c r="E2094" i="15"/>
  <c r="E2092" i="15"/>
  <c r="E2091" i="15"/>
  <c r="E2089" i="15"/>
  <c r="E2088" i="15"/>
  <c r="E2086" i="15"/>
  <c r="E2085" i="15"/>
  <c r="E2083" i="15"/>
  <c r="E2082" i="15"/>
  <c r="E2080" i="15"/>
  <c r="E2079" i="15"/>
  <c r="E2077" i="15"/>
  <c r="E2076" i="15"/>
  <c r="E2074" i="15"/>
  <c r="E2073" i="15"/>
  <c r="E2071" i="15"/>
  <c r="E2070" i="15"/>
  <c r="E2068" i="15"/>
  <c r="E2067" i="15"/>
  <c r="E2065" i="15"/>
  <c r="E2064" i="15"/>
  <c r="E2168" i="15"/>
  <c r="E2165" i="15"/>
  <c r="E2162" i="15"/>
  <c r="E2159" i="15"/>
  <c r="E2156" i="15"/>
  <c r="E2153" i="15"/>
  <c r="E2150" i="15"/>
  <c r="E2147" i="15"/>
  <c r="E2144" i="15"/>
  <c r="E2141" i="15"/>
  <c r="E2138" i="15"/>
  <c r="E2135" i="15"/>
  <c r="E2132" i="15"/>
  <c r="E2129" i="15"/>
  <c r="E2126" i="15"/>
  <c r="E2123" i="15"/>
  <c r="E2120" i="15"/>
  <c r="E2117" i="15"/>
  <c r="E2114" i="15"/>
  <c r="E2111" i="15"/>
  <c r="E2108" i="15"/>
  <c r="E2105" i="15"/>
  <c r="E2102" i="15"/>
  <c r="E2099" i="15"/>
  <c r="E2096" i="15"/>
  <c r="E2093" i="15"/>
  <c r="E2090" i="15"/>
  <c r="E2087" i="15"/>
  <c r="E2084" i="15"/>
  <c r="E2081" i="15"/>
  <c r="E2078" i="15"/>
  <c r="E2075" i="15"/>
  <c r="E2072" i="15"/>
  <c r="E2069" i="15"/>
  <c r="E2066" i="15"/>
  <c r="E2063" i="15"/>
  <c r="E2062" i="15"/>
  <c r="E2061" i="15"/>
  <c r="E2059" i="15"/>
  <c r="E2058" i="15"/>
  <c r="E2056" i="15"/>
  <c r="E2055" i="15"/>
  <c r="E2053" i="15"/>
  <c r="E2052" i="15"/>
  <c r="E2050" i="15"/>
  <c r="E2049" i="15"/>
  <c r="E2047" i="15"/>
  <c r="E2046" i="15"/>
  <c r="E2044" i="15"/>
  <c r="E2043" i="15"/>
  <c r="E2041" i="15"/>
  <c r="E2040" i="15"/>
  <c r="E2038" i="15"/>
  <c r="E2037" i="15"/>
  <c r="E2035" i="15"/>
  <c r="E2034" i="15"/>
  <c r="E2032" i="15"/>
  <c r="E2031" i="15"/>
  <c r="E2029" i="15"/>
  <c r="E2028" i="15"/>
  <c r="E2026" i="15"/>
  <c r="E2025" i="15"/>
  <c r="E2023" i="15"/>
  <c r="E2022" i="15"/>
  <c r="E2020" i="15"/>
  <c r="E2019" i="15"/>
  <c r="E2017" i="15"/>
  <c r="E2016" i="15"/>
  <c r="E2014" i="15"/>
  <c r="E2013" i="15"/>
  <c r="E2011" i="15"/>
  <c r="E2010" i="15"/>
  <c r="E2008" i="15"/>
  <c r="E2007" i="15"/>
  <c r="E2005" i="15"/>
  <c r="E2004" i="15"/>
  <c r="E2002" i="15"/>
  <c r="E2001" i="15"/>
  <c r="E1999" i="15"/>
  <c r="E1998" i="15"/>
  <c r="E1996" i="15"/>
  <c r="E1995" i="15"/>
  <c r="E1993" i="15"/>
  <c r="E1992" i="15"/>
  <c r="E1990" i="15"/>
  <c r="E1989" i="15"/>
  <c r="E1987" i="15"/>
  <c r="E1986" i="15"/>
  <c r="E1984" i="15"/>
  <c r="E1983" i="15"/>
  <c r="E1981" i="15"/>
  <c r="E1980" i="15"/>
  <c r="E1978" i="15"/>
  <c r="E1977" i="15"/>
  <c r="E1975" i="15"/>
  <c r="E1974" i="15"/>
  <c r="E1972" i="15"/>
  <c r="E1971" i="15"/>
  <c r="E1969" i="15"/>
  <c r="E1968" i="15"/>
  <c r="E1966" i="15"/>
  <c r="E1965" i="15"/>
  <c r="E1963" i="15"/>
  <c r="E1962" i="15"/>
  <c r="E1960" i="15"/>
  <c r="E1959" i="15"/>
  <c r="E1957" i="15"/>
  <c r="E1956" i="15"/>
  <c r="E1954" i="15"/>
  <c r="E1953" i="15"/>
  <c r="E2060" i="15"/>
  <c r="E2057" i="15"/>
  <c r="E2054" i="15"/>
  <c r="E2051" i="15"/>
  <c r="E2048" i="15"/>
  <c r="E2045" i="15"/>
  <c r="E2042" i="15"/>
  <c r="E2039" i="15"/>
  <c r="E2036" i="15"/>
  <c r="E2033" i="15"/>
  <c r="E2030" i="15"/>
  <c r="E2027" i="15"/>
  <c r="E2024" i="15"/>
  <c r="E2021" i="15"/>
  <c r="E2018" i="15"/>
  <c r="E2015" i="15"/>
  <c r="E2012" i="15"/>
  <c r="E2009" i="15"/>
  <c r="E2006" i="15"/>
  <c r="E2003" i="15"/>
  <c r="E2000" i="15"/>
  <c r="E1997" i="15"/>
  <c r="E1994" i="15"/>
  <c r="E1991" i="15"/>
  <c r="E1988" i="15"/>
  <c r="E1985" i="15"/>
  <c r="E1982" i="15"/>
  <c r="E1979" i="15"/>
  <c r="E1976" i="15"/>
  <c r="E1973" i="15"/>
  <c r="E1970" i="15"/>
  <c r="E1967" i="15"/>
  <c r="E1964" i="15"/>
  <c r="E1961" i="15"/>
  <c r="E1958" i="15"/>
  <c r="E1955" i="15"/>
  <c r="E1952" i="15"/>
  <c r="E1951" i="15"/>
  <c r="E1950" i="15"/>
  <c r="E1948" i="15"/>
  <c r="E1947" i="15"/>
  <c r="E1945" i="15"/>
  <c r="E1944" i="15"/>
  <c r="E1942" i="15"/>
  <c r="E1941" i="15"/>
  <c r="E1939" i="15"/>
  <c r="E1938" i="15"/>
  <c r="E1936" i="15"/>
  <c r="E1935" i="15"/>
  <c r="E1933" i="15"/>
  <c r="E1932" i="15"/>
  <c r="E1930" i="15"/>
  <c r="E1929" i="15"/>
  <c r="E1927" i="15"/>
  <c r="E1926" i="15"/>
  <c r="E1924" i="15"/>
  <c r="E1923" i="15"/>
  <c r="E1921" i="15"/>
  <c r="E1920" i="15"/>
  <c r="E1918" i="15"/>
  <c r="E1917" i="15"/>
  <c r="E1915" i="15"/>
  <c r="E1914" i="15"/>
  <c r="E1912" i="15"/>
  <c r="E1911" i="15"/>
  <c r="E1909" i="15"/>
  <c r="E1908" i="15"/>
  <c r="E1906" i="15"/>
  <c r="E1905" i="15"/>
  <c r="E1903" i="15"/>
  <c r="E1902" i="15"/>
  <c r="E1900" i="15"/>
  <c r="E1899" i="15"/>
  <c r="E1897" i="15"/>
  <c r="E1896" i="15"/>
  <c r="E1894" i="15"/>
  <c r="E1893" i="15"/>
  <c r="E1891" i="15"/>
  <c r="E1890" i="15"/>
  <c r="E1888" i="15"/>
  <c r="E1887" i="15"/>
  <c r="E1885" i="15"/>
  <c r="E1884" i="15"/>
  <c r="E1882" i="15"/>
  <c r="E1881" i="15"/>
  <c r="E1879" i="15"/>
  <c r="E1878" i="15"/>
  <c r="E1876" i="15"/>
  <c r="E1875" i="15"/>
  <c r="E1873" i="15"/>
  <c r="E1872" i="15"/>
  <c r="E1870" i="15"/>
  <c r="E1869" i="15"/>
  <c r="E1867" i="15"/>
  <c r="E1866" i="15"/>
  <c r="E1864" i="15"/>
  <c r="E1863" i="15"/>
  <c r="E1861" i="15"/>
  <c r="E1860" i="15"/>
  <c r="E1858" i="15"/>
  <c r="E1857" i="15"/>
  <c r="E1855" i="15"/>
  <c r="E1854" i="15"/>
  <c r="E1852" i="15"/>
  <c r="E1851" i="15"/>
  <c r="E1849" i="15"/>
  <c r="E1848" i="15"/>
  <c r="E1846" i="15"/>
  <c r="E1845" i="15"/>
  <c r="E1843" i="15"/>
  <c r="E1842" i="15"/>
  <c r="E1840" i="15"/>
  <c r="E1839" i="15"/>
  <c r="E1837" i="15"/>
  <c r="E1836" i="15"/>
  <c r="E1949" i="15"/>
  <c r="E1946" i="15"/>
  <c r="E1943" i="15"/>
  <c r="E1940" i="15"/>
  <c r="E1937" i="15"/>
  <c r="E1934" i="15"/>
  <c r="E1931" i="15"/>
  <c r="E1928" i="15"/>
  <c r="E1925" i="15"/>
  <c r="E1922" i="15"/>
  <c r="E1919" i="15"/>
  <c r="E1916" i="15"/>
  <c r="E1913" i="15"/>
  <c r="E1910" i="15"/>
  <c r="E1907" i="15"/>
  <c r="E1904" i="15"/>
  <c r="E1901" i="15"/>
  <c r="E1898" i="15"/>
  <c r="E1895" i="15"/>
  <c r="E1892" i="15"/>
  <c r="E1889" i="15"/>
  <c r="E1886" i="15"/>
  <c r="E1883" i="15"/>
  <c r="E1880" i="15"/>
  <c r="E1877" i="15"/>
  <c r="E1874" i="15"/>
  <c r="E1871" i="15"/>
  <c r="E1868" i="15"/>
  <c r="E1865" i="15"/>
  <c r="E1862" i="15"/>
  <c r="E1859" i="15"/>
  <c r="E1856" i="15"/>
  <c r="E1853" i="15"/>
  <c r="E1850" i="15"/>
  <c r="E1847" i="15"/>
  <c r="E1844" i="15"/>
  <c r="E1841" i="15"/>
  <c r="E1838" i="15"/>
  <c r="E1835" i="15"/>
  <c r="E1834" i="15" l="1"/>
  <c r="E1833" i="15"/>
  <c r="E1831" i="15"/>
  <c r="E1830" i="15"/>
  <c r="E1828" i="15"/>
  <c r="E1827" i="15"/>
  <c r="E1825" i="15"/>
  <c r="E1824" i="15"/>
  <c r="E1822" i="15"/>
  <c r="E1821" i="15"/>
  <c r="E1819" i="15"/>
  <c r="E1818" i="15"/>
  <c r="E1816" i="15"/>
  <c r="E1815" i="15"/>
  <c r="E1813" i="15"/>
  <c r="E1812" i="15"/>
  <c r="E1810" i="15"/>
  <c r="E1809" i="15"/>
  <c r="E1807" i="15"/>
  <c r="E1806" i="15"/>
  <c r="E1804" i="15"/>
  <c r="E1803" i="15"/>
  <c r="E1801" i="15"/>
  <c r="E1800" i="15"/>
  <c r="E1798" i="15"/>
  <c r="E1797" i="15"/>
  <c r="E1795" i="15"/>
  <c r="E1794" i="15"/>
  <c r="E1792" i="15"/>
  <c r="E1791" i="15"/>
  <c r="E1789" i="15"/>
  <c r="E1788" i="15"/>
  <c r="E1786" i="15"/>
  <c r="E1785" i="15"/>
  <c r="E1783" i="15"/>
  <c r="E1782" i="15"/>
  <c r="E1780" i="15"/>
  <c r="E1779" i="15"/>
  <c r="E1777" i="15"/>
  <c r="E1776" i="15"/>
  <c r="E1774" i="15"/>
  <c r="E1773" i="15"/>
  <c r="E1771" i="15"/>
  <c r="E1770" i="15"/>
  <c r="E1768" i="15"/>
  <c r="E1767" i="15"/>
  <c r="E1765" i="15"/>
  <c r="E1764" i="15"/>
  <c r="E1762" i="15"/>
  <c r="E1761" i="15"/>
  <c r="E1759" i="15"/>
  <c r="E1758" i="15"/>
  <c r="E1756" i="15"/>
  <c r="E1755" i="15"/>
  <c r="E1753" i="15"/>
  <c r="E1752" i="15"/>
  <c r="E1750" i="15"/>
  <c r="E1749" i="15"/>
  <c r="E1747" i="15"/>
  <c r="E1746" i="15"/>
  <c r="E1744" i="15"/>
  <c r="E1743" i="15"/>
  <c r="E1741" i="15"/>
  <c r="E1740" i="15"/>
  <c r="E1738" i="15"/>
  <c r="E1737" i="15"/>
  <c r="E1735" i="15"/>
  <c r="E1734" i="15"/>
  <c r="E1732" i="15"/>
  <c r="E1731" i="15"/>
  <c r="E1729" i="15"/>
  <c r="E1728" i="15"/>
  <c r="E1726" i="15"/>
  <c r="E1725" i="15"/>
  <c r="E1832" i="15"/>
  <c r="E1829" i="15"/>
  <c r="E1826" i="15"/>
  <c r="E1823" i="15"/>
  <c r="E1820" i="15"/>
  <c r="E1817" i="15"/>
  <c r="E1814" i="15"/>
  <c r="E1811" i="15"/>
  <c r="E1808" i="15"/>
  <c r="E1805" i="15"/>
  <c r="E1802" i="15"/>
  <c r="E1799" i="15"/>
  <c r="E1796" i="15"/>
  <c r="E1793" i="15"/>
  <c r="E1790" i="15"/>
  <c r="E1787" i="15"/>
  <c r="E1784" i="15"/>
  <c r="E1781" i="15"/>
  <c r="E1778" i="15"/>
  <c r="E1775" i="15"/>
  <c r="E1772" i="15"/>
  <c r="E1769" i="15"/>
  <c r="E1766" i="15"/>
  <c r="E1763" i="15"/>
  <c r="E1760" i="15"/>
  <c r="E1757" i="15"/>
  <c r="E1754" i="15"/>
  <c r="E1751" i="15"/>
  <c r="E1748" i="15"/>
  <c r="E1745" i="15"/>
  <c r="E1742" i="15"/>
  <c r="E1739" i="15"/>
  <c r="E1736" i="15"/>
  <c r="E1733" i="15"/>
  <c r="E1730" i="15"/>
  <c r="E1727" i="15"/>
  <c r="E1724" i="15"/>
  <c r="E1723" i="15" l="1"/>
  <c r="E1722" i="15"/>
  <c r="E1720" i="15"/>
  <c r="E1719" i="15"/>
  <c r="E1717" i="15"/>
  <c r="E1716" i="15"/>
  <c r="E1714" i="15"/>
  <c r="E1713" i="15"/>
  <c r="E1711" i="15"/>
  <c r="E1710" i="15"/>
  <c r="E1708" i="15"/>
  <c r="E1707" i="15"/>
  <c r="E1705" i="15"/>
  <c r="E1704" i="15"/>
  <c r="E1702" i="15"/>
  <c r="E1701" i="15"/>
  <c r="E1699" i="15"/>
  <c r="E1698" i="15"/>
  <c r="E1696" i="15"/>
  <c r="E1695" i="15"/>
  <c r="E1693" i="15"/>
  <c r="E1692" i="15"/>
  <c r="E1690" i="15"/>
  <c r="E1689" i="15"/>
  <c r="E1687" i="15"/>
  <c r="E1686" i="15"/>
  <c r="E1684" i="15"/>
  <c r="E1683" i="15"/>
  <c r="E1681" i="15"/>
  <c r="E1680" i="15"/>
  <c r="E1678" i="15"/>
  <c r="E1677" i="15"/>
  <c r="E1675" i="15"/>
  <c r="E1674" i="15"/>
  <c r="E1672" i="15"/>
  <c r="E1671" i="15"/>
  <c r="E1669" i="15"/>
  <c r="E1668" i="15"/>
  <c r="E1666" i="15"/>
  <c r="E1665" i="15"/>
  <c r="E1663" i="15"/>
  <c r="E1662" i="15"/>
  <c r="E1660" i="15"/>
  <c r="E1659" i="15"/>
  <c r="E1657" i="15"/>
  <c r="E1656" i="15"/>
  <c r="E1654" i="15"/>
  <c r="E1653" i="15"/>
  <c r="E1651" i="15"/>
  <c r="E1650" i="15"/>
  <c r="E1648" i="15"/>
  <c r="E1647" i="15"/>
  <c r="E1645" i="15"/>
  <c r="E1644" i="15"/>
  <c r="E1642" i="15"/>
  <c r="E1641" i="15"/>
  <c r="E1639" i="15"/>
  <c r="E1638" i="15"/>
  <c r="E1636" i="15"/>
  <c r="E1635" i="15"/>
  <c r="E1633" i="15"/>
  <c r="E1632" i="15"/>
  <c r="E1630" i="15"/>
  <c r="E1629" i="15"/>
  <c r="E1627" i="15"/>
  <c r="E1626" i="15"/>
  <c r="E1624" i="15"/>
  <c r="E1623" i="15"/>
  <c r="E1621" i="15"/>
  <c r="E1620" i="15"/>
  <c r="E1618" i="15"/>
  <c r="E1617" i="15"/>
  <c r="E1615" i="15"/>
  <c r="E1614" i="15"/>
  <c r="E1721" i="15"/>
  <c r="E1718" i="15"/>
  <c r="E1715" i="15"/>
  <c r="E1712" i="15"/>
  <c r="E1709" i="15"/>
  <c r="E1706" i="15"/>
  <c r="E1703" i="15"/>
  <c r="E1700" i="15"/>
  <c r="E1697" i="15"/>
  <c r="E1694" i="15"/>
  <c r="E1691" i="15"/>
  <c r="E1688" i="15"/>
  <c r="E1685" i="15"/>
  <c r="E1682" i="15"/>
  <c r="E1679" i="15"/>
  <c r="E1676" i="15"/>
  <c r="E1673" i="15"/>
  <c r="E1670" i="15"/>
  <c r="E1667" i="15"/>
  <c r="E1664" i="15"/>
  <c r="E1661" i="15"/>
  <c r="E1658" i="15"/>
  <c r="E1655" i="15"/>
  <c r="E1652" i="15"/>
  <c r="E1649" i="15"/>
  <c r="E1646" i="15"/>
  <c r="E1643" i="15"/>
  <c r="E1640" i="15"/>
  <c r="E1637" i="15"/>
  <c r="E1634" i="15"/>
  <c r="E1631" i="15"/>
  <c r="E1628" i="15"/>
  <c r="E1625" i="15"/>
  <c r="E1622" i="15"/>
  <c r="E1619" i="15"/>
  <c r="E1616" i="15"/>
  <c r="E1613" i="15"/>
  <c r="E1612" i="15"/>
  <c r="E1611" i="15"/>
  <c r="E1609" i="15"/>
  <c r="E1608" i="15"/>
  <c r="E1606" i="15"/>
  <c r="E1605" i="15"/>
  <c r="E1603" i="15"/>
  <c r="E1602" i="15"/>
  <c r="E1600" i="15"/>
  <c r="E1599" i="15"/>
  <c r="E1597" i="15"/>
  <c r="E1596" i="15"/>
  <c r="E1594" i="15"/>
  <c r="E1593" i="15"/>
  <c r="E1591" i="15"/>
  <c r="E1590" i="15"/>
  <c r="E1588" i="15"/>
  <c r="E1587" i="15"/>
  <c r="E1585" i="15"/>
  <c r="E1584" i="15"/>
  <c r="E1582" i="15"/>
  <c r="E1581" i="15"/>
  <c r="E1579" i="15"/>
  <c r="E1578" i="15"/>
  <c r="E1576" i="15"/>
  <c r="E1575" i="15"/>
  <c r="E1573" i="15"/>
  <c r="E1572" i="15"/>
  <c r="E1570" i="15"/>
  <c r="E1569" i="15"/>
  <c r="E1567" i="15"/>
  <c r="E1566" i="15"/>
  <c r="E1564" i="15"/>
  <c r="E1563" i="15"/>
  <c r="E1561" i="15"/>
  <c r="E1560" i="15"/>
  <c r="E1558" i="15"/>
  <c r="E1557" i="15"/>
  <c r="E1555" i="15"/>
  <c r="E1554" i="15"/>
  <c r="E1552" i="15"/>
  <c r="E1551" i="15"/>
  <c r="E1549" i="15"/>
  <c r="E1548" i="15"/>
  <c r="E1546" i="15"/>
  <c r="E1545" i="15"/>
  <c r="E1543" i="15"/>
  <c r="E1542" i="15"/>
  <c r="E1540" i="15"/>
  <c r="E1539" i="15"/>
  <c r="E1537" i="15"/>
  <c r="E1536" i="15"/>
  <c r="E1534" i="15"/>
  <c r="E1533" i="15"/>
  <c r="E1531" i="15"/>
  <c r="E1530" i="15"/>
  <c r="E1528" i="15"/>
  <c r="E1527" i="15"/>
  <c r="E1525" i="15"/>
  <c r="E1524" i="15"/>
  <c r="E1522" i="15"/>
  <c r="E1521" i="15"/>
  <c r="E1519" i="15"/>
  <c r="E1518" i="15"/>
  <c r="E1516" i="15"/>
  <c r="E1515" i="15"/>
  <c r="E1513" i="15"/>
  <c r="E1512" i="15"/>
  <c r="E1510" i="15"/>
  <c r="E1509" i="15"/>
  <c r="E1507" i="15"/>
  <c r="E1506" i="15"/>
  <c r="E1504" i="15"/>
  <c r="E1503" i="15"/>
  <c r="E1610" i="15"/>
  <c r="E1607" i="15"/>
  <c r="E1604" i="15"/>
  <c r="E1601" i="15"/>
  <c r="E1598" i="15"/>
  <c r="E1595" i="15"/>
  <c r="E1592" i="15"/>
  <c r="E1589" i="15"/>
  <c r="E1586" i="15"/>
  <c r="E1583" i="15"/>
  <c r="E1580" i="15"/>
  <c r="E1577" i="15"/>
  <c r="E1574" i="15"/>
  <c r="E1571" i="15"/>
  <c r="E1568" i="15"/>
  <c r="E1565" i="15"/>
  <c r="E1562" i="15"/>
  <c r="E1559" i="15"/>
  <c r="E1556" i="15"/>
  <c r="E1553" i="15"/>
  <c r="E1550" i="15"/>
  <c r="E1547" i="15"/>
  <c r="E1544" i="15"/>
  <c r="E1541" i="15"/>
  <c r="E1538" i="15"/>
  <c r="E1535" i="15"/>
  <c r="E1532" i="15"/>
  <c r="E1529" i="15"/>
  <c r="E1526" i="15"/>
  <c r="E1523" i="15"/>
  <c r="E1520" i="15"/>
  <c r="E1517" i="15"/>
  <c r="E1514" i="15"/>
  <c r="E1511" i="15"/>
  <c r="E1508" i="15"/>
  <c r="E1505" i="15"/>
  <c r="E1502" i="15"/>
  <c r="E1501" i="15"/>
  <c r="E1500" i="15"/>
  <c r="E1498" i="15"/>
  <c r="E1497" i="15"/>
  <c r="E1495" i="15"/>
  <c r="E1494" i="15"/>
  <c r="E1492" i="15"/>
  <c r="E1491" i="15"/>
  <c r="E1489" i="15"/>
  <c r="E1488" i="15"/>
  <c r="E1486" i="15"/>
  <c r="E1485" i="15"/>
  <c r="E1483" i="15"/>
  <c r="E1482" i="15"/>
  <c r="E1480" i="15"/>
  <c r="E1479" i="15"/>
  <c r="E1477" i="15"/>
  <c r="E1476" i="15"/>
  <c r="E1474" i="15"/>
  <c r="E1473" i="15"/>
  <c r="E1471" i="15"/>
  <c r="E1470" i="15"/>
  <c r="E1468" i="15"/>
  <c r="E1467" i="15"/>
  <c r="E1465" i="15"/>
  <c r="E1464" i="15"/>
  <c r="E1462" i="15"/>
  <c r="E1461" i="15"/>
  <c r="E1459" i="15"/>
  <c r="E1458" i="15"/>
  <c r="E1456" i="15"/>
  <c r="E1455" i="15"/>
  <c r="E1453" i="15"/>
  <c r="E1452" i="15"/>
  <c r="E1450" i="15"/>
  <c r="E1449" i="15"/>
  <c r="E1447" i="15"/>
  <c r="E1446" i="15"/>
  <c r="E1444" i="15"/>
  <c r="E1443" i="15"/>
  <c r="E1441" i="15"/>
  <c r="E1440" i="15"/>
  <c r="E1438" i="15"/>
  <c r="E1437" i="15"/>
  <c r="E1435" i="15"/>
  <c r="E1434" i="15"/>
  <c r="E1432" i="15"/>
  <c r="E1431" i="15"/>
  <c r="E1429" i="15"/>
  <c r="E1428" i="15"/>
  <c r="E1426" i="15"/>
  <c r="E1425" i="15"/>
  <c r="E1423" i="15"/>
  <c r="E1422" i="15"/>
  <c r="E1420" i="15"/>
  <c r="E1419" i="15"/>
  <c r="E1417" i="15"/>
  <c r="E1416" i="15"/>
  <c r="E1414" i="15"/>
  <c r="E1413" i="15"/>
  <c r="E1411" i="15"/>
  <c r="E1410" i="15"/>
  <c r="E1408" i="15"/>
  <c r="E1407" i="15"/>
  <c r="E1405" i="15"/>
  <c r="E1404" i="15"/>
  <c r="E1402" i="15"/>
  <c r="E1401" i="15"/>
  <c r="E1399" i="15"/>
  <c r="E1398" i="15"/>
  <c r="E1396" i="15"/>
  <c r="E1395" i="15"/>
  <c r="E1393" i="15"/>
  <c r="E1392" i="15"/>
  <c r="E1390" i="15"/>
  <c r="E1389" i="15"/>
  <c r="E1387" i="15"/>
  <c r="E1386" i="15"/>
  <c r="E1499" i="15"/>
  <c r="E1496" i="15"/>
  <c r="E1493" i="15"/>
  <c r="E1490" i="15"/>
  <c r="E1487" i="15"/>
  <c r="E1484" i="15"/>
  <c r="E1481" i="15"/>
  <c r="E1478" i="15"/>
  <c r="E1475" i="15"/>
  <c r="E1472" i="15"/>
  <c r="E1469" i="15"/>
  <c r="E1466" i="15"/>
  <c r="E1463" i="15"/>
  <c r="E1460" i="15"/>
  <c r="E1457" i="15"/>
  <c r="E1454" i="15"/>
  <c r="E1451" i="15"/>
  <c r="E1448" i="15"/>
  <c r="E1445" i="15"/>
  <c r="E1442" i="15"/>
  <c r="E1439" i="15"/>
  <c r="E1436" i="15"/>
  <c r="E1433" i="15"/>
  <c r="E1430" i="15"/>
  <c r="E1427" i="15"/>
  <c r="E1424" i="15"/>
  <c r="E1421" i="15"/>
  <c r="E1418" i="15"/>
  <c r="E1415" i="15"/>
  <c r="E1412" i="15"/>
  <c r="E1409" i="15"/>
  <c r="E1406" i="15"/>
  <c r="E1403" i="15"/>
  <c r="E1400" i="15"/>
  <c r="E1397" i="15"/>
  <c r="E1394" i="15"/>
  <c r="E1391" i="15"/>
  <c r="E1388" i="15"/>
  <c r="E1385" i="15"/>
  <c r="E1384" i="15"/>
  <c r="E1383" i="15"/>
  <c r="E1381" i="15"/>
  <c r="E1380" i="15"/>
  <c r="E1378" i="15"/>
  <c r="E1377" i="15"/>
  <c r="E1375" i="15"/>
  <c r="E1374" i="15"/>
  <c r="E1372" i="15"/>
  <c r="E1371" i="15"/>
  <c r="E1369" i="15"/>
  <c r="E1368" i="15"/>
  <c r="E1366" i="15"/>
  <c r="E1365" i="15"/>
  <c r="E1363" i="15"/>
  <c r="E1362" i="15"/>
  <c r="E1360" i="15"/>
  <c r="E1359" i="15"/>
  <c r="E1357" i="15"/>
  <c r="E1356" i="15"/>
  <c r="E1354" i="15"/>
  <c r="E1353" i="15"/>
  <c r="E1351" i="15"/>
  <c r="E1350" i="15"/>
  <c r="E1348" i="15"/>
  <c r="E1347" i="15"/>
  <c r="E1345" i="15"/>
  <c r="E1344" i="15"/>
  <c r="E1342" i="15"/>
  <c r="E1341" i="15"/>
  <c r="E1339" i="15"/>
  <c r="E1338" i="15"/>
  <c r="E1336" i="15"/>
  <c r="E1335" i="15"/>
  <c r="E1333" i="15"/>
  <c r="E1332" i="15"/>
  <c r="E1330" i="15"/>
  <c r="E1329" i="15"/>
  <c r="E1327" i="15"/>
  <c r="E1326" i="15"/>
  <c r="E1324" i="15"/>
  <c r="E1323" i="15"/>
  <c r="E1321" i="15"/>
  <c r="E1320" i="15"/>
  <c r="E1318" i="15"/>
  <c r="E1317" i="15"/>
  <c r="E1315" i="15"/>
  <c r="E1314" i="15"/>
  <c r="E1312" i="15"/>
  <c r="E1311" i="15"/>
  <c r="E1309" i="15"/>
  <c r="E1308" i="15"/>
  <c r="E1306" i="15"/>
  <c r="E1305" i="15"/>
  <c r="E1303" i="15"/>
  <c r="E1302" i="15"/>
  <c r="E1300" i="15"/>
  <c r="E1299" i="15"/>
  <c r="E1297" i="15"/>
  <c r="E1296" i="15"/>
  <c r="E1294" i="15"/>
  <c r="E1293" i="15"/>
  <c r="E1291" i="15"/>
  <c r="E1290" i="15"/>
  <c r="E1288" i="15"/>
  <c r="E1287" i="15"/>
  <c r="E1285" i="15"/>
  <c r="E1284" i="15"/>
  <c r="E1282" i="15"/>
  <c r="E1281" i="15"/>
  <c r="E1279" i="15"/>
  <c r="E1278" i="15"/>
  <c r="E1276" i="15"/>
  <c r="E1275" i="15"/>
  <c r="E1273" i="15"/>
  <c r="E1272" i="15"/>
  <c r="E1270" i="15"/>
  <c r="E1269" i="15"/>
  <c r="E1267" i="15"/>
  <c r="E1266" i="15"/>
  <c r="E1264" i="15"/>
  <c r="E1263" i="15"/>
  <c r="E1261" i="15"/>
  <c r="E1260" i="15"/>
  <c r="E1258" i="15"/>
  <c r="E1257" i="15"/>
  <c r="E1255" i="15"/>
  <c r="E1254" i="15"/>
  <c r="E1252" i="15"/>
  <c r="E1251" i="15"/>
  <c r="E1249" i="15"/>
  <c r="E1248" i="15"/>
  <c r="E1246" i="15"/>
  <c r="E1245" i="15"/>
  <c r="E1243" i="15"/>
  <c r="E1242" i="15"/>
  <c r="E1240" i="15"/>
  <c r="E1239" i="15"/>
  <c r="E1237" i="15"/>
  <c r="E1236" i="15"/>
  <c r="E1234" i="15"/>
  <c r="E1233" i="15"/>
  <c r="E1231" i="15"/>
  <c r="E1230" i="15"/>
  <c r="E1228" i="15"/>
  <c r="E1227" i="15"/>
  <c r="E1225" i="15"/>
  <c r="E1224" i="15"/>
  <c r="E1222" i="15"/>
  <c r="E1221" i="15"/>
  <c r="E1219" i="15"/>
  <c r="E1218" i="15"/>
  <c r="E1216" i="15"/>
  <c r="E1215" i="15"/>
  <c r="E1213" i="15"/>
  <c r="E1212" i="15"/>
  <c r="E1210" i="15"/>
  <c r="E1209" i="15"/>
  <c r="E1207" i="15"/>
  <c r="E1206" i="15"/>
  <c r="E1204" i="15"/>
  <c r="E1203" i="15"/>
  <c r="E1201" i="15"/>
  <c r="E1200" i="15"/>
  <c r="E1198" i="15"/>
  <c r="E1197" i="15"/>
  <c r="E1195" i="15"/>
  <c r="E1194" i="15"/>
  <c r="E1192" i="15"/>
  <c r="E1191" i="15"/>
  <c r="E1189" i="15"/>
  <c r="E1188" i="15"/>
  <c r="E1186" i="15"/>
  <c r="E1185" i="15"/>
  <c r="E1183" i="15"/>
  <c r="E1182" i="15"/>
  <c r="E1180" i="15"/>
  <c r="E1179" i="15"/>
  <c r="E1177" i="15"/>
  <c r="E1176" i="15"/>
  <c r="E1174" i="15"/>
  <c r="E1173" i="15"/>
  <c r="E1171" i="15"/>
  <c r="E1170" i="15"/>
  <c r="E1168" i="15"/>
  <c r="E1167" i="15"/>
  <c r="E1165" i="15"/>
  <c r="E1164" i="15"/>
  <c r="E1162" i="15"/>
  <c r="E1161" i="15"/>
  <c r="E1382" i="15"/>
  <c r="E1379" i="15"/>
  <c r="E1376" i="15"/>
  <c r="E1373" i="15"/>
  <c r="E1370" i="15"/>
  <c r="E1367" i="15"/>
  <c r="E1364" i="15"/>
  <c r="E1361" i="15"/>
  <c r="E1358" i="15"/>
  <c r="E1355" i="15"/>
  <c r="E1352" i="15"/>
  <c r="E1349" i="15"/>
  <c r="E1346" i="15"/>
  <c r="E1343" i="15"/>
  <c r="E1340" i="15"/>
  <c r="E1337" i="15"/>
  <c r="E1334" i="15"/>
  <c r="E1331" i="15"/>
  <c r="E1328" i="15"/>
  <c r="E1325" i="15"/>
  <c r="E1322" i="15"/>
  <c r="E1319" i="15"/>
  <c r="E1316" i="15"/>
  <c r="E1313" i="15"/>
  <c r="E1310" i="15"/>
  <c r="E1307" i="15"/>
  <c r="E1304" i="15"/>
  <c r="E1301" i="15"/>
  <c r="E1298" i="15"/>
  <c r="E1295" i="15"/>
  <c r="E1292" i="15"/>
  <c r="E1289" i="15"/>
  <c r="E1286" i="15"/>
  <c r="E1283" i="15"/>
  <c r="E1280" i="15"/>
  <c r="E1277" i="15"/>
  <c r="E1274" i="15"/>
  <c r="E1271" i="15"/>
  <c r="E1268" i="15"/>
  <c r="E1265" i="15"/>
  <c r="E1262" i="15"/>
  <c r="E1259" i="15"/>
  <c r="E1256" i="15"/>
  <c r="E1253" i="15"/>
  <c r="E1250" i="15"/>
  <c r="E1247" i="15"/>
  <c r="E1244" i="15"/>
  <c r="E1241" i="15"/>
  <c r="E1238" i="15"/>
  <c r="E1235" i="15"/>
  <c r="E1232" i="15"/>
  <c r="E1229" i="15"/>
  <c r="E1226" i="15"/>
  <c r="E1223" i="15"/>
  <c r="E1220" i="15"/>
  <c r="E1217" i="15"/>
  <c r="E1214" i="15"/>
  <c r="E1211" i="15"/>
  <c r="E1208" i="15"/>
  <c r="E1205" i="15"/>
  <c r="E1202" i="15"/>
  <c r="E1199" i="15"/>
  <c r="E1196" i="15"/>
  <c r="E1193" i="15"/>
  <c r="E1190" i="15"/>
  <c r="E1187" i="15"/>
  <c r="E1184" i="15"/>
  <c r="E1181" i="15"/>
  <c r="E1178" i="15"/>
  <c r="E1175" i="15"/>
  <c r="E1172" i="15"/>
  <c r="E1169" i="15"/>
  <c r="E1166" i="15"/>
  <c r="E1163" i="15"/>
  <c r="E1160" i="15"/>
  <c r="H1160" i="15" l="1"/>
  <c r="G1157" i="15"/>
  <c r="G1065" i="15" l="1"/>
  <c r="E1159" i="15"/>
  <c r="E1158" i="15"/>
  <c r="E1156" i="15"/>
  <c r="E1155" i="15"/>
  <c r="E1153" i="15"/>
  <c r="E1152" i="15"/>
  <c r="E1150" i="15"/>
  <c r="E1149" i="15"/>
  <c r="E1147" i="15"/>
  <c r="E1146" i="15"/>
  <c r="E1144" i="15"/>
  <c r="E1143" i="15"/>
  <c r="E1141" i="15"/>
  <c r="E1140" i="15"/>
  <c r="E1138" i="15"/>
  <c r="E1137" i="15"/>
  <c r="E1135" i="15"/>
  <c r="E1134" i="15"/>
  <c r="E1132" i="15"/>
  <c r="E1131" i="15"/>
  <c r="E1129" i="15"/>
  <c r="E1128" i="15"/>
  <c r="E1126" i="15"/>
  <c r="E1125" i="15"/>
  <c r="E1123" i="15"/>
  <c r="E1122" i="15"/>
  <c r="E1120" i="15"/>
  <c r="E1119" i="15"/>
  <c r="E1117" i="15"/>
  <c r="E1116" i="15"/>
  <c r="E1114" i="15"/>
  <c r="E1113" i="15"/>
  <c r="E1111" i="15"/>
  <c r="E1110" i="15"/>
  <c r="E1108" i="15"/>
  <c r="E1107" i="15"/>
  <c r="E1105" i="15"/>
  <c r="E1104" i="15"/>
  <c r="E1102" i="15"/>
  <c r="E1101" i="15"/>
  <c r="E1099" i="15"/>
  <c r="E1098" i="15"/>
  <c r="E1096" i="15"/>
  <c r="E1095" i="15"/>
  <c r="E1093" i="15"/>
  <c r="E1092" i="15"/>
  <c r="E1090" i="15"/>
  <c r="E1089" i="15"/>
  <c r="E1087" i="15"/>
  <c r="E1086" i="15"/>
  <c r="E1084" i="15"/>
  <c r="E1083" i="15"/>
  <c r="E1081" i="15"/>
  <c r="E1080" i="15"/>
  <c r="E1078" i="15"/>
  <c r="E1077" i="15"/>
  <c r="E1075" i="15"/>
  <c r="E1074" i="15"/>
  <c r="E1072" i="15"/>
  <c r="E1071" i="15"/>
  <c r="E1069" i="15"/>
  <c r="E1068" i="15"/>
  <c r="E1066" i="15"/>
  <c r="E1065" i="15"/>
  <c r="E1063" i="15"/>
  <c r="E1062" i="15"/>
  <c r="E1060" i="15"/>
  <c r="E1059" i="15"/>
  <c r="E1057" i="15"/>
  <c r="E1056" i="15"/>
  <c r="E1054" i="15"/>
  <c r="E1053" i="15"/>
  <c r="E1051" i="15"/>
  <c r="E1050" i="15"/>
  <c r="E1048" i="15"/>
  <c r="E1047" i="15"/>
  <c r="E1045" i="15"/>
  <c r="E1044" i="15"/>
  <c r="E1042" i="15"/>
  <c r="E1041" i="15"/>
  <c r="E1039" i="15"/>
  <c r="E1038" i="15"/>
  <c r="E1157" i="15"/>
  <c r="E1154" i="15"/>
  <c r="E1151" i="15"/>
  <c r="E1148" i="15"/>
  <c r="E1145" i="15"/>
  <c r="E1142" i="15"/>
  <c r="E1139" i="15"/>
  <c r="E1136" i="15"/>
  <c r="E1133" i="15"/>
  <c r="E1130" i="15"/>
  <c r="E1127" i="15"/>
  <c r="E1124" i="15"/>
  <c r="E1121" i="15"/>
  <c r="E1118" i="15"/>
  <c r="E1115" i="15"/>
  <c r="E1112" i="15"/>
  <c r="E1109" i="15"/>
  <c r="E1106" i="15"/>
  <c r="E1103" i="15"/>
  <c r="E1100" i="15"/>
  <c r="E1097" i="15"/>
  <c r="E1094" i="15"/>
  <c r="E1091" i="15"/>
  <c r="E1088" i="15"/>
  <c r="E1085" i="15"/>
  <c r="E1082" i="15"/>
  <c r="E1079" i="15"/>
  <c r="E1076" i="15"/>
  <c r="E1073" i="15"/>
  <c r="E1070" i="15"/>
  <c r="E1067" i="15"/>
  <c r="E1064" i="15"/>
  <c r="E1061" i="15"/>
  <c r="E1058" i="15"/>
  <c r="E1055" i="15"/>
  <c r="E1052" i="15"/>
  <c r="E1049" i="15"/>
  <c r="E1046" i="15"/>
  <c r="E1043" i="15"/>
  <c r="E1040" i="15"/>
  <c r="E1037" i="15"/>
  <c r="G863" i="15" l="1"/>
  <c r="E1036" i="15"/>
  <c r="E1035" i="15"/>
  <c r="E1033" i="15"/>
  <c r="E1032" i="15"/>
  <c r="E1030" i="15"/>
  <c r="E1029" i="15"/>
  <c r="E1027" i="15"/>
  <c r="E1026" i="15"/>
  <c r="E1024" i="15"/>
  <c r="E1023" i="15"/>
  <c r="E1021" i="15"/>
  <c r="E1020" i="15"/>
  <c r="E1018" i="15"/>
  <c r="E1017" i="15"/>
  <c r="E1015" i="15"/>
  <c r="E1014" i="15"/>
  <c r="E1012" i="15"/>
  <c r="E1011" i="15"/>
  <c r="E1009" i="15"/>
  <c r="E1008" i="15"/>
  <c r="E1006" i="15"/>
  <c r="E1005" i="15"/>
  <c r="E1003" i="15"/>
  <c r="E1002" i="15"/>
  <c r="E1000" i="15"/>
  <c r="E999" i="15"/>
  <c r="E997" i="15"/>
  <c r="E996" i="15"/>
  <c r="E994" i="15"/>
  <c r="E993" i="15"/>
  <c r="E991" i="15"/>
  <c r="E990" i="15"/>
  <c r="E988" i="15"/>
  <c r="E987" i="15"/>
  <c r="E985" i="15"/>
  <c r="E984" i="15"/>
  <c r="E982" i="15"/>
  <c r="E981" i="15"/>
  <c r="E979" i="15"/>
  <c r="E978" i="15"/>
  <c r="E976" i="15"/>
  <c r="E975" i="15"/>
  <c r="E973" i="15"/>
  <c r="E972" i="15"/>
  <c r="E970" i="15"/>
  <c r="E969" i="15"/>
  <c r="E967" i="15"/>
  <c r="E966" i="15"/>
  <c r="E964" i="15"/>
  <c r="E963" i="15"/>
  <c r="E961" i="15"/>
  <c r="E960" i="15"/>
  <c r="E958" i="15"/>
  <c r="E957" i="15"/>
  <c r="E955" i="15"/>
  <c r="E954" i="15"/>
  <c r="E952" i="15"/>
  <c r="E951" i="15"/>
  <c r="E949" i="15"/>
  <c r="E948" i="15"/>
  <c r="E946" i="15"/>
  <c r="E945" i="15"/>
  <c r="E943" i="15"/>
  <c r="E942" i="15"/>
  <c r="E940" i="15"/>
  <c r="E939" i="15"/>
  <c r="E937" i="15"/>
  <c r="E936" i="15"/>
  <c r="E934" i="15"/>
  <c r="E933" i="15"/>
  <c r="E931" i="15"/>
  <c r="E930" i="15"/>
  <c r="E928" i="15"/>
  <c r="E927" i="15"/>
  <c r="E925" i="15"/>
  <c r="E924" i="15"/>
  <c r="E922" i="15"/>
  <c r="E921" i="15"/>
  <c r="E919" i="15"/>
  <c r="E918" i="15"/>
  <c r="E916" i="15"/>
  <c r="E915" i="15"/>
  <c r="E913" i="15"/>
  <c r="E912" i="15"/>
  <c r="E910" i="15"/>
  <c r="E909" i="15"/>
  <c r="E907" i="15"/>
  <c r="E906" i="15"/>
  <c r="E904" i="15"/>
  <c r="E903" i="15"/>
  <c r="E901" i="15"/>
  <c r="E900" i="15"/>
  <c r="E898" i="15"/>
  <c r="E897" i="15"/>
  <c r="E895" i="15"/>
  <c r="E894" i="15"/>
  <c r="E892" i="15"/>
  <c r="E891" i="15"/>
  <c r="E889" i="15"/>
  <c r="E888" i="15"/>
  <c r="E886" i="15"/>
  <c r="E885" i="15"/>
  <c r="E883" i="15"/>
  <c r="E882" i="15"/>
  <c r="E880" i="15"/>
  <c r="E879" i="15"/>
  <c r="E877" i="15"/>
  <c r="E876" i="15"/>
  <c r="E874" i="15"/>
  <c r="E873" i="15"/>
  <c r="E871" i="15"/>
  <c r="E870" i="15"/>
  <c r="E868" i="15"/>
  <c r="E867" i="15"/>
  <c r="E865" i="15"/>
  <c r="E864" i="15"/>
  <c r="E862" i="15"/>
  <c r="E861" i="15"/>
  <c r="E859" i="15"/>
  <c r="E858" i="15"/>
  <c r="E856" i="15"/>
  <c r="E855" i="15"/>
  <c r="E853" i="15"/>
  <c r="E852" i="15"/>
  <c r="E850" i="15"/>
  <c r="E849" i="15"/>
  <c r="E847" i="15"/>
  <c r="E846" i="15"/>
  <c r="E844" i="15"/>
  <c r="E843" i="15"/>
  <c r="E841" i="15"/>
  <c r="E840" i="15"/>
  <c r="E838" i="15"/>
  <c r="E837" i="15"/>
  <c r="E835" i="15"/>
  <c r="E834" i="15"/>
  <c r="E832" i="15"/>
  <c r="E831" i="15"/>
  <c r="E829" i="15"/>
  <c r="E828" i="15"/>
  <c r="E826" i="15"/>
  <c r="E825" i="15"/>
  <c r="E823" i="15"/>
  <c r="E822" i="15"/>
  <c r="E820" i="15"/>
  <c r="E819" i="15"/>
  <c r="E817" i="15"/>
  <c r="E816" i="15"/>
  <c r="E814" i="15"/>
  <c r="E813" i="15"/>
  <c r="E811" i="15"/>
  <c r="E810" i="15"/>
  <c r="E808" i="15"/>
  <c r="E807" i="15"/>
  <c r="E805" i="15"/>
  <c r="E804" i="15"/>
  <c r="E802" i="15"/>
  <c r="E801" i="15"/>
  <c r="E799" i="15"/>
  <c r="E798" i="15"/>
  <c r="E796" i="15"/>
  <c r="E795" i="15"/>
  <c r="E1034" i="15"/>
  <c r="E1031" i="15"/>
  <c r="E1028" i="15"/>
  <c r="E1025" i="15"/>
  <c r="E1022" i="15"/>
  <c r="E1019" i="15"/>
  <c r="E1016" i="15"/>
  <c r="E1013" i="15"/>
  <c r="E1010" i="15"/>
  <c r="E1007" i="15"/>
  <c r="E1004" i="15"/>
  <c r="E1001" i="15"/>
  <c r="E998" i="15"/>
  <c r="E995" i="15"/>
  <c r="E992" i="15"/>
  <c r="E989" i="15"/>
  <c r="E986" i="15"/>
  <c r="E983" i="15"/>
  <c r="E980" i="15"/>
  <c r="E977" i="15"/>
  <c r="E974" i="15"/>
  <c r="E971" i="15"/>
  <c r="E968" i="15"/>
  <c r="E965" i="15"/>
  <c r="E962" i="15"/>
  <c r="E959" i="15"/>
  <c r="E956" i="15"/>
  <c r="E953" i="15"/>
  <c r="E950" i="15"/>
  <c r="E947" i="15"/>
  <c r="E944" i="15"/>
  <c r="E941" i="15"/>
  <c r="E938" i="15"/>
  <c r="E935" i="15"/>
  <c r="E932" i="15"/>
  <c r="E929" i="15"/>
  <c r="E926" i="15"/>
  <c r="E923" i="15"/>
  <c r="E920" i="15"/>
  <c r="E917" i="15"/>
  <c r="E914" i="15"/>
  <c r="E911" i="15"/>
  <c r="E908" i="15"/>
  <c r="E905" i="15"/>
  <c r="E902" i="15"/>
  <c r="E899" i="15"/>
  <c r="E896" i="15"/>
  <c r="E893" i="15"/>
  <c r="E890" i="15"/>
  <c r="E887" i="15"/>
  <c r="E884" i="15"/>
  <c r="E881" i="15"/>
  <c r="E878" i="15"/>
  <c r="E875" i="15"/>
  <c r="E872" i="15"/>
  <c r="E869" i="15"/>
  <c r="E866" i="15"/>
  <c r="E863" i="15"/>
  <c r="E860" i="15"/>
  <c r="E857" i="15"/>
  <c r="E854" i="15"/>
  <c r="E851" i="15"/>
  <c r="E848" i="15"/>
  <c r="E845" i="15"/>
  <c r="E842" i="15"/>
  <c r="E839" i="15"/>
  <c r="E836" i="15"/>
  <c r="E833" i="15"/>
  <c r="E830" i="15"/>
  <c r="E827" i="15"/>
  <c r="E824" i="15"/>
  <c r="E821" i="15"/>
  <c r="E818" i="15"/>
  <c r="E815" i="15"/>
  <c r="E812" i="15"/>
  <c r="E809" i="15"/>
  <c r="E806" i="15"/>
  <c r="E803" i="15"/>
  <c r="E800" i="15"/>
  <c r="E797" i="15"/>
  <c r="E794" i="15"/>
  <c r="G761" i="15" l="1"/>
  <c r="G758" i="15"/>
  <c r="E793" i="15"/>
  <c r="E792" i="15"/>
  <c r="E790" i="15"/>
  <c r="E789" i="15"/>
  <c r="E787" i="15"/>
  <c r="E786" i="15"/>
  <c r="E784" i="15"/>
  <c r="E783" i="15"/>
  <c r="E781" i="15"/>
  <c r="E780" i="15"/>
  <c r="E778" i="15"/>
  <c r="E777" i="15"/>
  <c r="E775" i="15"/>
  <c r="E774" i="15"/>
  <c r="E772" i="15"/>
  <c r="E771" i="15"/>
  <c r="E769" i="15"/>
  <c r="E768" i="15"/>
  <c r="E766" i="15"/>
  <c r="E765" i="15"/>
  <c r="E763" i="15"/>
  <c r="E762" i="15"/>
  <c r="E760" i="15"/>
  <c r="E759" i="15"/>
  <c r="E757" i="15"/>
  <c r="E756" i="15"/>
  <c r="E754" i="15"/>
  <c r="E753" i="15"/>
  <c r="E751" i="15"/>
  <c r="E750" i="15"/>
  <c r="E748" i="15"/>
  <c r="E747" i="15"/>
  <c r="E745" i="15"/>
  <c r="E744" i="15"/>
  <c r="E742" i="15"/>
  <c r="E741" i="15"/>
  <c r="E739" i="15"/>
  <c r="E738" i="15"/>
  <c r="E736" i="15"/>
  <c r="E735" i="15"/>
  <c r="E733" i="15"/>
  <c r="E732" i="15"/>
  <c r="E730" i="15"/>
  <c r="E729" i="15"/>
  <c r="E727" i="15"/>
  <c r="E726" i="15"/>
  <c r="E724" i="15"/>
  <c r="E723" i="15"/>
  <c r="E721" i="15"/>
  <c r="E720" i="15"/>
  <c r="E718" i="15"/>
  <c r="E717" i="15"/>
  <c r="E715" i="15"/>
  <c r="E714" i="15"/>
  <c r="E712" i="15"/>
  <c r="E711" i="15"/>
  <c r="E709" i="15"/>
  <c r="E708" i="15"/>
  <c r="E706" i="15"/>
  <c r="E705" i="15"/>
  <c r="E703" i="15"/>
  <c r="E702" i="15"/>
  <c r="E700" i="15"/>
  <c r="E699" i="15"/>
  <c r="E697" i="15"/>
  <c r="E696" i="15"/>
  <c r="E694" i="15"/>
  <c r="E693" i="15"/>
  <c r="E691" i="15"/>
  <c r="E690" i="15"/>
  <c r="E688" i="15"/>
  <c r="E687" i="15"/>
  <c r="E685" i="15"/>
  <c r="E684" i="15"/>
  <c r="E682" i="15"/>
  <c r="E681" i="15"/>
  <c r="E679" i="15"/>
  <c r="E678" i="15"/>
  <c r="E676" i="15"/>
  <c r="E675" i="15"/>
  <c r="E673" i="15"/>
  <c r="E672" i="15"/>
  <c r="E670" i="15"/>
  <c r="E669" i="15"/>
  <c r="E667" i="15"/>
  <c r="E666" i="15"/>
  <c r="E664" i="15"/>
  <c r="E663" i="15"/>
  <c r="E661" i="15"/>
  <c r="E660" i="15"/>
  <c r="E658" i="15"/>
  <c r="E657" i="15"/>
  <c r="E655" i="15"/>
  <c r="E654" i="15"/>
  <c r="E652" i="15"/>
  <c r="E651" i="15"/>
  <c r="E649" i="15"/>
  <c r="E648" i="15"/>
  <c r="E646" i="15"/>
  <c r="E645" i="15"/>
  <c r="E643" i="15"/>
  <c r="E642" i="15"/>
  <c r="E640" i="15"/>
  <c r="E639" i="15"/>
  <c r="E637" i="15"/>
  <c r="E636" i="15"/>
  <c r="E634" i="15"/>
  <c r="E633" i="15"/>
  <c r="E631" i="15"/>
  <c r="E630" i="15"/>
  <c r="E628" i="15"/>
  <c r="E627" i="15"/>
  <c r="E625" i="15"/>
  <c r="E624" i="15"/>
  <c r="E622" i="15"/>
  <c r="E621" i="15"/>
  <c r="E619" i="15"/>
  <c r="E618" i="15"/>
  <c r="E616" i="15"/>
  <c r="E615" i="15"/>
  <c r="E613" i="15"/>
  <c r="E612" i="15"/>
  <c r="E610" i="15"/>
  <c r="E609" i="15"/>
  <c r="E607" i="15"/>
  <c r="E606" i="15"/>
  <c r="E604" i="15"/>
  <c r="E603" i="15"/>
  <c r="E601" i="15"/>
  <c r="E600" i="15"/>
  <c r="E598" i="15"/>
  <c r="E597" i="15"/>
  <c r="E595" i="15"/>
  <c r="E594" i="15"/>
  <c r="E592" i="15"/>
  <c r="E591" i="15"/>
  <c r="E589" i="15"/>
  <c r="E588" i="15"/>
  <c r="E586" i="15"/>
  <c r="E585" i="15"/>
  <c r="E583" i="15"/>
  <c r="E582" i="15"/>
  <c r="E580" i="15"/>
  <c r="E579" i="15"/>
  <c r="E577" i="15"/>
  <c r="E576" i="15"/>
  <c r="E574" i="15"/>
  <c r="E573" i="15"/>
  <c r="E571" i="15"/>
  <c r="E570" i="15"/>
  <c r="E791" i="15"/>
  <c r="E788" i="15"/>
  <c r="E785" i="15"/>
  <c r="E782" i="15"/>
  <c r="E779" i="15"/>
  <c r="E776" i="15"/>
  <c r="E773" i="15"/>
  <c r="E770" i="15"/>
  <c r="E767" i="15"/>
  <c r="E764" i="15"/>
  <c r="E761" i="15"/>
  <c r="E758" i="15"/>
  <c r="E755" i="15"/>
  <c r="E752" i="15"/>
  <c r="E749" i="15"/>
  <c r="E746" i="15"/>
  <c r="E743" i="15"/>
  <c r="E740" i="15"/>
  <c r="E737" i="15"/>
  <c r="E734" i="15"/>
  <c r="E731" i="15"/>
  <c r="E728" i="15"/>
  <c r="E725" i="15"/>
  <c r="E722" i="15"/>
  <c r="E719" i="15"/>
  <c r="E716" i="15"/>
  <c r="E713" i="15"/>
  <c r="E710" i="15"/>
  <c r="E707" i="15"/>
  <c r="E704" i="15"/>
  <c r="E701" i="15"/>
  <c r="E698" i="15"/>
  <c r="E695" i="15"/>
  <c r="E692" i="15"/>
  <c r="E689" i="15"/>
  <c r="E686" i="15"/>
  <c r="E683" i="15"/>
  <c r="E680" i="15"/>
  <c r="E677" i="15"/>
  <c r="E674" i="15"/>
  <c r="E671" i="15"/>
  <c r="E668" i="15"/>
  <c r="E665" i="15"/>
  <c r="E662" i="15"/>
  <c r="E659" i="15"/>
  <c r="E656" i="15"/>
  <c r="E653" i="15"/>
  <c r="E650" i="15"/>
  <c r="E647" i="15"/>
  <c r="E644" i="15"/>
  <c r="E641" i="15"/>
  <c r="E638" i="15"/>
  <c r="E635" i="15"/>
  <c r="E632" i="15"/>
  <c r="E629" i="15"/>
  <c r="E626" i="15"/>
  <c r="E623" i="15"/>
  <c r="E620" i="15"/>
  <c r="E617" i="15"/>
  <c r="E614" i="15"/>
  <c r="E611" i="15"/>
  <c r="E608" i="15"/>
  <c r="E605" i="15"/>
  <c r="E602" i="15"/>
  <c r="E599" i="15"/>
  <c r="E596" i="15"/>
  <c r="E593" i="15"/>
  <c r="E590" i="15"/>
  <c r="E587" i="15"/>
  <c r="E584" i="15"/>
  <c r="E581" i="15"/>
  <c r="E578" i="15"/>
  <c r="E575" i="15"/>
  <c r="E572" i="15"/>
  <c r="E569" i="15"/>
  <c r="E568" i="15" l="1"/>
  <c r="E567" i="15"/>
  <c r="E565" i="15"/>
  <c r="E564" i="15"/>
  <c r="E562" i="15"/>
  <c r="E561" i="15"/>
  <c r="E559" i="15"/>
  <c r="E558" i="15"/>
  <c r="E556" i="15"/>
  <c r="E555" i="15"/>
  <c r="E553" i="15"/>
  <c r="E552" i="15"/>
  <c r="E550" i="15"/>
  <c r="E549" i="15"/>
  <c r="E547" i="15"/>
  <c r="E546" i="15"/>
  <c r="E544" i="15"/>
  <c r="E543" i="15"/>
  <c r="E541" i="15"/>
  <c r="E540" i="15"/>
  <c r="E538" i="15"/>
  <c r="E537" i="15"/>
  <c r="E535" i="15"/>
  <c r="E534" i="15"/>
  <c r="E532" i="15"/>
  <c r="E531" i="15"/>
  <c r="E529" i="15"/>
  <c r="E528" i="15"/>
  <c r="E526" i="15"/>
  <c r="E525" i="15"/>
  <c r="E523" i="15"/>
  <c r="E522" i="15"/>
  <c r="E520" i="15"/>
  <c r="E519" i="15"/>
  <c r="E517" i="15"/>
  <c r="E516" i="15"/>
  <c r="E514" i="15"/>
  <c r="E513" i="15"/>
  <c r="E511" i="15"/>
  <c r="E510" i="15"/>
  <c r="E508" i="15"/>
  <c r="E507" i="15"/>
  <c r="E505" i="15"/>
  <c r="E504" i="15"/>
  <c r="E502" i="15"/>
  <c r="E501" i="15"/>
  <c r="E499" i="15"/>
  <c r="E498" i="15"/>
  <c r="E496" i="15"/>
  <c r="E495" i="15"/>
  <c r="E493" i="15"/>
  <c r="E492" i="15"/>
  <c r="E490" i="15"/>
  <c r="E489" i="15"/>
  <c r="E487" i="15"/>
  <c r="E486" i="15"/>
  <c r="E484" i="15"/>
  <c r="E483" i="15"/>
  <c r="E481" i="15"/>
  <c r="E480" i="15"/>
  <c r="E478" i="15"/>
  <c r="E477" i="15"/>
  <c r="E475" i="15"/>
  <c r="E474" i="15"/>
  <c r="E472" i="15"/>
  <c r="E471" i="15"/>
  <c r="E469" i="15"/>
  <c r="E468" i="15"/>
  <c r="E466" i="15"/>
  <c r="E465" i="15"/>
  <c r="E463" i="15"/>
  <c r="E462" i="15"/>
  <c r="E460" i="15"/>
  <c r="E459" i="15"/>
  <c r="E457" i="15"/>
  <c r="E456" i="15"/>
  <c r="E454" i="15"/>
  <c r="E453" i="15"/>
  <c r="E451" i="15"/>
  <c r="E450" i="15"/>
  <c r="E448" i="15"/>
  <c r="E447" i="15"/>
  <c r="E445" i="15"/>
  <c r="E444" i="15"/>
  <c r="E442" i="15"/>
  <c r="E441" i="15"/>
  <c r="E439" i="15"/>
  <c r="E438" i="15"/>
  <c r="E436" i="15"/>
  <c r="E435" i="15"/>
  <c r="E433" i="15"/>
  <c r="E432" i="15"/>
  <c r="E430" i="15"/>
  <c r="E429" i="15"/>
  <c r="E427" i="15"/>
  <c r="E426" i="15"/>
  <c r="E424" i="15"/>
  <c r="E423" i="15"/>
  <c r="E421" i="15"/>
  <c r="E420" i="15"/>
  <c r="E418" i="15"/>
  <c r="E417" i="15"/>
  <c r="E415" i="15"/>
  <c r="E414" i="15"/>
  <c r="E412" i="15"/>
  <c r="E411" i="15"/>
  <c r="E409" i="15"/>
  <c r="E408" i="15"/>
  <c r="E406" i="15"/>
  <c r="E405" i="15"/>
  <c r="E403" i="15"/>
  <c r="E402" i="15"/>
  <c r="E400" i="15"/>
  <c r="E399" i="15"/>
  <c r="E397" i="15"/>
  <c r="E396" i="15"/>
  <c r="E394" i="15"/>
  <c r="E393" i="15"/>
  <c r="E391" i="15"/>
  <c r="E390" i="15"/>
  <c r="E388" i="15"/>
  <c r="E387" i="15"/>
  <c r="E385" i="15"/>
  <c r="E384" i="15"/>
  <c r="E382" i="15"/>
  <c r="E381" i="15"/>
  <c r="E379" i="15"/>
  <c r="E378" i="15"/>
  <c r="E376" i="15"/>
  <c r="E375" i="15"/>
  <c r="E373" i="15"/>
  <c r="E372" i="15"/>
  <c r="E370" i="15"/>
  <c r="E369" i="15"/>
  <c r="E367" i="15"/>
  <c r="E366" i="15"/>
  <c r="E364" i="15"/>
  <c r="E363" i="15"/>
  <c r="E361" i="15"/>
  <c r="E360" i="15"/>
  <c r="E358" i="15"/>
  <c r="E357" i="15"/>
  <c r="E355" i="15"/>
  <c r="E354" i="15"/>
  <c r="E352" i="15"/>
  <c r="E351" i="15"/>
  <c r="E349" i="15"/>
  <c r="E348" i="15"/>
  <c r="E346" i="15"/>
  <c r="E345" i="15"/>
  <c r="E343" i="15"/>
  <c r="E342" i="15"/>
  <c r="E340" i="15"/>
  <c r="E339" i="15"/>
  <c r="E337" i="15"/>
  <c r="E336" i="15"/>
  <c r="E334" i="15"/>
  <c r="E333" i="15"/>
  <c r="E331" i="15"/>
  <c r="E330" i="15"/>
  <c r="E328" i="15"/>
  <c r="E327" i="15"/>
  <c r="E325" i="15"/>
  <c r="E324" i="15"/>
  <c r="E322" i="15"/>
  <c r="E321" i="15"/>
  <c r="E319" i="15"/>
  <c r="E318" i="15"/>
  <c r="E316" i="15"/>
  <c r="E315" i="15"/>
  <c r="E313" i="15"/>
  <c r="E312" i="15"/>
  <c r="E310" i="15"/>
  <c r="E309" i="15"/>
  <c r="E307" i="15"/>
  <c r="E306" i="15"/>
  <c r="E304" i="15"/>
  <c r="E303" i="15"/>
  <c r="E301" i="15"/>
  <c r="E300" i="15"/>
  <c r="E298" i="15"/>
  <c r="E297" i="15"/>
  <c r="E295" i="15"/>
  <c r="E294" i="15"/>
  <c r="E292" i="15"/>
  <c r="E291" i="15"/>
  <c r="E289" i="15"/>
  <c r="E288" i="15"/>
  <c r="E286" i="15"/>
  <c r="E285" i="15"/>
  <c r="E283" i="15"/>
  <c r="E282" i="15"/>
  <c r="E280" i="15"/>
  <c r="E279" i="15"/>
  <c r="E277" i="15"/>
  <c r="E276" i="15"/>
  <c r="E274" i="15"/>
  <c r="E273" i="15"/>
  <c r="E271" i="15"/>
  <c r="E270" i="15"/>
  <c r="E268" i="15"/>
  <c r="E267" i="15"/>
  <c r="E265" i="15"/>
  <c r="E264" i="15"/>
  <c r="E262" i="15"/>
  <c r="E261" i="15"/>
  <c r="E259" i="15"/>
  <c r="E258" i="15"/>
  <c r="E256" i="15"/>
  <c r="E255" i="15"/>
  <c r="E253" i="15"/>
  <c r="E252" i="15"/>
  <c r="E250" i="15"/>
  <c r="E249" i="15"/>
  <c r="E247" i="15"/>
  <c r="E246" i="15"/>
  <c r="E244" i="15"/>
  <c r="E243" i="15"/>
  <c r="E241" i="15"/>
  <c r="E240" i="15"/>
  <c r="E238" i="15"/>
  <c r="E237" i="15"/>
  <c r="E235" i="15"/>
  <c r="E234" i="15"/>
  <c r="E232" i="15"/>
  <c r="E231" i="15"/>
  <c r="E566" i="15"/>
  <c r="E563" i="15"/>
  <c r="E560" i="15"/>
  <c r="E557" i="15"/>
  <c r="E554" i="15"/>
  <c r="E551" i="15"/>
  <c r="E548" i="15"/>
  <c r="E545" i="15"/>
  <c r="E542" i="15"/>
  <c r="E539" i="15"/>
  <c r="E536" i="15"/>
  <c r="E533" i="15"/>
  <c r="E530" i="15"/>
  <c r="E527" i="15"/>
  <c r="E524" i="15"/>
  <c r="E521" i="15"/>
  <c r="E518" i="15"/>
  <c r="E515" i="15"/>
  <c r="E512" i="15"/>
  <c r="E509" i="15"/>
  <c r="E506" i="15"/>
  <c r="E503" i="15"/>
  <c r="E500" i="15"/>
  <c r="E497" i="15"/>
  <c r="E494" i="15"/>
  <c r="E491" i="15"/>
  <c r="E488" i="15"/>
  <c r="E485" i="15"/>
  <c r="E482" i="15"/>
  <c r="E479" i="15"/>
  <c r="E476" i="15"/>
  <c r="E473" i="15"/>
  <c r="E470" i="15"/>
  <c r="E467" i="15"/>
  <c r="E464" i="15"/>
  <c r="E461" i="15"/>
  <c r="E458" i="15"/>
  <c r="E455" i="15"/>
  <c r="E452" i="15"/>
  <c r="E449" i="15"/>
  <c r="E446" i="15"/>
  <c r="E443" i="15"/>
  <c r="E440" i="15"/>
  <c r="E437" i="15"/>
  <c r="E434" i="15"/>
  <c r="E431" i="15"/>
  <c r="E428" i="15"/>
  <c r="E425" i="15"/>
  <c r="E422" i="15"/>
  <c r="E419" i="15"/>
  <c r="E416" i="15"/>
  <c r="E413" i="15"/>
  <c r="E410" i="15"/>
  <c r="E407" i="15"/>
  <c r="E404" i="15"/>
  <c r="E401" i="15"/>
  <c r="E398" i="15"/>
  <c r="E395" i="15"/>
  <c r="E392" i="15"/>
  <c r="E389" i="15"/>
  <c r="E386" i="15"/>
  <c r="E383" i="15"/>
  <c r="E380" i="15"/>
  <c r="E377" i="15"/>
  <c r="E374" i="15"/>
  <c r="E371" i="15"/>
  <c r="E368" i="15"/>
  <c r="E365" i="15"/>
  <c r="E362" i="15"/>
  <c r="E359" i="15"/>
  <c r="E356" i="15"/>
  <c r="E353" i="15"/>
  <c r="E350" i="15"/>
  <c r="E347" i="15"/>
  <c r="E344" i="15"/>
  <c r="E341" i="15"/>
  <c r="E338" i="15"/>
  <c r="E335" i="15"/>
  <c r="E332" i="15"/>
  <c r="E329" i="15"/>
  <c r="E326" i="15"/>
  <c r="E323" i="15"/>
  <c r="E320" i="15"/>
  <c r="E317" i="15"/>
  <c r="E314" i="15"/>
  <c r="E311" i="15"/>
  <c r="E308" i="15"/>
  <c r="E305" i="15"/>
  <c r="E302" i="15"/>
  <c r="E299" i="15"/>
  <c r="E296" i="15"/>
  <c r="E293" i="15"/>
  <c r="E290" i="15"/>
  <c r="E287" i="15"/>
  <c r="E284" i="15"/>
  <c r="E281" i="15"/>
  <c r="E278" i="15"/>
  <c r="E275" i="15"/>
  <c r="E272" i="15"/>
  <c r="E269" i="15"/>
  <c r="E266" i="15"/>
  <c r="E263" i="15"/>
  <c r="E260" i="15"/>
  <c r="E257" i="15"/>
  <c r="E254" i="15"/>
  <c r="E251" i="15"/>
  <c r="E248" i="15"/>
  <c r="E245" i="15"/>
  <c r="E242" i="15"/>
  <c r="E239" i="15"/>
  <c r="E236" i="15"/>
  <c r="E233" i="15"/>
  <c r="E230" i="15"/>
  <c r="E229" i="15" l="1"/>
  <c r="E228" i="15"/>
  <c r="E226" i="15"/>
  <c r="E225" i="15"/>
  <c r="E223" i="15"/>
  <c r="E222" i="15"/>
  <c r="E220" i="15"/>
  <c r="E219" i="15"/>
  <c r="E217" i="15"/>
  <c r="E216" i="15"/>
  <c r="E214" i="15"/>
  <c r="E213" i="15"/>
  <c r="E211" i="15"/>
  <c r="E210" i="15"/>
  <c r="E208" i="15"/>
  <c r="E207" i="15"/>
  <c r="E205" i="15"/>
  <c r="E204" i="15"/>
  <c r="E202" i="15"/>
  <c r="E201" i="15"/>
  <c r="E199" i="15"/>
  <c r="E198" i="15"/>
  <c r="E196" i="15"/>
  <c r="E195" i="15"/>
  <c r="E193" i="15"/>
  <c r="E192" i="15"/>
  <c r="E190" i="15"/>
  <c r="E189" i="15"/>
  <c r="E187" i="15"/>
  <c r="E186" i="15"/>
  <c r="E184" i="15"/>
  <c r="E183" i="15"/>
  <c r="E181" i="15"/>
  <c r="E180" i="15"/>
  <c r="E178" i="15"/>
  <c r="E177" i="15"/>
  <c r="E175" i="15"/>
  <c r="E174" i="15"/>
  <c r="E172" i="15"/>
  <c r="E171" i="15"/>
  <c r="E169" i="15"/>
  <c r="E168" i="15"/>
  <c r="E166" i="15"/>
  <c r="E165" i="15"/>
  <c r="E163" i="15"/>
  <c r="E162" i="15"/>
  <c r="E160" i="15"/>
  <c r="E159" i="15"/>
  <c r="E157" i="15"/>
  <c r="E156" i="15"/>
  <c r="E154" i="15"/>
  <c r="E153" i="15"/>
  <c r="E151" i="15"/>
  <c r="E150" i="15"/>
  <c r="E148" i="15"/>
  <c r="E147" i="15"/>
  <c r="E145" i="15"/>
  <c r="E144" i="15"/>
  <c r="E142" i="15"/>
  <c r="E141" i="15"/>
  <c r="E139" i="15"/>
  <c r="E138" i="15"/>
  <c r="E136" i="15"/>
  <c r="E135" i="15"/>
  <c r="E133" i="15"/>
  <c r="E132" i="15"/>
  <c r="E130" i="15"/>
  <c r="E129" i="15"/>
  <c r="E127" i="15"/>
  <c r="E126" i="15"/>
  <c r="E124" i="15"/>
  <c r="E123" i="15"/>
  <c r="E121" i="15"/>
  <c r="E120" i="15"/>
  <c r="E118" i="15"/>
  <c r="E117" i="15"/>
  <c r="E115" i="15"/>
  <c r="E114" i="15"/>
  <c r="E227" i="15"/>
  <c r="E224" i="15"/>
  <c r="E221" i="15"/>
  <c r="E218" i="15"/>
  <c r="E215" i="15"/>
  <c r="E212" i="15"/>
  <c r="E209" i="15"/>
  <c r="E206" i="15"/>
  <c r="E203" i="15"/>
  <c r="E200" i="15"/>
  <c r="E197" i="15"/>
  <c r="E194" i="15"/>
  <c r="E191" i="15"/>
  <c r="E188" i="15"/>
  <c r="E185" i="15"/>
  <c r="E182" i="15"/>
  <c r="E179" i="15"/>
  <c r="E176" i="15"/>
  <c r="E173" i="15"/>
  <c r="E170" i="15"/>
  <c r="E167" i="15"/>
  <c r="E164" i="15"/>
  <c r="E161" i="15"/>
  <c r="E158" i="15"/>
  <c r="E155" i="15"/>
  <c r="E152" i="15"/>
  <c r="E149" i="15"/>
  <c r="E146" i="15"/>
  <c r="E143" i="15"/>
  <c r="E140" i="15"/>
  <c r="E137" i="15"/>
  <c r="E134" i="15"/>
  <c r="E131" i="15"/>
  <c r="E128" i="15"/>
  <c r="E125" i="15"/>
  <c r="E122" i="15"/>
  <c r="E119" i="15"/>
  <c r="E116" i="15"/>
  <c r="E113" i="15"/>
  <c r="H86" i="15" l="1"/>
  <c r="H77" i="15"/>
  <c r="H47" i="15"/>
  <c r="E112" i="15"/>
  <c r="E111" i="15"/>
  <c r="E109" i="15"/>
  <c r="E108" i="15"/>
  <c r="E106" i="15"/>
  <c r="E105" i="15"/>
  <c r="E103" i="15"/>
  <c r="E102" i="15"/>
  <c r="E100" i="15"/>
  <c r="E99" i="15"/>
  <c r="E97" i="15"/>
  <c r="E96" i="15"/>
  <c r="E94" i="15"/>
  <c r="E93" i="15"/>
  <c r="E91" i="15"/>
  <c r="E90" i="15"/>
  <c r="E88" i="15"/>
  <c r="E87" i="15"/>
  <c r="E85" i="15"/>
  <c r="E84" i="15"/>
  <c r="E82" i="15"/>
  <c r="E81" i="15"/>
  <c r="E79" i="15"/>
  <c r="E78" i="15"/>
  <c r="E76" i="15"/>
  <c r="E75" i="15"/>
  <c r="E73" i="15"/>
  <c r="E72" i="15"/>
  <c r="E70" i="15"/>
  <c r="E69" i="15"/>
  <c r="E67" i="15"/>
  <c r="E66" i="15"/>
  <c r="E64" i="15"/>
  <c r="E63" i="15"/>
  <c r="E61" i="15"/>
  <c r="E60" i="15"/>
  <c r="E58" i="15"/>
  <c r="E57" i="15"/>
  <c r="E55" i="15"/>
  <c r="E54" i="15"/>
  <c r="E52" i="15"/>
  <c r="E51" i="15"/>
  <c r="E49" i="15"/>
  <c r="E48" i="15"/>
  <c r="E46" i="15"/>
  <c r="E45" i="15"/>
  <c r="E43" i="15"/>
  <c r="E42" i="15"/>
  <c r="E40" i="15"/>
  <c r="E39" i="15"/>
  <c r="E37" i="15"/>
  <c r="E36" i="15"/>
  <c r="E34" i="15"/>
  <c r="E33" i="15"/>
  <c r="E31" i="15"/>
  <c r="E30" i="15"/>
  <c r="E28" i="15"/>
  <c r="E27" i="15"/>
  <c r="E25" i="15"/>
  <c r="E24" i="15"/>
  <c r="E22" i="15"/>
  <c r="E21" i="15"/>
  <c r="E19" i="15"/>
  <c r="E18" i="15"/>
  <c r="E16" i="15"/>
  <c r="E15" i="15"/>
  <c r="E13" i="15"/>
  <c r="E12" i="15"/>
  <c r="E10" i="15"/>
  <c r="E9" i="15"/>
  <c r="E7" i="15"/>
  <c r="E6" i="15"/>
  <c r="E4" i="15"/>
  <c r="E3" i="15"/>
  <c r="E110" i="15"/>
  <c r="E107" i="15"/>
  <c r="E104" i="15"/>
  <c r="E101" i="15"/>
  <c r="E98" i="15"/>
  <c r="E95" i="15"/>
  <c r="E92" i="15"/>
  <c r="E89" i="15"/>
  <c r="E86" i="15"/>
  <c r="E83" i="15"/>
  <c r="E80" i="15"/>
  <c r="E77" i="15"/>
  <c r="E74" i="15"/>
  <c r="E71" i="15"/>
  <c r="E68" i="15"/>
  <c r="E65" i="15"/>
  <c r="E62" i="15"/>
  <c r="E59" i="15"/>
  <c r="E56" i="15"/>
  <c r="E53" i="15"/>
  <c r="E50" i="15"/>
  <c r="E47" i="15"/>
  <c r="E44" i="15"/>
  <c r="E41" i="15"/>
  <c r="E38" i="15"/>
  <c r="E35" i="15"/>
  <c r="E32" i="15"/>
  <c r="E29" i="15"/>
  <c r="E26" i="15"/>
  <c r="E23" i="15"/>
  <c r="E20" i="15"/>
  <c r="E17" i="15"/>
  <c r="E14" i="15"/>
  <c r="E11" i="15"/>
  <c r="E8" i="15"/>
  <c r="E5" i="15"/>
  <c r="E2" i="15"/>
  <c r="E2139" i="12" l="1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3001" i="12"/>
  <c r="E3002" i="12"/>
  <c r="E3003" i="12"/>
  <c r="E3004" i="12"/>
  <c r="E3005" i="12"/>
  <c r="E3006" i="12"/>
  <c r="E3007" i="12"/>
  <c r="E3008" i="12"/>
  <c r="E3009" i="12"/>
  <c r="E3010" i="12"/>
  <c r="E3011" i="12"/>
  <c r="E3012" i="12"/>
  <c r="E3013" i="12"/>
  <c r="E3014" i="12"/>
  <c r="E3015" i="12"/>
  <c r="E3016" i="12"/>
  <c r="E3017" i="12"/>
  <c r="E3018" i="12"/>
  <c r="E3019" i="12"/>
  <c r="E3020" i="12"/>
  <c r="E3021" i="12"/>
  <c r="E3022" i="12"/>
  <c r="E3023" i="12"/>
  <c r="E3024" i="12"/>
  <c r="E3025" i="12"/>
  <c r="E3026" i="12"/>
  <c r="E3027" i="12"/>
  <c r="E3028" i="12"/>
  <c r="E3029" i="12"/>
  <c r="E3030" i="12"/>
  <c r="E3031" i="12"/>
  <c r="E3032" i="12"/>
  <c r="E3033" i="12"/>
  <c r="E3034" i="12"/>
  <c r="E3035" i="12"/>
  <c r="E3036" i="12"/>
  <c r="E3037" i="12"/>
  <c r="E3038" i="12"/>
  <c r="E3039" i="12"/>
  <c r="E3040" i="12"/>
  <c r="E3041" i="12"/>
  <c r="E3042" i="12"/>
  <c r="E3043" i="12"/>
  <c r="E3044" i="12"/>
  <c r="E3045" i="12"/>
  <c r="E3046" i="12"/>
  <c r="E3047" i="12"/>
  <c r="E3048" i="12"/>
  <c r="E3049" i="12"/>
  <c r="E3050" i="12"/>
  <c r="E3051" i="12"/>
  <c r="E3052" i="12"/>
  <c r="E3053" i="12"/>
  <c r="E3054" i="12"/>
  <c r="E3055" i="12"/>
  <c r="E3056" i="12"/>
  <c r="E3057" i="12"/>
  <c r="E3058" i="12"/>
  <c r="E3059" i="12"/>
  <c r="E3060" i="12"/>
  <c r="E3061" i="12"/>
  <c r="E3062" i="12"/>
  <c r="E3063" i="12"/>
  <c r="E3064" i="12"/>
  <c r="E3065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1121" i="12"/>
  <c r="E1120" i="12"/>
  <c r="E1119" i="12"/>
  <c r="E1118" i="12"/>
  <c r="E1117" i="12"/>
  <c r="E1116" i="12"/>
  <c r="E1115" i="12"/>
  <c r="E1114" i="12"/>
  <c r="E1113" i="12"/>
  <c r="E1112" i="12"/>
  <c r="E1111" i="12"/>
  <c r="E1110" i="12"/>
  <c r="E1109" i="12"/>
  <c r="E1108" i="12"/>
  <c r="E1107" i="12"/>
  <c r="E1106" i="12"/>
  <c r="E1105" i="12"/>
  <c r="E1104" i="12"/>
  <c r="E1103" i="12"/>
  <c r="E1102" i="12"/>
  <c r="E1101" i="12"/>
  <c r="E1100" i="12"/>
  <c r="E1099" i="12"/>
  <c r="E1098" i="12"/>
  <c r="E1097" i="12"/>
  <c r="E1096" i="12"/>
  <c r="E1095" i="12"/>
  <c r="E1094" i="12"/>
  <c r="E1093" i="12"/>
  <c r="E1092" i="12"/>
  <c r="E1091" i="12"/>
  <c r="E1090" i="12"/>
  <c r="E1089" i="12"/>
  <c r="E1088" i="12"/>
  <c r="E1087" i="12"/>
  <c r="E1086" i="12"/>
  <c r="E1085" i="12"/>
  <c r="E1084" i="12"/>
  <c r="E1083" i="12"/>
  <c r="E1082" i="12"/>
  <c r="E1081" i="12"/>
  <c r="E1080" i="12"/>
  <c r="E1079" i="12"/>
  <c r="E1078" i="12"/>
  <c r="E1077" i="12"/>
  <c r="E1076" i="12"/>
  <c r="E1075" i="12"/>
  <c r="E1074" i="12"/>
  <c r="E1073" i="12"/>
  <c r="E1072" i="12"/>
  <c r="E1071" i="12"/>
  <c r="E1070" i="12"/>
  <c r="E1069" i="12"/>
  <c r="E1068" i="12"/>
  <c r="E1067" i="12"/>
  <c r="E1066" i="12"/>
  <c r="E1065" i="12"/>
  <c r="E1064" i="12"/>
  <c r="E1063" i="12"/>
  <c r="E1062" i="12"/>
  <c r="E1061" i="12"/>
  <c r="E1060" i="12"/>
  <c r="E1059" i="12"/>
  <c r="E1058" i="12"/>
  <c r="E1057" i="12"/>
  <c r="E1056" i="12"/>
  <c r="E1055" i="12"/>
  <c r="E1054" i="12"/>
  <c r="E1053" i="12"/>
  <c r="E1052" i="12"/>
  <c r="E1051" i="12"/>
  <c r="E1050" i="12"/>
  <c r="E1049" i="12"/>
  <c r="E1048" i="12"/>
  <c r="E1047" i="12"/>
  <c r="E1046" i="12"/>
  <c r="E1045" i="12"/>
  <c r="E1044" i="12"/>
  <c r="E1043" i="12"/>
  <c r="E1042" i="12"/>
  <c r="E1041" i="12"/>
  <c r="E1040" i="12"/>
  <c r="E1039" i="12"/>
  <c r="E1038" i="12"/>
  <c r="E1037" i="12"/>
  <c r="E1036" i="12"/>
  <c r="E1035" i="12"/>
  <c r="E1034" i="12"/>
  <c r="E1033" i="12"/>
  <c r="E1032" i="12"/>
  <c r="E1031" i="12"/>
  <c r="E1030" i="12"/>
  <c r="E1029" i="12"/>
  <c r="E1028" i="12"/>
  <c r="E1027" i="12"/>
  <c r="E1026" i="12"/>
  <c r="E1025" i="12"/>
  <c r="E1024" i="12"/>
  <c r="E1023" i="12"/>
  <c r="E1022" i="12"/>
  <c r="E1021" i="12"/>
  <c r="E1020" i="12"/>
  <c r="E1019" i="12"/>
  <c r="E1018" i="12"/>
  <c r="E1017" i="12"/>
  <c r="E1016" i="12"/>
  <c r="E1015" i="12"/>
  <c r="E1014" i="12"/>
  <c r="E1013" i="12"/>
  <c r="E1012" i="12"/>
  <c r="E1011" i="12"/>
  <c r="E1010" i="12"/>
  <c r="E1009" i="12"/>
  <c r="E1008" i="12"/>
  <c r="E1007" i="12"/>
  <c r="E1006" i="12"/>
  <c r="E1005" i="12"/>
  <c r="E1004" i="12"/>
  <c r="E1003" i="12"/>
  <c r="E1002" i="12"/>
  <c r="E1001" i="12"/>
  <c r="E1000" i="12"/>
  <c r="E999" i="12"/>
  <c r="E998" i="12"/>
  <c r="E997" i="12"/>
  <c r="E996" i="12"/>
  <c r="E995" i="12"/>
  <c r="E994" i="12"/>
  <c r="E993" i="12"/>
  <c r="E992" i="12"/>
  <c r="E991" i="12"/>
  <c r="E990" i="12"/>
  <c r="E989" i="12"/>
  <c r="E988" i="12"/>
  <c r="E987" i="12"/>
  <c r="E986" i="12"/>
  <c r="E985" i="12"/>
  <c r="E984" i="12"/>
  <c r="E983" i="12"/>
  <c r="E982" i="12"/>
  <c r="E981" i="12"/>
  <c r="E980" i="12"/>
  <c r="E979" i="12"/>
  <c r="E978" i="12"/>
  <c r="E977" i="12"/>
  <c r="E976" i="12"/>
  <c r="E975" i="12"/>
  <c r="E974" i="12"/>
  <c r="E973" i="12"/>
  <c r="E972" i="12"/>
  <c r="E971" i="12"/>
  <c r="E970" i="12"/>
  <c r="E969" i="12"/>
  <c r="E968" i="12"/>
  <c r="E967" i="12"/>
  <c r="E966" i="12"/>
  <c r="E965" i="12"/>
  <c r="E964" i="12"/>
  <c r="E963" i="12"/>
  <c r="E962" i="12"/>
  <c r="E961" i="12"/>
  <c r="E960" i="12"/>
  <c r="E959" i="12"/>
  <c r="E958" i="12"/>
  <c r="E957" i="12"/>
  <c r="E956" i="12"/>
  <c r="E955" i="12"/>
  <c r="E954" i="12"/>
  <c r="E953" i="12"/>
  <c r="E952" i="12"/>
  <c r="E951" i="12"/>
  <c r="E950" i="12"/>
  <c r="E949" i="12"/>
  <c r="E948" i="12"/>
  <c r="E947" i="12"/>
  <c r="E946" i="12"/>
  <c r="E945" i="12"/>
  <c r="E944" i="12"/>
  <c r="E943" i="12"/>
  <c r="E942" i="12"/>
  <c r="E941" i="12"/>
  <c r="E940" i="12"/>
  <c r="E939" i="12"/>
  <c r="E938" i="12"/>
  <c r="E937" i="12"/>
  <c r="E936" i="12"/>
  <c r="E935" i="12"/>
  <c r="E934" i="12"/>
  <c r="E933" i="12"/>
  <c r="E932" i="12"/>
  <c r="E931" i="12"/>
  <c r="E930" i="12"/>
  <c r="E929" i="12"/>
  <c r="E928" i="12"/>
  <c r="E927" i="12"/>
  <c r="E926" i="12"/>
  <c r="E925" i="12"/>
  <c r="E924" i="12"/>
  <c r="E923" i="12"/>
  <c r="E922" i="12"/>
  <c r="E921" i="12"/>
  <c r="E920" i="12"/>
  <c r="E919" i="12"/>
  <c r="E918" i="12"/>
  <c r="E917" i="12"/>
  <c r="E916" i="12"/>
  <c r="E915" i="12"/>
  <c r="E914" i="12"/>
  <c r="E913" i="12"/>
  <c r="E912" i="12"/>
  <c r="E911" i="12"/>
  <c r="E910" i="12"/>
  <c r="E909" i="12"/>
  <c r="E908" i="12"/>
  <c r="E907" i="12"/>
  <c r="E906" i="12"/>
  <c r="E905" i="12"/>
  <c r="E904" i="12"/>
  <c r="E903" i="12"/>
  <c r="E902" i="12"/>
  <c r="E901" i="12"/>
  <c r="E900" i="12"/>
  <c r="E899" i="12"/>
  <c r="E898" i="12"/>
  <c r="E897" i="12"/>
  <c r="E896" i="12"/>
  <c r="E895" i="12"/>
  <c r="E894" i="12"/>
  <c r="E893" i="12"/>
  <c r="E892" i="12"/>
  <c r="E891" i="12"/>
  <c r="E890" i="12"/>
  <c r="E889" i="12"/>
  <c r="E888" i="12"/>
  <c r="E887" i="12"/>
  <c r="E886" i="12"/>
  <c r="E885" i="12"/>
  <c r="E884" i="12"/>
  <c r="E883" i="12"/>
  <c r="E882" i="12"/>
  <c r="E881" i="12"/>
  <c r="E880" i="12"/>
  <c r="E879" i="12"/>
  <c r="E878" i="12"/>
  <c r="E877" i="12"/>
  <c r="E876" i="12"/>
  <c r="E875" i="12"/>
  <c r="E874" i="12"/>
  <c r="E873" i="12"/>
  <c r="E872" i="12"/>
  <c r="E871" i="12"/>
  <c r="E870" i="12"/>
  <c r="E869" i="12"/>
  <c r="E868" i="12"/>
  <c r="E867" i="12"/>
  <c r="E866" i="12"/>
  <c r="E865" i="12"/>
  <c r="E864" i="12"/>
  <c r="E863" i="12"/>
  <c r="E862" i="12"/>
  <c r="E861" i="12"/>
  <c r="E860" i="12"/>
  <c r="E859" i="12"/>
  <c r="E858" i="12"/>
  <c r="E857" i="12"/>
  <c r="E856" i="12"/>
  <c r="E855" i="12"/>
  <c r="E854" i="12"/>
  <c r="E853" i="12"/>
  <c r="E852" i="12"/>
  <c r="E851" i="12"/>
  <c r="E850" i="12"/>
  <c r="E849" i="12"/>
  <c r="E848" i="12"/>
  <c r="E847" i="12"/>
  <c r="E846" i="12"/>
  <c r="E845" i="12"/>
  <c r="E844" i="12"/>
  <c r="E843" i="12"/>
  <c r="E842" i="12"/>
  <c r="E841" i="12"/>
  <c r="E840" i="12"/>
  <c r="E839" i="12"/>
  <c r="E838" i="12"/>
  <c r="E837" i="12"/>
  <c r="E836" i="12"/>
  <c r="E835" i="12"/>
  <c r="E834" i="12"/>
  <c r="E833" i="12"/>
  <c r="E832" i="12"/>
  <c r="E831" i="12"/>
  <c r="E830" i="12"/>
  <c r="E829" i="12"/>
  <c r="E828" i="12"/>
  <c r="E827" i="12"/>
  <c r="E826" i="12"/>
  <c r="E825" i="12"/>
  <c r="E824" i="12"/>
  <c r="E823" i="12"/>
  <c r="E822" i="12"/>
  <c r="E821" i="12"/>
  <c r="E820" i="12"/>
  <c r="E819" i="12"/>
  <c r="E818" i="12"/>
  <c r="E817" i="12"/>
  <c r="E816" i="12"/>
  <c r="E815" i="12"/>
  <c r="E814" i="12"/>
  <c r="E813" i="12"/>
  <c r="E812" i="12"/>
  <c r="E811" i="12"/>
  <c r="E810" i="12"/>
  <c r="E809" i="12"/>
  <c r="E808" i="12"/>
  <c r="E807" i="12"/>
  <c r="E806" i="12"/>
  <c r="E805" i="12"/>
  <c r="E804" i="12"/>
  <c r="E803" i="12"/>
  <c r="E802" i="12"/>
  <c r="E801" i="12"/>
  <c r="E800" i="12"/>
  <c r="E799" i="12"/>
  <c r="E798" i="12"/>
  <c r="E797" i="12"/>
  <c r="E796" i="12"/>
  <c r="E795" i="12"/>
  <c r="E794" i="12"/>
  <c r="E793" i="12"/>
  <c r="E792" i="12"/>
  <c r="E791" i="12"/>
  <c r="E790" i="12"/>
  <c r="E789" i="12"/>
  <c r="E788" i="12"/>
  <c r="E787" i="12"/>
  <c r="E786" i="12"/>
  <c r="E785" i="12"/>
  <c r="E784" i="12"/>
  <c r="E783" i="12"/>
  <c r="E782" i="12"/>
  <c r="E781" i="12"/>
  <c r="E780" i="12"/>
  <c r="E779" i="12"/>
  <c r="E778" i="12"/>
  <c r="E777" i="12"/>
  <c r="E776" i="12"/>
  <c r="E775" i="12"/>
  <c r="E774" i="12"/>
  <c r="E773" i="12"/>
  <c r="E772" i="12"/>
  <c r="E771" i="12"/>
  <c r="E770" i="12"/>
  <c r="E769" i="12"/>
  <c r="E768" i="12"/>
  <c r="E767" i="12"/>
  <c r="E766" i="12"/>
  <c r="E765" i="12"/>
  <c r="E764" i="12"/>
  <c r="E763" i="12"/>
  <c r="E762" i="12"/>
  <c r="E761" i="12"/>
  <c r="E760" i="12"/>
  <c r="E759" i="12"/>
  <c r="E758" i="12"/>
  <c r="E757" i="12"/>
  <c r="E756" i="12"/>
  <c r="E755" i="12"/>
  <c r="E754" i="12"/>
  <c r="E753" i="12"/>
  <c r="E752" i="12"/>
  <c r="E751" i="12"/>
  <c r="E750" i="12"/>
  <c r="E749" i="12"/>
  <c r="E748" i="12"/>
  <c r="E747" i="12"/>
  <c r="E746" i="12"/>
  <c r="E745" i="12"/>
  <c r="E744" i="12"/>
  <c r="E743" i="12"/>
  <c r="E742" i="12"/>
  <c r="E741" i="12"/>
  <c r="E740" i="12"/>
  <c r="E739" i="12"/>
  <c r="E738" i="12"/>
  <c r="E737" i="12"/>
  <c r="E736" i="12"/>
  <c r="E735" i="12"/>
  <c r="E734" i="12"/>
  <c r="E733" i="12"/>
  <c r="E732" i="12"/>
  <c r="E731" i="12"/>
  <c r="E730" i="12"/>
  <c r="E729" i="12"/>
  <c r="E728" i="12"/>
  <c r="E727" i="12"/>
  <c r="E726" i="12"/>
  <c r="E725" i="12"/>
  <c r="E724" i="12"/>
  <c r="E723" i="12"/>
  <c r="E722" i="12"/>
  <c r="E721" i="12"/>
  <c r="E720" i="12"/>
  <c r="E719" i="12"/>
  <c r="E718" i="12"/>
  <c r="E717" i="12"/>
  <c r="E716" i="12"/>
  <c r="E715" i="12"/>
  <c r="E714" i="12"/>
  <c r="E713" i="12"/>
  <c r="E712" i="12"/>
  <c r="E711" i="12"/>
  <c r="E710" i="12"/>
  <c r="E709" i="12"/>
  <c r="E708" i="12"/>
  <c r="E707" i="12"/>
  <c r="E706" i="12"/>
  <c r="E705" i="12"/>
  <c r="E704" i="12"/>
  <c r="E703" i="12"/>
  <c r="E702" i="12"/>
  <c r="E701" i="12"/>
  <c r="E700" i="12"/>
  <c r="E699" i="12"/>
  <c r="E698" i="12"/>
  <c r="E697" i="12"/>
  <c r="E696" i="12"/>
  <c r="E695" i="12"/>
  <c r="E694" i="12"/>
  <c r="E693" i="12"/>
  <c r="E692" i="12"/>
  <c r="E691" i="12"/>
  <c r="E690" i="12"/>
  <c r="E689" i="12"/>
  <c r="E688" i="12"/>
  <c r="E687" i="12"/>
  <c r="E686" i="12"/>
  <c r="E685" i="12"/>
  <c r="E684" i="12"/>
  <c r="E683" i="12"/>
  <c r="E682" i="12"/>
  <c r="E681" i="12"/>
  <c r="E680" i="12"/>
  <c r="E679" i="12"/>
  <c r="E678" i="12"/>
  <c r="E677" i="12"/>
  <c r="E676" i="12"/>
  <c r="E675" i="12"/>
  <c r="E674" i="12"/>
  <c r="E673" i="12"/>
  <c r="E672" i="12"/>
  <c r="E671" i="12"/>
  <c r="E670" i="12"/>
  <c r="E669" i="12"/>
  <c r="E668" i="12"/>
  <c r="E667" i="12"/>
  <c r="E666" i="12"/>
  <c r="E665" i="12"/>
  <c r="E664" i="12"/>
  <c r="E663" i="12"/>
  <c r="E662" i="12"/>
  <c r="E661" i="12"/>
  <c r="E660" i="12"/>
  <c r="E659" i="12"/>
  <c r="E658" i="12"/>
  <c r="E657" i="12"/>
  <c r="E656" i="12"/>
  <c r="E655" i="12"/>
  <c r="E654" i="12"/>
  <c r="E653" i="12"/>
  <c r="E652" i="12"/>
  <c r="E651" i="12"/>
  <c r="E650" i="12"/>
  <c r="E649" i="12"/>
  <c r="E648" i="12"/>
  <c r="E647" i="12"/>
  <c r="E646" i="12"/>
  <c r="E645" i="12"/>
  <c r="E644" i="12"/>
  <c r="E643" i="12"/>
  <c r="E642" i="12"/>
  <c r="E641" i="12"/>
  <c r="E640" i="12"/>
  <c r="E639" i="12"/>
  <c r="E638" i="12"/>
  <c r="E637" i="12"/>
  <c r="E636" i="12"/>
  <c r="E635" i="12"/>
  <c r="E634" i="12"/>
  <c r="E633" i="12"/>
  <c r="E632" i="12"/>
  <c r="E631" i="12"/>
  <c r="E630" i="12"/>
  <c r="E629" i="12"/>
  <c r="E628" i="12"/>
  <c r="E627" i="12"/>
  <c r="E626" i="12"/>
  <c r="E625" i="12"/>
  <c r="E624" i="12"/>
  <c r="E623" i="12"/>
  <c r="E622" i="12"/>
  <c r="E621" i="12"/>
  <c r="E620" i="12"/>
  <c r="E619" i="12"/>
  <c r="E618" i="12"/>
  <c r="E617" i="12"/>
  <c r="E616" i="12"/>
  <c r="E615" i="12"/>
  <c r="E614" i="12"/>
  <c r="E613" i="12"/>
  <c r="E612" i="12"/>
  <c r="E611" i="12"/>
  <c r="E610" i="12"/>
  <c r="E609" i="12"/>
  <c r="E608" i="12"/>
  <c r="E607" i="12"/>
  <c r="E606" i="12"/>
  <c r="E605" i="12"/>
  <c r="E604" i="12"/>
  <c r="E603" i="12"/>
  <c r="E602" i="12"/>
  <c r="E601" i="12"/>
  <c r="E600" i="12"/>
  <c r="E599" i="12"/>
  <c r="E598" i="12"/>
  <c r="E597" i="12"/>
  <c r="E596" i="12"/>
  <c r="E595" i="12"/>
  <c r="E594" i="12"/>
  <c r="E593" i="12"/>
  <c r="E592" i="12"/>
  <c r="E591" i="12"/>
  <c r="E590" i="12"/>
  <c r="E589" i="12"/>
  <c r="E588" i="12"/>
  <c r="E587" i="12"/>
  <c r="E586" i="12"/>
  <c r="E585" i="12"/>
  <c r="E584" i="12"/>
  <c r="E583" i="12"/>
  <c r="E582" i="12"/>
  <c r="E581" i="12"/>
  <c r="E580" i="12"/>
  <c r="E579" i="12"/>
  <c r="E578" i="12"/>
  <c r="E577" i="12"/>
  <c r="E576" i="12"/>
  <c r="E575" i="12"/>
  <c r="E574" i="12"/>
  <c r="E573" i="12"/>
  <c r="E572" i="12"/>
  <c r="E571" i="12"/>
  <c r="E570" i="12"/>
  <c r="E569" i="12"/>
  <c r="E568" i="12"/>
  <c r="E567" i="12"/>
  <c r="E566" i="12"/>
  <c r="E565" i="12"/>
  <c r="E564" i="12"/>
  <c r="E563" i="12"/>
  <c r="E562" i="12"/>
  <c r="E561" i="12"/>
  <c r="E560" i="12"/>
  <c r="E559" i="12"/>
  <c r="E558" i="12"/>
  <c r="E557" i="12"/>
  <c r="E556" i="12"/>
  <c r="E555" i="12"/>
  <c r="E554" i="12"/>
  <c r="E553" i="12"/>
  <c r="E552" i="12"/>
  <c r="E551" i="12"/>
  <c r="E550" i="12"/>
  <c r="E549" i="12"/>
  <c r="E548" i="12"/>
  <c r="E547" i="12"/>
  <c r="E546" i="12"/>
  <c r="E545" i="12"/>
  <c r="E544" i="12"/>
  <c r="E543" i="12"/>
  <c r="E542" i="12"/>
  <c r="E541" i="12"/>
  <c r="E540" i="12"/>
  <c r="E539" i="12"/>
  <c r="E538" i="12"/>
  <c r="E537" i="12"/>
  <c r="E536" i="12"/>
  <c r="E535" i="12"/>
  <c r="E534" i="12"/>
  <c r="E533" i="12"/>
  <c r="E532" i="12"/>
  <c r="E531" i="12"/>
  <c r="E530" i="12"/>
  <c r="E529" i="12"/>
  <c r="E528" i="12"/>
  <c r="E527" i="12"/>
  <c r="E526" i="12"/>
  <c r="E525" i="12"/>
  <c r="E524" i="12"/>
  <c r="E523" i="12"/>
  <c r="E522" i="12"/>
  <c r="E521" i="12"/>
  <c r="E520" i="12"/>
  <c r="E519" i="12"/>
  <c r="E518" i="12"/>
  <c r="E517" i="12"/>
  <c r="E516" i="12"/>
  <c r="E515" i="12"/>
  <c r="E514" i="12"/>
  <c r="E513" i="12"/>
  <c r="E512" i="12"/>
  <c r="E511" i="12"/>
  <c r="E510" i="12"/>
  <c r="E509" i="12"/>
  <c r="E508" i="12"/>
  <c r="E507" i="12"/>
  <c r="E506" i="12"/>
  <c r="E505" i="12"/>
  <c r="E504" i="12"/>
  <c r="E503" i="12"/>
  <c r="E502" i="12"/>
  <c r="E501" i="12"/>
  <c r="E500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9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</calcChain>
</file>

<file path=xl/comments1.xml><?xml version="1.0" encoding="utf-8"?>
<comments xmlns="http://schemas.openxmlformats.org/spreadsheetml/2006/main">
  <authors>
    <author>Nudam</author>
  </authors>
  <commentList>
    <comment ref="C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2. Refresh `CustomData` to pull the readings of the data you entered from Access.
3. Manually update the values for `Shift1`, `Shift2`, and `Shift3`. Enter `-1` for approximately equal values. The correction for CycleTime have been done programmatically already.
4. Refresh `CustomFull` to generate a table that will update (overwrite) the readings on Access.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1. Insert the lines that are online alongside with the date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0. Update CycleTime if needed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H1" authorId="0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The table in this sheet shall be read by Access.ImportPrevious</t>
        </r>
      </text>
    </comment>
  </commentList>
</comments>
</file>

<file path=xl/comments3.xml><?xml version="1.0" encoding="utf-8"?>
<comments xmlns="http://schemas.openxmlformats.org/spreadsheetml/2006/main">
  <authors>
    <author>Nudam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Nathan:</t>
        </r>
        <r>
          <rPr>
            <sz val="8"/>
            <color indexed="81"/>
            <rFont val="Tahoma"/>
            <family val="2"/>
          </rPr>
          <t xml:space="preserve">
Insert the dates that you want to copy the data from. (For pasting to files that can no longer be automatically updated)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ustomData" description="Connection to the 'CustomData' query in the workbook." type="5" refreshedVersion="4" background="1" saveData="1">
    <dbPr connection="provider=Microsoft.Mashup.OleDb.1;data source=$EmbeddedMashup(672efbd5-e7be-411d-88fc-a4e208055261)$;location=CustomData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hMR1gMBAwAALgoAABMAHABGb3JtdWxhcy9TZWN0aW9uMS5tIKIYACigFAAAAAAAAAAAAAAAAAAAAAAAAAAAALWW32/aMBDH3yvxP1jZS5A8VNq3VUxCabd1K7Rq2PZAETLJAVYTG9lOS4X433dJaH6Aw9pJ4wEcn+++n7uzHTQEhktB/Py3e9E6aZ3oJVMQEu8liGDEYyA9EoFpnRD8+DJRQTpztQ4g6niJUiDMb6keZ1I+uu3NeMhi6DmFszPZjj0pDK6a0DzGB8dbMrFAidHLChwMNmKzCDojxYSeSxV7MkpikRq1mwvSzca5UzJMMswbLmAoHUoMLiEG1mZLyaaiubOIJJ6B2m7brRMurNq1fBNtZJzG1v+Ucen+P3K+ZKbIK8RxlvHRkrwrbQzP8qzrSfeDALTupOYZ0+B+4Qi9y027jvfp4edlf/Aw5yJYTlcFzjScTb3bwVknDmdOm5KxpwChh+yJL1i6AMlXoAwH3TMqgUmbZrrTeka+YSbR3zgSqhekybE2Yz9YQsx6jkOvDcQ954hX2ouUfkLf34djNH/pzrb9qncPsXxCvVuzBEXy8LoU9iHCs7ebdvfwqEXD1nTHX/K5qQw9mWCLVPpcnIobpo1Tcg1ALeq7voQagjYQfpdcuE0JvA1tSyvx3+pSO0o0pfjBRdi5FgLUQVmt/LmxLKolV4SpPpZ1ueNPEpMnWR0P+5WZXbs+JTe4OTqX+IXnoWnVeNcs3PPNjavkKVUI2UHdR9mZyjTt6O/bRN1idFaMzo/to3tYRSxAVZFEEUpLU0PMjL9YlIBrS4amXvSU7haqmgeSH2EqEb4qmaww6L18rmhns64dsH55HtmLZFNhABYs8xb7Sezmfeymbay+bdLQBavN46zR47zB49zmUX3blU4DtnbHtVbt+x7cAAMmEhaV4ey3QK3G1PLqwaP+GsJudlAoW9J4pq/WKybCHClfWbDkpmycbx23kR8bWSrVCpXVrbCVheiHqegQnvdEcb4QO2RDncJl1wI+J2XxJxjnlEhVm/pMxq8BJgQvVFF9hkgD+dgtuHypzMG2TifdA2br6+g2PWydvg5AhFwsmv4y7C/btvF/gwXh4g9QSwECLQAUAAIACABJSJVWwTzwSKsAAAD6AAAAEgAAAAAAAAAAAAAAAAAAAAAAQ29uZmlnL1BhY2thZ2UueG1sUEsBAi0AFAACAAgASUiVVg/K6aukAAAA6QAAABMAAAAAAAAAAAAAAAAA9wAAAFtDb250ZW50X1R5cGVzXS54bWxQSwECLQAUAAIACABJSJVWExHWAwEDAAAuCgAAEwAAAAAAAAAAAAAAAADoAQAARm9ybXVsYXMvU2VjdGlvbjEubVBLBQYAAAAAAwADAMIAAAA2BQAAAAA=&quot;" command="SELECT * FROM [CustomData]"/>
  </connection>
  <connection id="2" name="Query - CustomDates" description="Connection to the 'CustomDates' query in the workbook." type="5" refreshedVersion="0" background="1">
    <dbPr connection="provider=Microsoft.Mashup.OleDb.1;data source=$EmbeddedMashup(672efbd5-e7be-411d-88fc-a4e208055261)$;location=CustomDates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gRTGx3wAAAA/QEAABMAHABGb3JtdWxhcy9TZWN0aW9uMS5tIKIYACigFAAAAAAAAAAAAAAAAAAAAAAAAAAAAH2PMWvDMBCFd4P/g1AXG0ygc8hkdyuhNIYOIYMiXxsRSRekU0kx+u+Va5q42FSLhO7de+/zIEmhZbvxflznWZ75k3DQsTp4QvOsLHi2YRooz1g6OwxOQvp5ukrQqzo4B5be0J2PiOei7PdbYWDDJ+v8EPc1Wkq6QzW6PPD6JOxHimm/LsCTXSuOGlatE9a/ozM16mDsMPTFGFn1PX9x2IWfqo0g4BWjJGBdeseKTcdD7hZ/BQRXirHMM2UX4+fYg/0y9oTrxvIKBj/T7iz/xjUqRqg70LxwLGemTbhoJYc+d7tGeVJWUvFP9h/cBbP1N1BLAQItABQAAgAIAElIlVbBPPBIqwAAAPoAAAASAAAAAAAAAAAAAAAAAAAAAABDb25maWcvUGFja2FnZS54bWxQSwECLQAUAAIACABJSJVWD8rpq6QAAADpAAAAEwAAAAAAAAAAAAAAAAD3AAAAW0NvbnRlbnRfVHlwZXNdLnhtbFBLAQItABQAAgAIAElIlVYEUxsd8AAAAP0BAAATAAAAAAAAAAAAAAAAAOgBAABGb3JtdWxhcy9TZWN0aW9uMS5tUEsFBgAAAAADAAMAwgAAACUDAAAAAA==&quot;" command="SELECT * FROM [CustomDates]"/>
  </connection>
  <connection id="3" keepAlive="1" name="Query - CustomFull" description="Connection to the 'CustomFull' query in the workbook." type="5" refreshedVersion="4" background="1" saveData="1">
    <dbPr connection="provider=Microsoft.Mashup.OleDb.1;data source=$EmbeddedMashup(672efbd5-e7be-411d-88fc-a4e208055261)$;location=CustomFull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uRZXf2hAgAANwoAABMAHABGb3JtdWxhcy9TZWN0aW9uMS5tIKIYACigFAAAAAAAAAAAAAAAAAAAAAAAAAAAAM1WXW/aMBR9R+I/WNkLSCkq27SXrpUmaKVtjE6Ebg+Ih5BciFXHRo5dqFD+++wkxAlxWNdp0njB3K9zzvX1FQkEAjOKvPx7eNXtdDtJ5HMI0eg5IDDHMaBrREB0O0h9PCZ5oC23+wDIYCQ5Byp+Mv64Yuyx1z8spn4M106Z7CzTxYhRoaKWbl7jjTOKfLpREPPnLTiq2NxfERjMuU+TNePxiBEZU+1Mejmgezg43zkLZUZzgilMmeMioUKQgL1IXXSoYBYeKuMV8DTtdzuYWrFremUiWKxrJ69SbNL/heaxL0pdoTpnis+25I9k6/J22RVdpZYZxOxJ5TbwS115RC7KCGoSTvuNomO5JTjQfEy5MU4EpoHoncGuybUUa4p+2OpOhq+/bdU1//+4bB3gRXgthsr8mYoP7we6vLG/bbG/a9qnsMue0t88oztJSN5X2zRl0+YWlT6F4dlRUv68X8dWIVsrwA8iTavcAYvToGX/iHi73/r0PGgeMlFjV2C38rTRKZG+Ad+cjpsBmUKifn9hWJdvJ+VaRsPyktwaykuTnDo3V7P5imk4mMBa3EsBvNm2Fjm5PzuXTbM2QDE5NVSm18yrmVAzk+nvY80MpCX3GWyJHygmVA+mFzGRVJdV5vzhEwm9Vp2uTnUv3SKa19Lcs6TaeBimbVxsvHMiF8NWJrYGPNAtfmJ62xVL2UAWrnsRAT9u7Ham9VXUOln1ezi2IndkxxGTamly81by96XTPeELmdg2gE2HKlhJKjYBXqNFFWaJbtAlUgopcmaSUkw3DgKSAHLGbEcNiztMVLgqP2O7CgUPiPqLpG09C9MCtHcC+fEGXQwR42hRtqIw9isDwXiYATbupXCZK6lze9kLr3e+xrl+DycPR636VoZXvwBQSwECLQAUAAIACABJSJVWwTzwSKsAAAD6AAAAEgAAAAAAAAAAAAAAAAAAAAAAQ29uZmlnL1BhY2thZ2UueG1sUEsBAi0AFAACAAgASUiVVg/K6aukAAAA6QAAABMAAAAAAAAAAAAAAAAA9wAAAFtDb250ZW50X1R5cGVzXS54bWxQSwECLQAUAAIACABJSJVW5Fld/aECAAA3CgAAEwAAAAAAAAAAAAAAAADoAQAARm9ybXVsYXMvU2VjdGlvbjEubVBLBQYAAAAAAwADAMIAAADWBAAAAAA=&quot;" command="SELECT * FROM [CustomFull]"/>
  </connection>
  <connection id="4" name="Query - CustomLines" description="Connection to the 'CustomLines' query in the workbook." type="5" refreshedVersion="0" background="1">
    <dbPr connection="provider=Microsoft.Mashup.OleDb.1;data source=$EmbeddedMashup(672efbd5-e7be-411d-88fc-a4e208055261)$;location=CustomLines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iL/FJa3AAAACAEAABMAHABGb3JtdWxhcy9TZWN0aW9uMS5tIKIYACigFAAAAAAAAAAAAAAAAAAAAAAAAAAAAG2OQQuDMAyF74L/oXQXBRF2Fk/dbkMGCjuIh6rZJmoz2hQc4n9fnQw8LJeEvJf3xUBDHSqWb/2Y+J7vmafU0DJhDeF46RQYlrIByPeYqxytbsBtzlMDQyys1qDohrqvEfsgnMtMjpDy3TmvllKgIueroi3lwMVTqofDFO8XcBdXyHqAuNBSmTvqUeBgR7WKJtiQ0Tzzq8bWfl89SQIeMXIG1rp5idheXrkZ/gwEEy1L6Hud+otPPlBLAQItABQAAgAIAElIlVbBPPBIqwAAAPoAAAASAAAAAAAAAAAAAAAAAAAAAABDb25maWcvUGFja2FnZS54bWxQSwECLQAUAAIACABJSJVWD8rpq6QAAADpAAAAEwAAAAAAAAAAAAAAAAD3AAAAW0NvbnRlbnRfVHlwZXNdLnhtbFBLAQItABQAAgAIAElIlVYi/xSWtwAAAAgBAAATAAAAAAAAAAAAAAAAAOgBAABGb3JtdWxhcy9TZWN0aW9uMS5tUEsFBgAAAAADAAMAwgAAAOwCAAAAAA==&quot;" command="SELECT * FROM [CustomLines]"/>
  </connection>
  <connection id="5" name="Query - CustomUpdated" description="Connection to the 'CustomUpdated' query in the workbook." type="5" refreshedVersion="0" background="1">
    <dbPr connection="provider=Microsoft.Mashup.OleDb.1;data source=$EmbeddedMashup(672efbd5-e7be-411d-88fc-a4e208055261)$;location=CustomUpdated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mEstDvkAAAAbAEAABMAHABGb3JtdWxhcy9TZWN0aW9uMS5tIKIYACigFAAAAAAAAAAAAAAAAAAAAAAAAAAAAHWPPWvDMBCGd4P/g1CXBIwhbekSMqkdCsUU7NIhZJDtS20i3QXpRBOM/3vlmH5AWy1Cz70898pDwz2hKOd7tU6TNPGddtAKFTyTfTm2muNrIwxwmoh4SgqugUgeTg2YXAXnAPmV3KEmOiyWw7bQFjZyFtxr1nI3bhUhx9gumyVXUnUa36K5Oh9BRlulawN55TT6PTmryASL09Av5o3ZMMhnR224dI1ekJngGBBTxTETP8dPPUJBnwGGE18CZdfveRXxI/LdbT7pv/n1P/zmNy/gXZ0b89UAg63BjeMyTXr884frD1BLAQItABQAAgAIAElIlVbBPPBIqwAAAPoAAAASAAAAAAAAAAAAAAAAAAAAAABDb25maWcvUGFja2FnZS54bWxQSwECLQAUAAIACABJSJVWD8rpq6QAAADpAAAAEwAAAAAAAAAAAAAAAAD3AAAAW0NvbnRlbnRfVHlwZXNdLnhtbFBLAQItABQAAgAIAElIlVZhLLQ75AAAAGwBAAATAAAAAAAAAAAAAAAAAOgBAABGb3JtdWxhcy9TZWN0aW9uMS5tUEsFBgAAAAADAAMAwgAAABkDAAAAAA==&quot;" command="SELECT * FROM [CustomUpdated]"/>
  </connection>
  <connection id="6" name="Query - CycleTime" description="Connection to the 'CycleTime' query in the workbook." type="5" refreshedVersion="0" background="1">
    <dbPr connection="provider=Microsoft.Mashup.OleDb.1;data source=$EmbeddedMashup(672efbd5-e7be-411d-88fc-a4e208055261)$;location=CycleTime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hHd+j+3AAAAAQEAABMAHABGb3JtdWxhcy9TZWN0aW9uMS5tIKIYACigFAAAAAAAAAAAAAAAAAAAAAAAAAAAAG2OMQvCMBCF90L/Q4iLQhCci1NwkyJYcBCHtJ5amtzJNYGW0v9uakUcvOXg3rv3vRYqXxOK47w3WZqkSfswDFeh+8pCUTsQW2HBp4mIc6TA1XTZdRXYtQ7MgP5E3JREzXI1nHPjYCu/z/IynjWhj66LmjMWUj8M3iOi6J8gY1hhSgvrgg22N2KnyQaHk9guZ6AaBnlguoZ3zX2NkJNUwkeL8ND5UYnhh/lRMLgSeBxXaVLjX3b2AlBLAQItABQAAgAIAElIlVbBPPBIqwAAAPoAAAASAAAAAAAAAAAAAAAAAAAAAABDb25maWcvUGFja2FnZS54bWxQSwECLQAUAAIACABJSJVWD8rpq6QAAADpAAAAEwAAAAAAAAAAAAAAAAD3AAAAW0NvbnRlbnRfVHlwZXNdLnhtbFBLAQItABQAAgAIAElIlVYR3fo/twAAAAEBAAATAAAAAAAAAAAAAAAAAOgBAABGb3JtdWxhcy9TZWN0aW9uMS5tUEsFBgAAAAADAAMAwgAAAOwCAAAAAA==&quot;" command="SELECT * FROM [CycleTime]"/>
  </connection>
  <connection id="7" keepAlive="1" name="Query - ManCpyData" description="Connection to the 'ManCpyData' query in the workbook." type="5" refreshedVersion="4" background="1" saveData="1">
    <dbPr connection="provider=Microsoft.Mashup.OleDb.1;data source=$EmbeddedMashup(672efbd5-e7be-411d-88fc-a4e208055261)$;location=ManCpyData;extended properties=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mTZD3acAgAAfgcAABMAHABGb3JtdWxhcy9TZWN0aW9uMS5tIKIYACigFAAAAAAAAAAAAAAAAAAAAAAAAAAAAJ1VW2/aMBR+R+I/WN5LkCzUlrdVTKrCLt0KrRq2PVCETHIgVhMb+dIWIf777CTNBQKqxgPEPrfv+845QUGomeAoyH8vr7udbkfFVEKExpT7m+2IalBoiBLQ3Q6yn0AYGYK9+foWQtL3jZTA9V8hn5dCPHu93WxCUxjiWjie72e+4Nr6zUme5RP2Y8rXtsx0uwFs003pMoH+VFKuVkKmvkhMyp1ReXlJstu5pIYmvnhPTJC2Hiiyh/2+1+0w3pq+lRZtZXUThqBU39mXVIH3jVlUBXjlYf/z0+/RzfhpxXgYLzZSRCZTbhEtF/79+KqfRkvcI2jmS7CgJvSFralzeJBiA1IzUEMtDcx7hRCLhzLHHeMQaKqN+sGUFnJr4eS4drMgjCGlQ4zJrYZ0iM9EObUd/P+S+hwc14DK7BpwoH9Z8BFS8WIL3usYJMrzq6pyAImdt+LaO8BHWooc0J0IdxfEbKVrj74wtkvSnf1tmMCUpXBHlcY1YGOQ6+ZoV6gmoDREPwXj3ikGx9j2pJaLHA/onjQWgbj0vxiP+recgzxWrBVZbqz0amGRly6PNcoP7EVYXgWHKml277VXJujOtrw/sl92zk95zYoO2Fk+3Y06xU1CQ5uDmyRBQSx0g2Jm/EMTA94RaOJCyAUpvGTD3VLPKl6Wta/Kp0Fdie9SmI1N+ihea5WzW68dHkEfGsa99auBABrGuYCBSb1cpUsnUrYr3KRLkC6kAtsWcXUyYnAiYtAWUa5CI2hM37xZY0sOY2u63USRlaV6HVTaWUveIe9AXatSzb+ozFboXQz0BV0gIdE71eZ5kJ/t6nGEHw3njK8xgkQBwiPxyhtDJWQEshyVxkhlpmptjnh8+FXT4HJu2urvHtz8QzpGev0PUEsBAi0AFAACAAgASUiVVsE88EirAAAA+gAAABIAAAAAAAAAAAAAAAAAAAAAAENvbmZpZy9QYWNrYWdlLnhtbFBLAQItABQAAgAIAElIlVYPyumrpAAAAOkAAAATAAAAAAAAAAAAAAAAAPcAAABbQ29udGVudF9UeXBlc10ueG1sUEsBAi0AFAACAAgASUiVVmTZD3acAgAAfgcAABMAAAAAAAAAAAAAAAAA6AEAAEZvcm11bGFzL1NlY3Rpb24xLm1QSwUGAAAAAAMAAwDCAAAA0QQAAAAA" command="SELECT * FROM [ManCpyData]"/>
  </connection>
  <connection id="8" name="Query - ManCpyDates" description="Connection to the 'ManCpyDates' query in the workbook." type="5" refreshedVersion="0" background="1">
    <dbPr connection="provider=Microsoft.Mashup.OleDb.1;data source=$EmbeddedMashup(672efbd5-e7be-411d-88fc-a4e208055261)$;location=ManCpyDates;extended properties=&quot;UEsDBBQAAgAIAElIlVbBPPBIqwAAAPoAAAASABwAQ29uZmlnL1BhY2thZ2UueG1sIKIYACigFAAAAAAAAAAAAAAAAAAAAAAAAAAAAIWPzwqCQBjEX0X27rfrivaHz5XwmhAE0XVZN13SNXRN361Dj9QrFJTRrdvMMD+YedzumE5N7V1115vWJiQARjxtVVsYWyZkcCd/SVKBO6nOstTeq2z79dSbhFTOXdaUjuMIYwhtV1LOWECP+XavKt1I39jeSas0+VLFf4oIPLzHCA4xh4hzDgsWIJ1jzI2ddQARhHwVA0P6E2M21G7otNDWzzZIZ4v080M8AVBLAwQUAAIACABJSJVW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UiVVswpYM6pAAAA6AAAABMAHABGb3JtdWxhcy9TZWN0aW9uMS5tIKIYACigFAAAAAAAAAAAAAAAAAAAAAAAAAAAAG2NPwuDMBDF90C+Q0gXBRE6i1PasV0UOohD1GsVY07yByrid29ECh16y+Pu3vs9C60bULPi0HNGCSW2lwY6dpNazMtFOrAsZwocJSxMgd60EC7XdwsqFd4Y0O6BZmwQxyheq7ucIOc/cV5vlUDtgq9ODsqJi17qV6gplxl4wJWyUZCWRmr7RDMJVH7S+9NGR2WyrjvUSyXwC06YCw7WhWXbYkoG/ReffQBQSwECLQAUAAIACABJSJVWwTzwSKsAAAD6AAAAEgAAAAAAAAAAAAAAAAAAAAAAQ29uZmlnL1BhY2thZ2UueG1sUEsBAi0AFAACAAgASUiVVg/K6aukAAAA6QAAABMAAAAAAAAAAAAAAAAA9wAAAFtDb250ZW50X1R5cGVzXS54bWxQSwECLQAUAAIACABJSJVWzClgzqkAAADoAAAAEwAAAAAAAAAAAAAAAADoAQAARm9ybXVsYXMvU2VjdGlvbjEubVBLBQYAAAAAAwADAMIAAADeAgAAAAA=&quot;" command="SELECT * FROM [ManCpyDates]"/>
  </connection>
</connections>
</file>

<file path=xl/sharedStrings.xml><?xml version="1.0" encoding="utf-8"?>
<sst xmlns="http://schemas.openxmlformats.org/spreadsheetml/2006/main" count="33987" uniqueCount="428">
  <si>
    <t>ProductionDate</t>
  </si>
  <si>
    <t>ProductionLineNo</t>
  </si>
  <si>
    <t>ShiftCounter</t>
  </si>
  <si>
    <t>ShiftNo</t>
  </si>
  <si>
    <t>LineStatus</t>
  </si>
  <si>
    <t>09A</t>
  </si>
  <si>
    <t>Shift1</t>
  </si>
  <si>
    <t>Shift2</t>
  </si>
  <si>
    <t>Shift3</t>
  </si>
  <si>
    <t>09B</t>
  </si>
  <si>
    <t>10A</t>
  </si>
  <si>
    <t>10B</t>
  </si>
  <si>
    <t>11A</t>
  </si>
  <si>
    <t>12B</t>
  </si>
  <si>
    <t>15B</t>
  </si>
  <si>
    <t>16B</t>
  </si>
  <si>
    <t>17B</t>
  </si>
  <si>
    <t>18B</t>
  </si>
  <si>
    <t>19B</t>
  </si>
  <si>
    <t>19A</t>
  </si>
  <si>
    <t>22B</t>
  </si>
  <si>
    <t>23A</t>
  </si>
  <si>
    <t>23B</t>
  </si>
  <si>
    <t>24B</t>
  </si>
  <si>
    <t>25A</t>
  </si>
  <si>
    <t>26A</t>
  </si>
  <si>
    <t>27A</t>
  </si>
  <si>
    <t>27B</t>
  </si>
  <si>
    <t>28A</t>
  </si>
  <si>
    <t>29A</t>
  </si>
  <si>
    <t>29B</t>
  </si>
  <si>
    <t>30A</t>
  </si>
  <si>
    <t>30B</t>
  </si>
  <si>
    <t>31B</t>
  </si>
  <si>
    <t>32A</t>
  </si>
  <si>
    <t>32B</t>
  </si>
  <si>
    <t>33B</t>
  </si>
  <si>
    <t>34B</t>
  </si>
  <si>
    <t>21B</t>
  </si>
  <si>
    <t>05C</t>
  </si>
  <si>
    <t>03B</t>
  </si>
  <si>
    <t>08A</t>
  </si>
  <si>
    <t>20B</t>
  </si>
  <si>
    <t>08B</t>
  </si>
  <si>
    <t>MoldNo</t>
  </si>
  <si>
    <t>ColorCode</t>
  </si>
  <si>
    <t>SiloNo</t>
  </si>
  <si>
    <t>StationNo</t>
  </si>
  <si>
    <t>MachineModel</t>
  </si>
  <si>
    <t>CounterStart</t>
  </si>
  <si>
    <t>CounterStop</t>
  </si>
  <si>
    <t>CounterLast</t>
  </si>
  <si>
    <t>CycleTimeLast</t>
  </si>
  <si>
    <t>StatusRemarks</t>
  </si>
  <si>
    <t>36A</t>
  </si>
  <si>
    <t>OTLH-3</t>
  </si>
  <si>
    <t>Black</t>
  </si>
  <si>
    <t>ABS1000</t>
  </si>
  <si>
    <t>SHI SE350E</t>
  </si>
  <si>
    <t>35U2</t>
  </si>
  <si>
    <t>Clear</t>
  </si>
  <si>
    <t>35U1</t>
  </si>
  <si>
    <t>34A</t>
  </si>
  <si>
    <t>33A</t>
  </si>
  <si>
    <t>3F</t>
  </si>
  <si>
    <t>SHI SE450E</t>
  </si>
  <si>
    <t>3E</t>
  </si>
  <si>
    <t>31A</t>
  </si>
  <si>
    <t>3D</t>
  </si>
  <si>
    <t>3C</t>
  </si>
  <si>
    <t>3B</t>
  </si>
  <si>
    <t>3A</t>
  </si>
  <si>
    <t>28B</t>
  </si>
  <si>
    <t>UG</t>
  </si>
  <si>
    <t>26B</t>
  </si>
  <si>
    <t>25B</t>
  </si>
  <si>
    <t>Regrind</t>
  </si>
  <si>
    <t>24A</t>
  </si>
  <si>
    <t>2F</t>
  </si>
  <si>
    <t>2E</t>
  </si>
  <si>
    <t>2D</t>
  </si>
  <si>
    <t>White</t>
  </si>
  <si>
    <t>2C</t>
  </si>
  <si>
    <t>22A</t>
  </si>
  <si>
    <t>2B</t>
  </si>
  <si>
    <t>2A</t>
  </si>
  <si>
    <t>21A</t>
  </si>
  <si>
    <t>20A</t>
  </si>
  <si>
    <t>18A</t>
  </si>
  <si>
    <t>17A</t>
  </si>
  <si>
    <t>Silo4</t>
  </si>
  <si>
    <t>16A</t>
  </si>
  <si>
    <t>1F</t>
  </si>
  <si>
    <t>Silo2</t>
  </si>
  <si>
    <t>1E</t>
  </si>
  <si>
    <t>15A</t>
  </si>
  <si>
    <t>1D</t>
  </si>
  <si>
    <t>14B</t>
  </si>
  <si>
    <t>1C</t>
  </si>
  <si>
    <t>14A</t>
  </si>
  <si>
    <t>1B</t>
  </si>
  <si>
    <t>13B</t>
  </si>
  <si>
    <t>1A</t>
  </si>
  <si>
    <t>13A</t>
  </si>
  <si>
    <t>12A</t>
  </si>
  <si>
    <t>11B</t>
  </si>
  <si>
    <t>0F</t>
  </si>
  <si>
    <t>07B</t>
  </si>
  <si>
    <t>0E</t>
  </si>
  <si>
    <t>07A</t>
  </si>
  <si>
    <t>0D</t>
  </si>
  <si>
    <t>06B</t>
  </si>
  <si>
    <t>0C</t>
  </si>
  <si>
    <t>06A</t>
  </si>
  <si>
    <t>0B</t>
  </si>
  <si>
    <t>A5F</t>
  </si>
  <si>
    <t>4B</t>
  </si>
  <si>
    <t>05B</t>
  </si>
  <si>
    <t>0A</t>
  </si>
  <si>
    <t>05A</t>
  </si>
  <si>
    <t>04C</t>
  </si>
  <si>
    <t>4A</t>
  </si>
  <si>
    <t>04B</t>
  </si>
  <si>
    <t>DEO-S02</t>
  </si>
  <si>
    <t>04A</t>
  </si>
  <si>
    <t>JAB-007A</t>
  </si>
  <si>
    <t>PET-White</t>
  </si>
  <si>
    <t>03C</t>
  </si>
  <si>
    <t>03A</t>
  </si>
  <si>
    <t>JAB-014</t>
  </si>
  <si>
    <t>02C</t>
  </si>
  <si>
    <t>02B</t>
  </si>
  <si>
    <t>02A</t>
  </si>
  <si>
    <t>JAB-007B</t>
  </si>
  <si>
    <t>01C</t>
  </si>
  <si>
    <t>01B</t>
  </si>
  <si>
    <t>01A</t>
  </si>
  <si>
    <t>27S</t>
  </si>
  <si>
    <t>Down</t>
  </si>
  <si>
    <t>Running</t>
  </si>
  <si>
    <t>DEO-C02</t>
  </si>
  <si>
    <t>DEO-B02</t>
  </si>
  <si>
    <t>JAB-050A</t>
  </si>
  <si>
    <t>DEO-D02</t>
  </si>
  <si>
    <t>PPH90+胶头</t>
  </si>
  <si>
    <t>CycleTime</t>
  </si>
  <si>
    <t>MoldType</t>
  </si>
  <si>
    <t>NX</t>
  </si>
  <si>
    <t>Cap</t>
  </si>
  <si>
    <t>JAB</t>
  </si>
  <si>
    <t>Plug</t>
  </si>
  <si>
    <t>Barrel</t>
  </si>
  <si>
    <t>Screw</t>
  </si>
  <si>
    <t>Platform</t>
  </si>
  <si>
    <t>Inner dome</t>
  </si>
  <si>
    <t>SDecoW</t>
  </si>
  <si>
    <t>SDecoII</t>
  </si>
  <si>
    <t>TENEL</t>
  </si>
  <si>
    <t>DVFSII</t>
  </si>
  <si>
    <t>OTLH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</si>
  <si>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</si>
  <si>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</si>
  <si>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</si>
  <si>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</si>
  <si>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</si>
  <si>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</si>
  <si>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</si>
  <si>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</si>
  <si>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</si>
  <si>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NewCycle</t>
  </si>
  <si>
    <t>Total Correct %</t>
  </si>
  <si>
    <t>Correct shots%</t>
  </si>
  <si>
    <t>Correct Cycle%</t>
  </si>
  <si>
    <t>ManualCopyDates</t>
  </si>
  <si>
    <t>DER-P02</t>
  </si>
  <si>
    <t>DER-C02</t>
  </si>
  <si>
    <t>DER-U02</t>
  </si>
  <si>
    <t>DER-B02</t>
  </si>
  <si>
    <t>JAB-014B</t>
  </si>
  <si>
    <t>DER-R01</t>
  </si>
  <si>
    <t>DER-C03</t>
  </si>
  <si>
    <t>DER-S02</t>
  </si>
  <si>
    <t>SD534ecoW</t>
  </si>
  <si>
    <t>SD678ecoII</t>
  </si>
  <si>
    <t>PPH90+MIX</t>
  </si>
  <si>
    <t>Black ABS</t>
  </si>
  <si>
    <t>Wheel</t>
  </si>
  <si>
    <t>Cartridge</t>
  </si>
  <si>
    <t>JAB-014C</t>
  </si>
  <si>
    <t>DEO-P03</t>
  </si>
  <si>
    <t>PET-Blue</t>
  </si>
  <si>
    <t>DEO-C01</t>
  </si>
  <si>
    <t>PCR+PET</t>
  </si>
  <si>
    <t>DEO-C03</t>
  </si>
  <si>
    <t>DEO-B01</t>
  </si>
  <si>
    <t>DS-B01</t>
  </si>
  <si>
    <t>DS-R01</t>
  </si>
  <si>
    <t>SBSELecoIIl</t>
  </si>
  <si>
    <t>DS-White</t>
  </si>
  <si>
    <t>PET</t>
  </si>
  <si>
    <t>FC2304E</t>
  </si>
  <si>
    <t>EVecoIII</t>
  </si>
  <si>
    <t>TRL Elite Blue</t>
  </si>
  <si>
    <t>DEO-B03</t>
  </si>
  <si>
    <t>MEO-C01</t>
  </si>
  <si>
    <t>A8F</t>
  </si>
  <si>
    <t>47</t>
  </si>
  <si>
    <t>49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</si>
  <si>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</si>
  <si>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</si>
  <si>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</si>
  <si>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</si>
  <si>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</si>
  <si>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</si>
  <si>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</si>
  <si>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</si>
  <si>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</si>
  <si>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</si>
  <si>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</si>
  <si>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</si>
  <si>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</si>
  <si>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</si>
  <si>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</si>
  <si>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</si>
  <si>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</si>
  <si>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</si>
  <si>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</si>
  <si>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</si>
  <si>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</si>
  <si>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</si>
  <si>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</si>
  <si>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</si>
  <si>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</si>
  <si>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</si>
  <si>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</si>
  <si>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</si>
  <si>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39</t>
  </si>
  <si>
    <t>40</t>
  </si>
  <si>
    <t>41</t>
  </si>
  <si>
    <t>42</t>
  </si>
  <si>
    <t>43</t>
  </si>
  <si>
    <t>44</t>
  </si>
  <si>
    <t>45</t>
  </si>
  <si>
    <t>46</t>
  </si>
  <si>
    <t>ManCycle</t>
  </si>
  <si>
    <t>Blue Tray装货</t>
  </si>
  <si>
    <t>DEO-C05</t>
  </si>
  <si>
    <t>SBSEL-29ecoIII</t>
  </si>
  <si>
    <t>With Tray</t>
  </si>
  <si>
    <t>DEO-S01</t>
  </si>
  <si>
    <t>注塑机故障</t>
  </si>
  <si>
    <t>MEO-P01</t>
  </si>
  <si>
    <t>MEO-S01</t>
  </si>
  <si>
    <t>Silo8</t>
  </si>
  <si>
    <t>ProductionLineStatus</t>
  </si>
  <si>
    <t>Paste Here -&gt;</t>
  </si>
  <si>
    <t>34AF</t>
  </si>
  <si>
    <t>34AR</t>
  </si>
  <si>
    <t>35U1F</t>
  </si>
  <si>
    <t>35U1R</t>
  </si>
  <si>
    <t>35U2F</t>
  </si>
  <si>
    <t>35U2R</t>
  </si>
  <si>
    <t>SHI SE130D</t>
  </si>
  <si>
    <t>MEO-B01</t>
  </si>
  <si>
    <t>Copy These Columns</t>
  </si>
  <si>
    <t>This</t>
  </si>
  <si>
    <t>PCR-Q+6331</t>
  </si>
  <si>
    <t>A4F</t>
  </si>
  <si>
    <t>DEO-C07</t>
  </si>
  <si>
    <t>EVeco</t>
  </si>
  <si>
    <t>VM</t>
  </si>
  <si>
    <t>DEO-S03</t>
  </si>
  <si>
    <t>DEO-B06</t>
  </si>
  <si>
    <t>ELFS</t>
  </si>
  <si>
    <t>5%8401</t>
  </si>
  <si>
    <t>DEO-Green</t>
  </si>
  <si>
    <t>PCR（KW621）</t>
  </si>
  <si>
    <t>EV-39ecoIII</t>
  </si>
  <si>
    <t>DEO-U04</t>
  </si>
  <si>
    <t>PCR621-GRAY</t>
  </si>
  <si>
    <t>ELT-9</t>
  </si>
  <si>
    <t>ELT</t>
  </si>
  <si>
    <t>DEO-D04</t>
  </si>
  <si>
    <t>DW-P01</t>
  </si>
  <si>
    <t>TGT CREAM</t>
  </si>
  <si>
    <t>RPP EFP814</t>
  </si>
  <si>
    <t>DW-D02</t>
  </si>
  <si>
    <t>DER-W01</t>
  </si>
  <si>
    <t>DW-C01</t>
  </si>
  <si>
    <t>DW-B01</t>
  </si>
  <si>
    <t>大Blue Tray装货</t>
  </si>
  <si>
    <t>DW-S02</t>
  </si>
  <si>
    <t>TEN-5 3T8</t>
  </si>
  <si>
    <t>TEN</t>
  </si>
  <si>
    <t>SD529ecoW</t>
  </si>
  <si>
    <t>SD702ecoII</t>
  </si>
  <si>
    <t>SBSEL-6ecoIII</t>
  </si>
  <si>
    <t>PCR-Q300</t>
  </si>
  <si>
    <t>DER-S01</t>
  </si>
  <si>
    <t>DER-C04</t>
  </si>
  <si>
    <t>DER-U01</t>
  </si>
  <si>
    <t>Blue Tray装货 //1出8</t>
  </si>
  <si>
    <t>DER-C05</t>
  </si>
  <si>
    <t>OTELFS</t>
  </si>
  <si>
    <t>EV-25ecoIII-1T3</t>
  </si>
  <si>
    <t>DEO-U02</t>
  </si>
  <si>
    <t>Light Blue</t>
  </si>
  <si>
    <t>DEO-P04</t>
  </si>
  <si>
    <t>SD525ecoW</t>
  </si>
  <si>
    <t>EV-40ecoIII</t>
  </si>
  <si>
    <t>PD633160</t>
  </si>
  <si>
    <t>DER-D02</t>
  </si>
  <si>
    <t>CC10288377M9</t>
  </si>
  <si>
    <t>Custom Yellow</t>
  </si>
  <si>
    <t>OTELFS-2 2T4</t>
  </si>
  <si>
    <t>SD703ecoII</t>
  </si>
  <si>
    <t>DVFSII-9 2T4</t>
  </si>
  <si>
    <t>SDC201ecoIII1T3</t>
  </si>
  <si>
    <t>SDCecoIII</t>
  </si>
  <si>
    <t>Dark Pink</t>
  </si>
  <si>
    <t>Blue Tray装货 //1出24</t>
  </si>
  <si>
    <t>Bronze</t>
  </si>
  <si>
    <t>TENEL-4 4T10</t>
  </si>
  <si>
    <t>SD707ecoII</t>
  </si>
  <si>
    <t>TIPS-4</t>
  </si>
  <si>
    <t>CTN973</t>
  </si>
  <si>
    <t>TIP-INSERT</t>
  </si>
  <si>
    <t>VC2</t>
  </si>
  <si>
    <t>TRL PS4 Blue</t>
  </si>
  <si>
    <t>PS4</t>
  </si>
  <si>
    <t>DS-D02</t>
  </si>
  <si>
    <t>DVFSII-4 2T6</t>
  </si>
  <si>
    <t>JAC-02</t>
  </si>
  <si>
    <t>DER-B03</t>
  </si>
  <si>
    <t>RG10190</t>
  </si>
  <si>
    <t>Light Pink</t>
  </si>
  <si>
    <t>SBDVEII</t>
  </si>
  <si>
    <t>#1大披锋，1出2</t>
  </si>
  <si>
    <t>黑A料+DEO</t>
  </si>
  <si>
    <t>DER-C06</t>
  </si>
  <si>
    <t>JAB-030A</t>
  </si>
  <si>
    <t>模具具信号断不合模</t>
  </si>
  <si>
    <t>Orange</t>
  </si>
  <si>
    <t>MEO-B02</t>
  </si>
  <si>
    <t>MEO-S02</t>
  </si>
  <si>
    <t>DER Pink</t>
  </si>
  <si>
    <t>Silo6</t>
  </si>
  <si>
    <t>VM7</t>
  </si>
  <si>
    <t>XBOX Green</t>
  </si>
  <si>
    <t>DER-B04</t>
  </si>
  <si>
    <t>A3F</t>
  </si>
  <si>
    <t>DW-B02</t>
  </si>
  <si>
    <t>Beige</t>
  </si>
  <si>
    <t>DW-C02</t>
  </si>
  <si>
    <t>SD708ecoII</t>
  </si>
  <si>
    <t>Red-DEO</t>
  </si>
  <si>
    <t>DER-C07</t>
  </si>
  <si>
    <t>Medium Pink</t>
  </si>
  <si>
    <t>Amber</t>
  </si>
  <si>
    <t>DER-BLUE</t>
  </si>
  <si>
    <t>GREY</t>
  </si>
  <si>
    <t>Yellow</t>
  </si>
  <si>
    <t>DER-S04</t>
  </si>
  <si>
    <t>#5断顶针</t>
  </si>
  <si>
    <t>ELFS-4 2T6</t>
  </si>
  <si>
    <t>10%3962 With Tray</t>
  </si>
  <si>
    <t>Elite Blue V4</t>
  </si>
  <si>
    <t>黑A料+DVD MIX</t>
  </si>
  <si>
    <t>DV389</t>
  </si>
  <si>
    <t>Silo7</t>
  </si>
  <si>
    <t>DVD</t>
  </si>
  <si>
    <t>SDCecoII</t>
  </si>
  <si>
    <t>DS-D03</t>
  </si>
  <si>
    <t>转模中</t>
  </si>
  <si>
    <t>DER-Bark Brown</t>
  </si>
  <si>
    <t>DER-Grey</t>
  </si>
  <si>
    <t>TR Blue</t>
  </si>
  <si>
    <t>DER-Yellow</t>
  </si>
  <si>
    <t>Purple</t>
  </si>
  <si>
    <t>White色种</t>
  </si>
  <si>
    <t>Blue Tray装货 //1出16</t>
  </si>
  <si>
    <t>DEO-C04</t>
  </si>
  <si>
    <t>DER-Green</t>
  </si>
  <si>
    <t>MEO-C02</t>
  </si>
  <si>
    <t>EV-15eco</t>
  </si>
  <si>
    <t>SD533ecoW</t>
  </si>
  <si>
    <t>OTFS-1</t>
  </si>
  <si>
    <t>OTFS</t>
  </si>
  <si>
    <t>OTC-21</t>
  </si>
  <si>
    <t>OTC</t>
  </si>
  <si>
    <t>SD222ecoIII</t>
  </si>
  <si>
    <t>SDecoIII</t>
  </si>
  <si>
    <t>JAB-1-75</t>
  </si>
  <si>
    <t>CEO-C01</t>
  </si>
  <si>
    <t>ELFS-5 2T5</t>
  </si>
  <si>
    <t>试料</t>
  </si>
  <si>
    <t>DER-D05</t>
  </si>
  <si>
    <t>MEO-P02</t>
  </si>
  <si>
    <t>DER-Pink</t>
  </si>
  <si>
    <t>Teal</t>
  </si>
  <si>
    <t>10%IP252</t>
  </si>
  <si>
    <t>PPDTE7</t>
  </si>
  <si>
    <t>FSM B10A打印Label</t>
  </si>
  <si>
    <t>PPDTE</t>
  </si>
  <si>
    <t>Blue Tray装货 //1出7/米老鼠/6#水位凸</t>
  </si>
  <si>
    <t>DW-B03</t>
  </si>
  <si>
    <t>Dark Gray</t>
  </si>
  <si>
    <t>CEO-B01</t>
  </si>
  <si>
    <t>Light Gray</t>
  </si>
  <si>
    <t>DW-C03</t>
  </si>
  <si>
    <t>OTELFS-2 1T3</t>
  </si>
  <si>
    <t>SD531ecoW</t>
  </si>
  <si>
    <t>10%3962</t>
  </si>
  <si>
    <t>OTCEL-1</t>
  </si>
  <si>
    <t>OTCEL</t>
  </si>
  <si>
    <t>OTSBS-1</t>
  </si>
  <si>
    <t>OTSBS</t>
  </si>
  <si>
    <t>purple</t>
  </si>
  <si>
    <t>33AF</t>
  </si>
  <si>
    <t>33AR</t>
  </si>
  <si>
    <t>48</t>
  </si>
  <si>
    <t>10%3962 With Tray  //待Tray</t>
  </si>
  <si>
    <t>38</t>
  </si>
  <si>
    <t>66</t>
  </si>
  <si>
    <t>电箱流道#5不升温，1出3</t>
  </si>
  <si>
    <t>68</t>
  </si>
  <si>
    <t>69</t>
  </si>
  <si>
    <t>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</si>
</sst>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16">
    <xf numFmtId="0" fontId="0" fillId="0" borderId="0"/>
    <xf numFmtId="0" fontId="2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15" fontId="3" fillId="0" borderId="1" xfId="1" applyNumberFormat="1" applyFont="1" applyFill="1" applyBorder="1" applyAlignment="1">
      <alignment horizontal="right" wrapText="1"/>
    </xf>
    <xf numFmtId="0" fontId="3" fillId="0" borderId="1" xfId="1" applyFont="1" applyFill="1" applyBorder="1" applyAlignment="1">
      <alignment wrapText="1"/>
    </xf>
    <xf numFmtId="0" fontId="0" fillId="0" borderId="0" xfId="0" applyFont="1"/>
    <xf numFmtId="15" fontId="3" fillId="0" borderId="0" xfId="1" applyNumberFormat="1" applyFont="1" applyFill="1" applyBorder="1" applyAlignment="1">
      <alignment horizontal="right" wrapText="1"/>
    </xf>
    <xf numFmtId="0" fontId="3" fillId="0" borderId="0" xfId="1" applyFont="1" applyFill="1" applyBorder="1" applyAlignment="1">
      <alignment wrapText="1"/>
    </xf>
    <xf numFmtId="0" fontId="0" fillId="0" borderId="0" xfId="1" applyFont="1" applyFill="1" applyBorder="1" applyAlignment="1">
      <alignment wrapText="1"/>
    </xf>
    <xf numFmtId="14" fontId="0" fillId="0" borderId="0" xfId="0" applyNumberFormat="1"/>
    <xf numFmtId="49" fontId="0" fillId="0" borderId="0" xfId="0" applyNumberFormat="1"/>
    <xf numFmtId="14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NumberFormat="1" applyAlignment="1"/>
    <xf numFmtId="14" fontId="0" fillId="0" borderId="0" xfId="0" applyNumberFormat="1" applyAlignment="1"/>
    <xf numFmtId="0" fontId="0" fillId="0" borderId="0" xfId="0"/>
    <xf numFmtId="14" fontId="0" fillId="0" borderId="0" xfId="0" applyNumberFormat="1"/>
    <xf numFmtId="166" fontId="0" fillId="0" borderId="0" xfId="0" applyNumberFormat="1" applyAlignment="1"/>
    <xf numFmtId="0" fontId="0" fillId="0" borderId="0" xfId="0"/>
    <xf numFmtId="0" fontId="0" fillId="0" borderId="0" xfId="0" applyNumberFormat="1" applyAlignment="1"/>
    <xf numFmtId="14" fontId="0" fillId="0" borderId="0" xfId="0" applyNumberFormat="1" applyAlignment="1"/>
    <xf numFmtId="0" fontId="0" fillId="0" borderId="0" xfId="0" quotePrefix="1" applyNumberFormat="1" applyAlignment="1"/>
    <xf numFmtId="3" fontId="0" fillId="0" borderId="0" xfId="0" applyNumberFormat="1"/>
    <xf numFmtId="10" fontId="0" fillId="0" borderId="0" xfId="15" applyNumberFormat="1" applyFont="1"/>
    <xf numFmtId="0" fontId="0" fillId="0" borderId="0" xfId="0" applyNumberFormat="1" applyAlignment="1">
      <alignment wrapText="1"/>
    </xf>
    <xf numFmtId="0" fontId="0" fillId="0" borderId="0" xfId="0" quotePrefix="1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11" fillId="0" borderId="0" xfId="0" quotePrefix="1" applyNumberFormat="1" applyFont="1" applyAlignment="1">
      <alignment wrapText="1"/>
    </xf>
    <xf numFmtId="0" fontId="11" fillId="0" borderId="0" xfId="0" applyFont="1"/>
    <xf numFmtId="0" fontId="11" fillId="0" borderId="0" xfId="0" applyNumberFormat="1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2" borderId="6" xfId="0" applyNumberFormat="1" applyFont="1" applyFill="1" applyBorder="1" applyAlignment="1"/>
    <xf numFmtId="166" fontId="0" fillId="0" borderId="0" xfId="0" applyNumberFormat="1" applyAlignment="1">
      <alignment wrapText="1"/>
    </xf>
    <xf numFmtId="0" fontId="0" fillId="0" borderId="0" xfId="0" applyBorder="1" applyAlignment="1">
      <alignment horizontal="center"/>
    </xf>
    <xf numFmtId="0" fontId="0" fillId="0" borderId="0" xfId="0" applyNumberFormat="1" applyFont="1"/>
    <xf numFmtId="0" fontId="0" fillId="0" borderId="0" xfId="0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6">
    <cellStyle name="Comma" xfId="14"/>
    <cellStyle name="Comma 2" xfId="5"/>
    <cellStyle name="Comma 3" xfId="4"/>
    <cellStyle name="Comma 4" xfId="10"/>
    <cellStyle name="Comma 5" xfId="11"/>
    <cellStyle name="Comma 6" xfId="12"/>
    <cellStyle name="Currency 2" xfId="8"/>
    <cellStyle name="Currency 3" xfId="13"/>
    <cellStyle name="Normal" xfId="0" builtinId="0"/>
    <cellStyle name="Normal 2" xfId="2"/>
    <cellStyle name="Normal 3" xfId="3"/>
    <cellStyle name="Normal 4" xfId="7"/>
    <cellStyle name="Normal 5" xfId="9"/>
    <cellStyle name="Normal_Sheet1" xfId="1"/>
    <cellStyle name="Percent" xfId="15" builtinId="5"/>
    <cellStyle name="Percent 2" xfId="6"/>
  </cellStyles>
  <dxfs count="51">
    <dxf>
      <numFmt numFmtId="30" formatCode="@"/>
    </dxf>
    <dxf>
      <numFmt numFmtId="19" formatCode="yyyy/mm/dd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numFmt numFmtId="19" formatCode="yyyy/mm/dd"/>
    </dxf>
    <dxf>
      <numFmt numFmtId="19" formatCode="yyyy/mm/dd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yyyy/mm/dd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yyyy/mm/dd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yyyy/mm/dd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6" formatCode="yyyy\-mm\-dd;@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30" formatCode="@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/>
        <i val="0"/>
      </font>
      <fill>
        <patternFill>
          <bgColor theme="0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FFFF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4" defaultTableStyle="TableStyleMedium2" defaultPivotStyle="PivotStyleLight16">
    <tableStyle name="TableStyleQueryPreview" pivot="0" count="3">
      <tableStyleElement type="wholeTable" dxfId="50"/>
      <tableStyleElement type="headerRow" dxfId="49"/>
      <tableStyleElement type="firstRowStripe" dxfId="48"/>
    </tableStyle>
    <tableStyle name="TableStyleQueryResult" pivot="0" count="3">
      <tableStyleElement type="wholeTable" dxfId="47"/>
      <tableStyleElement type="headerRow" dxfId="46"/>
      <tableStyleElement type="firstRowStripe" dxfId="45"/>
    </tableStyle>
    <tableStyle name="DailySummary" pivot="0" count="1">
      <tableStyleElement type="secondRowStripe" dxfId="44"/>
    </tableStyle>
    <tableStyle name="Shift" pivot="0" count="2">
      <tableStyleElement type="wholeTable" dxfId="43"/>
      <tableStyleElement type="headerRow" dxfId="4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ProductionDate" tableColumnId="9"/>
      <queryTableField id="2" name="ProductionLineNo" tableColumnId="10"/>
      <queryTableField id="3" name="Shift1" tableColumnId="11"/>
      <queryTableField id="4" name="Shift2" tableColumnId="12"/>
      <queryTableField id="5" name="Shift3" tableColumnId="13"/>
      <queryTableField id="6" name="CycleTime" tableColumnId="14"/>
      <queryTableField id="7" name="ManCycle" tableColumnId="15"/>
      <queryTableField id="8" name="NewCycle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ProductionDate" tableColumnId="1"/>
      <queryTableField id="2" name="ProductionLineNo" tableColumnId="2"/>
      <queryTableField id="3" name="ShiftNo" tableColumnId="3"/>
      <queryTableField id="4" name="LineStatus" tableColumnId="4"/>
      <queryTableField id="5" name="ShiftCounter" tableColumnId="5"/>
      <queryTableField id="6" name="CycleTime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roductionDate" tableColumnId="1"/>
      <queryTableField id="2" name="ProductionLineNo" tableColumnId="2"/>
      <queryTableField id="3" name="LineStatus" tableColumnId="3"/>
      <queryTableField id="4" name="Shift1" tableColumnId="4"/>
      <queryTableField id="5" name="Shift2" tableColumnId="5"/>
      <queryTableField id="6" name="Shift3" tableColumnId="6"/>
      <queryTableField id="7" name="CycleTime" tableColumnId="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7" name="may" displayName="may" ref="A1:E3065" totalsRowShown="0" headerRowBorderDxfId="41" tableBorderDxfId="40">
  <autoFilter ref="A1:E3065"/>
  <tableColumns count="5">
    <tableColumn id="1" name="ProductionDate" dataDxfId="39"/>
    <tableColumn id="2" name="ProductionLineNo" dataDxfId="38"/>
    <tableColumn id="3" name="ShiftCounter"/>
    <tableColumn id="4" name="ShiftNo"/>
    <tableColumn id="5" name="LineStatus">
      <calculatedColumnFormula>IF(may[[#This Row],[ShiftCounter]]&gt;0, "Running", "Down")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0" name="june" displayName="june" ref="A1:E2398" totalsRowShown="0">
  <autoFilter ref="A1:E2398"/>
  <tableColumns count="5">
    <tableColumn id="1" name="ProductionDate"/>
    <tableColumn id="2" name="ProductionLineNo"/>
    <tableColumn id="3" name="ShiftCounter"/>
    <tableColumn id="4" name="ShiftNo"/>
    <tableColumn id="5" name="LineStatus">
      <calculatedColumnFormula>IF(june[[#This Row],[ShiftCounter]]&gt;0, "Running", "Down")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A1:P238" totalsRowShown="0">
  <autoFilter ref="A1:P238"/>
  <tableColumns count="16">
    <tableColumn id="15" name="ProductionDate"/>
    <tableColumn id="1" name="ProductionLineNo"/>
    <tableColumn id="2" name="ShiftNo"/>
    <tableColumn id="3" name="MoldNo"/>
    <tableColumn id="4" name="ColorCode"/>
    <tableColumn id="5" name="SiloNo"/>
    <tableColumn id="6" name="LineStatus" dataDxfId="37">
      <calculatedColumnFormula>IF(Table5[[#This Row],[ShiftCounter]]&gt;0,"Running","Down")</calculatedColumnFormula>
    </tableColumn>
    <tableColumn id="7" name="StationNo" dataDxfId="36"/>
    <tableColumn id="8" name="MachineModel"/>
    <tableColumn id="9" name="ShiftCounter"/>
    <tableColumn id="10" name="CounterStart"/>
    <tableColumn id="11" name="CounterStop"/>
    <tableColumn id="12" name="CounterLast"/>
    <tableColumn id="13" name="CycleTimeLast"/>
    <tableColumn id="14" name="StatusRemarks"/>
    <tableColumn id="16" name="MoldTyp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18" name="CustomData" displayName="CustomData" ref="A1:H82" tableType="queryTable" totalsRowShown="0" headerRowDxfId="35" dataDxfId="34">
  <autoFilter ref="A1:H82"/>
  <tableColumns count="8">
    <tableColumn id="9" uniqueName="9" name="ProductionDate" queryTableFieldId="1" dataDxfId="33"/>
    <tableColumn id="10" uniqueName="10" name="ProductionLineNo" queryTableFieldId="2" dataDxfId="32"/>
    <tableColumn id="11" uniqueName="11" name="Shift1" queryTableFieldId="3" dataDxfId="31"/>
    <tableColumn id="12" uniqueName="12" name="Shift2" queryTableFieldId="4" dataDxfId="30"/>
    <tableColumn id="13" uniqueName="13" name="Shift3" queryTableFieldId="5" dataDxfId="29"/>
    <tableColumn id="14" uniqueName="14" name="CycleTime" queryTableFieldId="6" dataDxfId="28"/>
    <tableColumn id="15" uniqueName="15" name="ManCycle" queryTableFieldId="7" dataDxfId="27"/>
    <tableColumn id="16" uniqueName="16" name="NewCycle" queryTableFieldId="8" dataDxfId="2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13" name="CycleTime" displayName="CycleTime" ref="O1:P80" totalsRowShown="0" headerRowDxfId="25">
  <tableColumns count="2">
    <tableColumn id="1" name="ProductionLineNo"/>
    <tableColumn id="2" name="CycleTime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7" name="CustomLines" displayName="CustomLines" ref="K1:L82" totalsRowShown="0" headerRowDxfId="24">
  <tableColumns count="2">
    <tableColumn id="1" name="ProductionDate" dataDxfId="23"/>
    <tableColumn id="2" name="ProductionLineNo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9" name="CustomFull" displayName="CustomFull" ref="A1:F1887" tableType="queryTable" totalsRowShown="0" headerRowDxfId="22" dataDxfId="21">
  <autoFilter ref="A1:F1887"/>
  <tableColumns count="6">
    <tableColumn id="1" uniqueName="1" name="ProductionDate" queryTableFieldId="1" dataDxfId="20"/>
    <tableColumn id="2" uniqueName="2" name="ProductionLineNo" queryTableFieldId="2" dataDxfId="19"/>
    <tableColumn id="3" uniqueName="3" name="ShiftNo" queryTableFieldId="3" dataDxfId="18"/>
    <tableColumn id="4" uniqueName="4" name="LineStatus" queryTableFieldId="4" dataDxfId="17"/>
    <tableColumn id="5" uniqueName="5" name="ShiftCounter" queryTableFieldId="5" dataDxfId="16"/>
    <tableColumn id="6" uniqueName="6" name="CycleTime" queryTableFieldId="6" dataDxfId="15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" name="ManCpyData" displayName="ManCpyData" ref="A1:G159" tableType="queryTable" totalsRowShown="0" headerRowDxfId="14" dataDxfId="13">
  <autoFilter ref="A1:G159"/>
  <tableColumns count="7">
    <tableColumn id="1" uniqueName="1" name="ProductionDate" queryTableFieldId="1" dataDxfId="12"/>
    <tableColumn id="2" uniqueName="2" name="ProductionLineNo" queryTableFieldId="2" dataDxfId="11"/>
    <tableColumn id="3" uniqueName="3" name="LineStatus" queryTableFieldId="3" dataDxfId="10"/>
    <tableColumn id="4" uniqueName="4" name="Shift1" queryTableFieldId="4" dataDxfId="9"/>
    <tableColumn id="5" uniqueName="5" name="Shift2" queryTableFieldId="5" dataDxfId="8"/>
    <tableColumn id="6" uniqueName="6" name="Shift3" queryTableFieldId="6" dataDxfId="7"/>
    <tableColumn id="7" uniqueName="7" name="CycleTime" queryTableFieldId="7" dataDxfId="6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ManCpyDates" displayName="ManCpyDates" ref="I1:I3" totalsRowShown="0">
  <autoFilter ref="I1:I3"/>
  <tableColumns count="1">
    <tableColumn id="1" name="ManualCopyDates" dataDxfId="5" totalsRowDxfId="4">
      <calculatedColumnFormula>TODAY()-2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3" name="Table3" displayName="Table3" ref="A1:P1717" totalsRowShown="0" headerRowBorderDxfId="3" tableBorderDxfId="2">
  <autoFilter ref="A1:P1717"/>
  <tableColumns count="16">
    <tableColumn id="1" name="ProductionDate" dataDxfId="1"/>
    <tableColumn id="2" name="ProductionLineNo"/>
    <tableColumn id="3" name="ShiftNo"/>
    <tableColumn id="4" name="MoldNo"/>
    <tableColumn id="5" name="ColorCode"/>
    <tableColumn id="6" name="SiloNo"/>
    <tableColumn id="7" name="LineStatus"/>
    <tableColumn id="8" name="StationNo" dataDxfId="0"/>
    <tableColumn id="9" name="MachineModel"/>
    <tableColumn id="10" name="ShiftCounter"/>
    <tableColumn id="11" name="CounterStart"/>
    <tableColumn id="12" name="CounterStop"/>
    <tableColumn id="13" name="CounterLast"/>
    <tableColumn id="14" name="CycleTimeLast"/>
    <tableColumn id="15" name="StatusRemarks"/>
    <tableColumn id="16" name="MoldTyp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3.v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065"/>
  <sheetViews>
    <sheetView workbookViewId="0">
      <selection activeCell="H15" sqref="H15"/>
    </sheetView>
  </sheetViews>
  <sheetFormatPr defaultRowHeight="15" x14ac:dyDescent="0.25"/>
  <cols>
    <col min="1" max="1" width="17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5">
        <v>44691</v>
      </c>
      <c r="B2" s="6" t="s">
        <v>39</v>
      </c>
      <c r="C2">
        <v>2046</v>
      </c>
      <c r="D2" t="s">
        <v>6</v>
      </c>
      <c r="E2" t="str">
        <f>IF(may[[#This Row],[ShiftCounter]]&gt;0, "Running", "Down")</f>
        <v>Running</v>
      </c>
    </row>
    <row r="3" spans="1:5" x14ac:dyDescent="0.25">
      <c r="A3" s="5">
        <v>44691</v>
      </c>
      <c r="B3" s="6" t="s">
        <v>39</v>
      </c>
      <c r="C3">
        <v>2024</v>
      </c>
      <c r="D3" t="s">
        <v>7</v>
      </c>
      <c r="E3" t="str">
        <f>IF(may[[#This Row],[ShiftCounter]]&gt;0, "Running", "Down")</f>
        <v>Running</v>
      </c>
    </row>
    <row r="4" spans="1:5" x14ac:dyDescent="0.25">
      <c r="A4" s="5">
        <v>44691</v>
      </c>
      <c r="B4" s="6" t="s">
        <v>39</v>
      </c>
      <c r="C4">
        <v>1567</v>
      </c>
      <c r="D4" t="s">
        <v>8</v>
      </c>
      <c r="E4" t="str">
        <f>IF(may[[#This Row],[ShiftCounter]]&gt;0, "Running", "Down")</f>
        <v>Running</v>
      </c>
    </row>
    <row r="5" spans="1:5" x14ac:dyDescent="0.25">
      <c r="A5" s="5">
        <v>44691</v>
      </c>
      <c r="B5" s="7" t="s">
        <v>40</v>
      </c>
      <c r="C5">
        <v>2328</v>
      </c>
      <c r="D5" t="s">
        <v>6</v>
      </c>
      <c r="E5" t="str">
        <f>IF(may[[#This Row],[ShiftCounter]]&gt;0, "Running", "Down")</f>
        <v>Running</v>
      </c>
    </row>
    <row r="6" spans="1:5" x14ac:dyDescent="0.25">
      <c r="A6" s="5">
        <v>44691</v>
      </c>
      <c r="B6" s="7" t="s">
        <v>40</v>
      </c>
      <c r="C6">
        <v>2298</v>
      </c>
      <c r="D6" t="s">
        <v>7</v>
      </c>
      <c r="E6" t="str">
        <f>IF(may[[#This Row],[ShiftCounter]]&gt;0, "Running", "Down")</f>
        <v>Running</v>
      </c>
    </row>
    <row r="7" spans="1:5" x14ac:dyDescent="0.25">
      <c r="A7" s="5">
        <v>44691</v>
      </c>
      <c r="B7" s="7" t="s">
        <v>40</v>
      </c>
      <c r="C7">
        <v>2096</v>
      </c>
      <c r="D7" t="s">
        <v>8</v>
      </c>
      <c r="E7" t="str">
        <f>IF(may[[#This Row],[ShiftCounter]]&gt;0, "Running", "Down")</f>
        <v>Running</v>
      </c>
    </row>
    <row r="8" spans="1:5" x14ac:dyDescent="0.25">
      <c r="A8" s="5">
        <v>44691</v>
      </c>
      <c r="B8" s="7" t="s">
        <v>41</v>
      </c>
      <c r="C8">
        <v>2452</v>
      </c>
      <c r="D8" t="s">
        <v>6</v>
      </c>
      <c r="E8" t="str">
        <f>IF(may[[#This Row],[ShiftCounter]]&gt;0, "Running", "Down")</f>
        <v>Running</v>
      </c>
    </row>
    <row r="9" spans="1:5" x14ac:dyDescent="0.25">
      <c r="A9" s="5">
        <v>44691</v>
      </c>
      <c r="B9" s="7" t="s">
        <v>41</v>
      </c>
      <c r="C9">
        <v>2453</v>
      </c>
      <c r="D9" t="s">
        <v>7</v>
      </c>
      <c r="E9" t="str">
        <f>IF(may[[#This Row],[ShiftCounter]]&gt;0, "Running", "Down")</f>
        <v>Running</v>
      </c>
    </row>
    <row r="10" spans="1:5" x14ac:dyDescent="0.25">
      <c r="A10" s="5">
        <v>44691</v>
      </c>
      <c r="B10" s="7" t="s">
        <v>41</v>
      </c>
      <c r="C10">
        <v>2279</v>
      </c>
      <c r="D10" t="s">
        <v>8</v>
      </c>
      <c r="E10" t="str">
        <f>IF(may[[#This Row],[ShiftCounter]]&gt;0, "Running", "Down")</f>
        <v>Running</v>
      </c>
    </row>
    <row r="11" spans="1:5" x14ac:dyDescent="0.25">
      <c r="A11" s="5">
        <v>44691</v>
      </c>
      <c r="B11" s="7" t="s">
        <v>5</v>
      </c>
      <c r="C11">
        <v>2470</v>
      </c>
      <c r="D11" t="s">
        <v>6</v>
      </c>
      <c r="E11" t="str">
        <f>IF(may[[#This Row],[ShiftCounter]]&gt;0, "Running", "Down")</f>
        <v>Running</v>
      </c>
    </row>
    <row r="12" spans="1:5" x14ac:dyDescent="0.25">
      <c r="A12" s="5">
        <v>44691</v>
      </c>
      <c r="B12" s="7" t="s">
        <v>5</v>
      </c>
      <c r="C12">
        <v>2418</v>
      </c>
      <c r="D12" t="s">
        <v>7</v>
      </c>
      <c r="E12" t="str">
        <f>IF(may[[#This Row],[ShiftCounter]]&gt;0, "Running", "Down")</f>
        <v>Running</v>
      </c>
    </row>
    <row r="13" spans="1:5" x14ac:dyDescent="0.25">
      <c r="A13" s="5">
        <v>44691</v>
      </c>
      <c r="B13" s="7" t="s">
        <v>5</v>
      </c>
      <c r="C13">
        <v>2216</v>
      </c>
      <c r="D13" t="s">
        <v>8</v>
      </c>
      <c r="E13" t="str">
        <f>IF(may[[#This Row],[ShiftCounter]]&gt;0, "Running", "Down")</f>
        <v>Running</v>
      </c>
    </row>
    <row r="14" spans="1:5" x14ac:dyDescent="0.25">
      <c r="A14" s="5">
        <v>44691</v>
      </c>
      <c r="B14" s="7" t="s">
        <v>9</v>
      </c>
      <c r="C14">
        <v>1965</v>
      </c>
      <c r="D14" t="s">
        <v>6</v>
      </c>
      <c r="E14" t="str">
        <f>IF(may[[#This Row],[ShiftCounter]]&gt;0, "Running", "Down")</f>
        <v>Running</v>
      </c>
    </row>
    <row r="15" spans="1:5" x14ac:dyDescent="0.25">
      <c r="A15" s="5">
        <v>44691</v>
      </c>
      <c r="B15" s="7" t="s">
        <v>9</v>
      </c>
      <c r="C15">
        <v>2213</v>
      </c>
      <c r="D15" t="s">
        <v>7</v>
      </c>
      <c r="E15" t="str">
        <f>IF(may[[#This Row],[ShiftCounter]]&gt;0, "Running", "Down")</f>
        <v>Running</v>
      </c>
    </row>
    <row r="16" spans="1:5" x14ac:dyDescent="0.25">
      <c r="A16" s="5">
        <v>44691</v>
      </c>
      <c r="B16" s="7" t="s">
        <v>9</v>
      </c>
      <c r="C16">
        <v>1954</v>
      </c>
      <c r="D16" t="s">
        <v>8</v>
      </c>
      <c r="E16" t="str">
        <f>IF(may[[#This Row],[ShiftCounter]]&gt;0, "Running", "Down")</f>
        <v>Running</v>
      </c>
    </row>
    <row r="17" spans="1:5" x14ac:dyDescent="0.25">
      <c r="A17" s="5">
        <v>44691</v>
      </c>
      <c r="B17" s="7" t="s">
        <v>10</v>
      </c>
      <c r="C17">
        <v>2380</v>
      </c>
      <c r="D17" t="s">
        <v>6</v>
      </c>
      <c r="E17" t="str">
        <f>IF(may[[#This Row],[ShiftCounter]]&gt;0, "Running", "Down")</f>
        <v>Running</v>
      </c>
    </row>
    <row r="18" spans="1:5" x14ac:dyDescent="0.25">
      <c r="A18" s="5">
        <v>44691</v>
      </c>
      <c r="B18" s="7" t="s">
        <v>10</v>
      </c>
      <c r="C18">
        <v>2329</v>
      </c>
      <c r="D18" t="s">
        <v>7</v>
      </c>
      <c r="E18" t="str">
        <f>IF(may[[#This Row],[ShiftCounter]]&gt;0, "Running", "Down")</f>
        <v>Running</v>
      </c>
    </row>
    <row r="19" spans="1:5" x14ac:dyDescent="0.25">
      <c r="A19" s="5">
        <v>44691</v>
      </c>
      <c r="B19" s="7" t="s">
        <v>10</v>
      </c>
      <c r="C19">
        <v>2133</v>
      </c>
      <c r="D19" t="s">
        <v>8</v>
      </c>
      <c r="E19" t="str">
        <f>IF(may[[#This Row],[ShiftCounter]]&gt;0, "Running", "Down")</f>
        <v>Running</v>
      </c>
    </row>
    <row r="20" spans="1:5" x14ac:dyDescent="0.25">
      <c r="A20" s="5">
        <v>44691</v>
      </c>
      <c r="B20" s="7" t="s">
        <v>11</v>
      </c>
      <c r="C20">
        <v>2509</v>
      </c>
      <c r="D20" t="s">
        <v>6</v>
      </c>
      <c r="E20" t="str">
        <f>IF(may[[#This Row],[ShiftCounter]]&gt;0, "Running", "Down")</f>
        <v>Running</v>
      </c>
    </row>
    <row r="21" spans="1:5" x14ac:dyDescent="0.25">
      <c r="A21" s="5">
        <v>44691</v>
      </c>
      <c r="B21" s="7" t="s">
        <v>11</v>
      </c>
      <c r="C21">
        <v>2440</v>
      </c>
      <c r="D21" t="s">
        <v>7</v>
      </c>
      <c r="E21" t="str">
        <f>IF(may[[#This Row],[ShiftCounter]]&gt;0, "Running", "Down")</f>
        <v>Running</v>
      </c>
    </row>
    <row r="22" spans="1:5" x14ac:dyDescent="0.25">
      <c r="A22" s="5">
        <v>44691</v>
      </c>
      <c r="B22" s="7" t="s">
        <v>11</v>
      </c>
      <c r="C22">
        <v>2231</v>
      </c>
      <c r="D22" t="s">
        <v>8</v>
      </c>
      <c r="E22" t="str">
        <f>IF(may[[#This Row],[ShiftCounter]]&gt;0, "Running", "Down")</f>
        <v>Running</v>
      </c>
    </row>
    <row r="23" spans="1:5" x14ac:dyDescent="0.25">
      <c r="A23" s="5">
        <v>44691</v>
      </c>
      <c r="B23" s="7" t="s">
        <v>12</v>
      </c>
      <c r="C23">
        <v>2272</v>
      </c>
      <c r="D23" t="s">
        <v>6</v>
      </c>
      <c r="E23" t="str">
        <f>IF(may[[#This Row],[ShiftCounter]]&gt;0, "Running", "Down")</f>
        <v>Running</v>
      </c>
    </row>
    <row r="24" spans="1:5" x14ac:dyDescent="0.25">
      <c r="A24" s="5">
        <v>44691</v>
      </c>
      <c r="B24" s="7" t="s">
        <v>12</v>
      </c>
      <c r="C24">
        <v>2234</v>
      </c>
      <c r="D24" t="s">
        <v>7</v>
      </c>
      <c r="E24" t="str">
        <f>IF(may[[#This Row],[ShiftCounter]]&gt;0, "Running", "Down")</f>
        <v>Running</v>
      </c>
    </row>
    <row r="25" spans="1:5" x14ac:dyDescent="0.25">
      <c r="A25" s="5">
        <v>44691</v>
      </c>
      <c r="B25" s="7" t="s">
        <v>12</v>
      </c>
      <c r="C25">
        <v>2032</v>
      </c>
      <c r="D25" t="s">
        <v>8</v>
      </c>
      <c r="E25" t="str">
        <f>IF(may[[#This Row],[ShiftCounter]]&gt;0, "Running", "Down")</f>
        <v>Running</v>
      </c>
    </row>
    <row r="26" spans="1:5" x14ac:dyDescent="0.25">
      <c r="A26" s="5">
        <v>44691</v>
      </c>
      <c r="B26" s="7" t="s">
        <v>13</v>
      </c>
      <c r="C26">
        <v>2361</v>
      </c>
      <c r="D26" t="s">
        <v>6</v>
      </c>
      <c r="E26" t="str">
        <f>IF(may[[#This Row],[ShiftCounter]]&gt;0, "Running", "Down")</f>
        <v>Running</v>
      </c>
    </row>
    <row r="27" spans="1:5" x14ac:dyDescent="0.25">
      <c r="A27" s="5">
        <v>44691</v>
      </c>
      <c r="B27" s="7" t="s">
        <v>13</v>
      </c>
      <c r="C27">
        <v>2327</v>
      </c>
      <c r="D27" t="s">
        <v>7</v>
      </c>
      <c r="E27" t="str">
        <f>IF(may[[#This Row],[ShiftCounter]]&gt;0, "Running", "Down")</f>
        <v>Running</v>
      </c>
    </row>
    <row r="28" spans="1:5" x14ac:dyDescent="0.25">
      <c r="A28" s="5">
        <v>44691</v>
      </c>
      <c r="B28" s="7" t="s">
        <v>13</v>
      </c>
      <c r="C28">
        <v>1962</v>
      </c>
      <c r="D28" t="s">
        <v>8</v>
      </c>
      <c r="E28" t="str">
        <f>IF(may[[#This Row],[ShiftCounter]]&gt;0, "Running", "Down")</f>
        <v>Running</v>
      </c>
    </row>
    <row r="29" spans="1:5" x14ac:dyDescent="0.25">
      <c r="A29" s="5">
        <v>44691</v>
      </c>
      <c r="B29" s="7" t="s">
        <v>14</v>
      </c>
      <c r="C29">
        <v>1843</v>
      </c>
      <c r="D29" t="s">
        <v>6</v>
      </c>
      <c r="E29" t="str">
        <f>IF(may[[#This Row],[ShiftCounter]]&gt;0, "Running", "Down")</f>
        <v>Running</v>
      </c>
    </row>
    <row r="30" spans="1:5" x14ac:dyDescent="0.25">
      <c r="A30" s="5">
        <v>44691</v>
      </c>
      <c r="B30" s="7" t="s">
        <v>14</v>
      </c>
      <c r="C30">
        <v>1833</v>
      </c>
      <c r="D30" t="s">
        <v>7</v>
      </c>
      <c r="E30" t="str">
        <f>IF(may[[#This Row],[ShiftCounter]]&gt;0, "Running", "Down")</f>
        <v>Running</v>
      </c>
    </row>
    <row r="31" spans="1:5" x14ac:dyDescent="0.25">
      <c r="A31" s="5">
        <v>44691</v>
      </c>
      <c r="B31" s="7" t="s">
        <v>14</v>
      </c>
      <c r="C31">
        <v>1550</v>
      </c>
      <c r="D31" t="s">
        <v>8</v>
      </c>
      <c r="E31" t="str">
        <f>IF(may[[#This Row],[ShiftCounter]]&gt;0, "Running", "Down")</f>
        <v>Running</v>
      </c>
    </row>
    <row r="32" spans="1:5" x14ac:dyDescent="0.25">
      <c r="A32" s="5">
        <v>44691</v>
      </c>
      <c r="B32" s="7" t="s">
        <v>15</v>
      </c>
      <c r="C32">
        <v>2132</v>
      </c>
      <c r="D32" t="s">
        <v>6</v>
      </c>
      <c r="E32" t="str">
        <f>IF(may[[#This Row],[ShiftCounter]]&gt;0, "Running", "Down")</f>
        <v>Running</v>
      </c>
    </row>
    <row r="33" spans="1:5" x14ac:dyDescent="0.25">
      <c r="A33" s="5">
        <v>44691</v>
      </c>
      <c r="B33" s="7" t="s">
        <v>15</v>
      </c>
      <c r="C33">
        <v>2116</v>
      </c>
      <c r="D33" t="s">
        <v>7</v>
      </c>
      <c r="E33" t="str">
        <f>IF(may[[#This Row],[ShiftCounter]]&gt;0, "Running", "Down")</f>
        <v>Running</v>
      </c>
    </row>
    <row r="34" spans="1:5" x14ac:dyDescent="0.25">
      <c r="A34" s="5">
        <v>44691</v>
      </c>
      <c r="B34" s="7" t="s">
        <v>15</v>
      </c>
      <c r="C34">
        <v>1804</v>
      </c>
      <c r="D34" t="s">
        <v>8</v>
      </c>
      <c r="E34" t="str">
        <f>IF(may[[#This Row],[ShiftCounter]]&gt;0, "Running", "Down")</f>
        <v>Running</v>
      </c>
    </row>
    <row r="35" spans="1:5" x14ac:dyDescent="0.25">
      <c r="A35" s="5">
        <v>44691</v>
      </c>
      <c r="B35" s="7" t="s">
        <v>16</v>
      </c>
      <c r="C35">
        <v>2416</v>
      </c>
      <c r="D35" t="s">
        <v>6</v>
      </c>
      <c r="E35" t="str">
        <f>IF(may[[#This Row],[ShiftCounter]]&gt;0, "Running", "Down")</f>
        <v>Running</v>
      </c>
    </row>
    <row r="36" spans="1:5" x14ac:dyDescent="0.25">
      <c r="A36" s="5">
        <v>44691</v>
      </c>
      <c r="B36" s="7" t="s">
        <v>16</v>
      </c>
      <c r="C36">
        <v>2418</v>
      </c>
      <c r="D36" t="s">
        <v>7</v>
      </c>
      <c r="E36" t="str">
        <f>IF(may[[#This Row],[ShiftCounter]]&gt;0, "Running", "Down")</f>
        <v>Running</v>
      </c>
    </row>
    <row r="37" spans="1:5" x14ac:dyDescent="0.25">
      <c r="A37" s="5">
        <v>44691</v>
      </c>
      <c r="B37" s="7" t="s">
        <v>16</v>
      </c>
      <c r="C37">
        <v>2057</v>
      </c>
      <c r="D37" t="s">
        <v>8</v>
      </c>
      <c r="E37" t="str">
        <f>IF(may[[#This Row],[ShiftCounter]]&gt;0, "Running", "Down")</f>
        <v>Running</v>
      </c>
    </row>
    <row r="38" spans="1:5" x14ac:dyDescent="0.25">
      <c r="A38" s="5">
        <v>44691</v>
      </c>
      <c r="B38" s="7" t="s">
        <v>17</v>
      </c>
      <c r="C38">
        <v>2410</v>
      </c>
      <c r="D38" t="s">
        <v>6</v>
      </c>
      <c r="E38" t="str">
        <f>IF(may[[#This Row],[ShiftCounter]]&gt;0, "Running", "Down")</f>
        <v>Running</v>
      </c>
    </row>
    <row r="39" spans="1:5" x14ac:dyDescent="0.25">
      <c r="A39" s="5">
        <v>44691</v>
      </c>
      <c r="B39" s="7" t="s">
        <v>17</v>
      </c>
      <c r="C39">
        <v>644</v>
      </c>
      <c r="D39" t="s">
        <v>7</v>
      </c>
      <c r="E39" t="str">
        <f>IF(may[[#This Row],[ShiftCounter]]&gt;0, "Running", "Down")</f>
        <v>Running</v>
      </c>
    </row>
    <row r="40" spans="1:5" x14ac:dyDescent="0.25">
      <c r="A40" s="5">
        <v>44691</v>
      </c>
      <c r="B40" s="7" t="s">
        <v>17</v>
      </c>
      <c r="C40">
        <v>0</v>
      </c>
      <c r="D40" t="s">
        <v>8</v>
      </c>
      <c r="E40" t="str">
        <f>IF(may[[#This Row],[ShiftCounter]]&gt;0, "Running", "Down")</f>
        <v>Down</v>
      </c>
    </row>
    <row r="41" spans="1:5" x14ac:dyDescent="0.25">
      <c r="A41" s="5">
        <v>44691</v>
      </c>
      <c r="B41" s="7" t="s">
        <v>19</v>
      </c>
      <c r="C41">
        <v>2291</v>
      </c>
      <c r="D41" t="s">
        <v>6</v>
      </c>
      <c r="E41" t="str">
        <f>IF(may[[#This Row],[ShiftCounter]]&gt;0, "Running", "Down")</f>
        <v>Running</v>
      </c>
    </row>
    <row r="42" spans="1:5" x14ac:dyDescent="0.25">
      <c r="A42" s="5">
        <v>44691</v>
      </c>
      <c r="B42" s="7" t="s">
        <v>19</v>
      </c>
      <c r="C42">
        <v>1838</v>
      </c>
      <c r="D42" t="s">
        <v>7</v>
      </c>
      <c r="E42" t="str">
        <f>IF(may[[#This Row],[ShiftCounter]]&gt;0, "Running", "Down")</f>
        <v>Running</v>
      </c>
    </row>
    <row r="43" spans="1:5" x14ac:dyDescent="0.25">
      <c r="A43" s="5">
        <v>44691</v>
      </c>
      <c r="B43" s="7" t="s">
        <v>19</v>
      </c>
      <c r="C43">
        <v>1841</v>
      </c>
      <c r="D43" t="s">
        <v>8</v>
      </c>
      <c r="E43" t="str">
        <f>IF(may[[#This Row],[ShiftCounter]]&gt;0, "Running", "Down")</f>
        <v>Running</v>
      </c>
    </row>
    <row r="44" spans="1:5" x14ac:dyDescent="0.25">
      <c r="A44" s="5">
        <v>44691</v>
      </c>
      <c r="B44" s="7" t="s">
        <v>18</v>
      </c>
      <c r="C44">
        <v>2410</v>
      </c>
      <c r="D44" t="s">
        <v>6</v>
      </c>
      <c r="E44" t="str">
        <f>IF(may[[#This Row],[ShiftCounter]]&gt;0, "Running", "Down")</f>
        <v>Running</v>
      </c>
    </row>
    <row r="45" spans="1:5" x14ac:dyDescent="0.25">
      <c r="A45" s="5">
        <v>44691</v>
      </c>
      <c r="B45" s="7" t="s">
        <v>18</v>
      </c>
      <c r="C45">
        <v>2360</v>
      </c>
      <c r="D45" t="s">
        <v>7</v>
      </c>
      <c r="E45" t="str">
        <f>IF(may[[#This Row],[ShiftCounter]]&gt;0, "Running", "Down")</f>
        <v>Running</v>
      </c>
    </row>
    <row r="46" spans="1:5" x14ac:dyDescent="0.25">
      <c r="A46" s="5">
        <v>44691</v>
      </c>
      <c r="B46" s="7" t="s">
        <v>18</v>
      </c>
      <c r="C46">
        <v>2058</v>
      </c>
      <c r="D46" t="s">
        <v>8</v>
      </c>
      <c r="E46" t="str">
        <f>IF(may[[#This Row],[ShiftCounter]]&gt;0, "Running", "Down")</f>
        <v>Running</v>
      </c>
    </row>
    <row r="47" spans="1:5" x14ac:dyDescent="0.25">
      <c r="A47" s="5">
        <v>44691</v>
      </c>
      <c r="B47" s="7" t="s">
        <v>20</v>
      </c>
      <c r="C47">
        <v>2189</v>
      </c>
      <c r="D47" t="s">
        <v>6</v>
      </c>
      <c r="E47" t="str">
        <f>IF(may[[#This Row],[ShiftCounter]]&gt;0, "Running", "Down")</f>
        <v>Running</v>
      </c>
    </row>
    <row r="48" spans="1:5" x14ac:dyDescent="0.25">
      <c r="A48" s="5">
        <v>44691</v>
      </c>
      <c r="B48" s="7" t="s">
        <v>20</v>
      </c>
      <c r="C48">
        <v>1789</v>
      </c>
      <c r="D48" t="s">
        <v>7</v>
      </c>
      <c r="E48" t="str">
        <f>IF(may[[#This Row],[ShiftCounter]]&gt;0, "Running", "Down")</f>
        <v>Running</v>
      </c>
    </row>
    <row r="49" spans="1:5" x14ac:dyDescent="0.25">
      <c r="A49" s="5">
        <v>44691</v>
      </c>
      <c r="B49" s="7" t="s">
        <v>20</v>
      </c>
      <c r="C49">
        <v>1849</v>
      </c>
      <c r="D49" t="s">
        <v>8</v>
      </c>
      <c r="E49" t="str">
        <f>IF(may[[#This Row],[ShiftCounter]]&gt;0, "Running", "Down")</f>
        <v>Running</v>
      </c>
    </row>
    <row r="50" spans="1:5" x14ac:dyDescent="0.25">
      <c r="A50" s="5">
        <v>44691</v>
      </c>
      <c r="B50" s="7" t="s">
        <v>21</v>
      </c>
      <c r="C50">
        <v>2256</v>
      </c>
      <c r="D50" t="s">
        <v>6</v>
      </c>
      <c r="E50" t="str">
        <f>IF(may[[#This Row],[ShiftCounter]]&gt;0, "Running", "Down")</f>
        <v>Running</v>
      </c>
    </row>
    <row r="51" spans="1:5" x14ac:dyDescent="0.25">
      <c r="A51" s="5">
        <v>44691</v>
      </c>
      <c r="B51" s="7" t="s">
        <v>21</v>
      </c>
      <c r="C51">
        <v>2045</v>
      </c>
      <c r="D51" t="s">
        <v>7</v>
      </c>
      <c r="E51" t="str">
        <f>IF(may[[#This Row],[ShiftCounter]]&gt;0, "Running", "Down")</f>
        <v>Running</v>
      </c>
    </row>
    <row r="52" spans="1:5" x14ac:dyDescent="0.25">
      <c r="A52" s="5">
        <v>44691</v>
      </c>
      <c r="B52" s="7" t="s">
        <v>21</v>
      </c>
      <c r="C52">
        <v>1852</v>
      </c>
      <c r="D52" t="s">
        <v>8</v>
      </c>
      <c r="E52" t="str">
        <f>IF(may[[#This Row],[ShiftCounter]]&gt;0, "Running", "Down")</f>
        <v>Running</v>
      </c>
    </row>
    <row r="53" spans="1:5" x14ac:dyDescent="0.25">
      <c r="A53" s="5">
        <v>44691</v>
      </c>
      <c r="B53" s="7" t="s">
        <v>22</v>
      </c>
      <c r="C53">
        <v>2231</v>
      </c>
      <c r="D53" t="s">
        <v>6</v>
      </c>
      <c r="E53" t="str">
        <f>IF(may[[#This Row],[ShiftCounter]]&gt;0, "Running", "Down")</f>
        <v>Running</v>
      </c>
    </row>
    <row r="54" spans="1:5" x14ac:dyDescent="0.25">
      <c r="A54" s="5">
        <v>44691</v>
      </c>
      <c r="B54" s="7" t="s">
        <v>22</v>
      </c>
      <c r="C54">
        <v>2009</v>
      </c>
      <c r="D54" t="s">
        <v>7</v>
      </c>
      <c r="E54" t="str">
        <f>IF(may[[#This Row],[ShiftCounter]]&gt;0, "Running", "Down")</f>
        <v>Running</v>
      </c>
    </row>
    <row r="55" spans="1:5" x14ac:dyDescent="0.25">
      <c r="A55" s="5">
        <v>44691</v>
      </c>
      <c r="B55" s="7" t="s">
        <v>22</v>
      </c>
      <c r="C55">
        <v>1975</v>
      </c>
      <c r="D55" t="s">
        <v>8</v>
      </c>
      <c r="E55" t="str">
        <f>IF(may[[#This Row],[ShiftCounter]]&gt;0, "Running", "Down")</f>
        <v>Running</v>
      </c>
    </row>
    <row r="56" spans="1:5" x14ac:dyDescent="0.25">
      <c r="A56" s="5">
        <v>44691</v>
      </c>
      <c r="B56" s="7" t="s">
        <v>23</v>
      </c>
      <c r="C56">
        <v>2412</v>
      </c>
      <c r="D56" t="s">
        <v>6</v>
      </c>
      <c r="E56" t="str">
        <f>IF(may[[#This Row],[ShiftCounter]]&gt;0, "Running", "Down")</f>
        <v>Running</v>
      </c>
    </row>
    <row r="57" spans="1:5" x14ac:dyDescent="0.25">
      <c r="A57" s="5">
        <v>44691</v>
      </c>
      <c r="B57" s="7" t="s">
        <v>23</v>
      </c>
      <c r="C57">
        <v>2250</v>
      </c>
      <c r="D57" t="s">
        <v>7</v>
      </c>
      <c r="E57" t="str">
        <f>IF(may[[#This Row],[ShiftCounter]]&gt;0, "Running", "Down")</f>
        <v>Running</v>
      </c>
    </row>
    <row r="58" spans="1:5" x14ac:dyDescent="0.25">
      <c r="A58" s="5">
        <v>44691</v>
      </c>
      <c r="B58" s="7" t="s">
        <v>23</v>
      </c>
      <c r="C58">
        <v>2086</v>
      </c>
      <c r="D58" t="s">
        <v>8</v>
      </c>
      <c r="E58" t="str">
        <f>IF(may[[#This Row],[ShiftCounter]]&gt;0, "Running", "Down")</f>
        <v>Running</v>
      </c>
    </row>
    <row r="59" spans="1:5" x14ac:dyDescent="0.25">
      <c r="A59" s="5">
        <v>44691</v>
      </c>
      <c r="B59" s="7" t="s">
        <v>24</v>
      </c>
      <c r="C59">
        <v>2156</v>
      </c>
      <c r="D59" t="s">
        <v>6</v>
      </c>
      <c r="E59" t="str">
        <f>IF(may[[#This Row],[ShiftCounter]]&gt;0, "Running", "Down")</f>
        <v>Running</v>
      </c>
    </row>
    <row r="60" spans="1:5" x14ac:dyDescent="0.25">
      <c r="A60" s="5">
        <v>44691</v>
      </c>
      <c r="B60" s="7" t="s">
        <v>24</v>
      </c>
      <c r="C60">
        <v>1976</v>
      </c>
      <c r="D60" t="s">
        <v>7</v>
      </c>
      <c r="E60" t="str">
        <f>IF(may[[#This Row],[ShiftCounter]]&gt;0, "Running", "Down")</f>
        <v>Running</v>
      </c>
    </row>
    <row r="61" spans="1:5" x14ac:dyDescent="0.25">
      <c r="A61" s="5">
        <v>44691</v>
      </c>
      <c r="B61" s="7" t="s">
        <v>24</v>
      </c>
      <c r="C61">
        <v>1846</v>
      </c>
      <c r="D61" t="s">
        <v>8</v>
      </c>
      <c r="E61" t="str">
        <f>IF(may[[#This Row],[ShiftCounter]]&gt;0, "Running", "Down")</f>
        <v>Running</v>
      </c>
    </row>
    <row r="62" spans="1:5" x14ac:dyDescent="0.25">
      <c r="A62" s="5">
        <v>44691</v>
      </c>
      <c r="B62" s="7" t="s">
        <v>25</v>
      </c>
      <c r="C62">
        <v>2333</v>
      </c>
      <c r="D62" t="s">
        <v>6</v>
      </c>
      <c r="E62" t="str">
        <f>IF(may[[#This Row],[ShiftCounter]]&gt;0, "Running", "Down")</f>
        <v>Running</v>
      </c>
    </row>
    <row r="63" spans="1:5" x14ac:dyDescent="0.25">
      <c r="A63" s="5">
        <v>44691</v>
      </c>
      <c r="B63" s="7" t="s">
        <v>25</v>
      </c>
      <c r="C63">
        <v>2152</v>
      </c>
      <c r="D63" t="s">
        <v>7</v>
      </c>
      <c r="E63" t="str">
        <f>IF(may[[#This Row],[ShiftCounter]]&gt;0, "Running", "Down")</f>
        <v>Running</v>
      </c>
    </row>
    <row r="64" spans="1:5" x14ac:dyDescent="0.25">
      <c r="A64" s="5">
        <v>44691</v>
      </c>
      <c r="B64" s="7" t="s">
        <v>25</v>
      </c>
      <c r="C64">
        <v>1990</v>
      </c>
      <c r="D64" t="s">
        <v>8</v>
      </c>
      <c r="E64" t="str">
        <f>IF(may[[#This Row],[ShiftCounter]]&gt;0, "Running", "Down")</f>
        <v>Running</v>
      </c>
    </row>
    <row r="65" spans="1:5" x14ac:dyDescent="0.25">
      <c r="A65" s="5">
        <v>44691</v>
      </c>
      <c r="B65" s="7" t="s">
        <v>26</v>
      </c>
      <c r="C65">
        <v>2268</v>
      </c>
      <c r="D65" t="s">
        <v>6</v>
      </c>
      <c r="E65" t="str">
        <f>IF(may[[#This Row],[ShiftCounter]]&gt;0, "Running", "Down")</f>
        <v>Running</v>
      </c>
    </row>
    <row r="66" spans="1:5" x14ac:dyDescent="0.25">
      <c r="A66" s="5">
        <v>44691</v>
      </c>
      <c r="B66" s="7" t="s">
        <v>26</v>
      </c>
      <c r="C66">
        <v>2105</v>
      </c>
      <c r="D66" t="s">
        <v>7</v>
      </c>
      <c r="E66" t="str">
        <f>IF(may[[#This Row],[ShiftCounter]]&gt;0, "Running", "Down")</f>
        <v>Running</v>
      </c>
    </row>
    <row r="67" spans="1:5" x14ac:dyDescent="0.25">
      <c r="A67" s="5">
        <v>44691</v>
      </c>
      <c r="B67" s="7" t="s">
        <v>26</v>
      </c>
      <c r="C67">
        <v>1914</v>
      </c>
      <c r="D67" t="s">
        <v>8</v>
      </c>
      <c r="E67" t="str">
        <f>IF(may[[#This Row],[ShiftCounter]]&gt;0, "Running", "Down")</f>
        <v>Running</v>
      </c>
    </row>
    <row r="68" spans="1:5" x14ac:dyDescent="0.25">
      <c r="A68" s="5">
        <v>44691</v>
      </c>
      <c r="B68" s="7" t="s">
        <v>27</v>
      </c>
      <c r="C68">
        <v>2268</v>
      </c>
      <c r="D68" t="s">
        <v>6</v>
      </c>
      <c r="E68" t="str">
        <f>IF(may[[#This Row],[ShiftCounter]]&gt;0, "Running", "Down")</f>
        <v>Running</v>
      </c>
    </row>
    <row r="69" spans="1:5" x14ac:dyDescent="0.25">
      <c r="A69" s="5">
        <v>44691</v>
      </c>
      <c r="B69" s="7" t="s">
        <v>27</v>
      </c>
      <c r="C69">
        <v>2218</v>
      </c>
      <c r="D69" t="s">
        <v>7</v>
      </c>
      <c r="E69" t="str">
        <f>IF(may[[#This Row],[ShiftCounter]]&gt;0, "Running", "Down")</f>
        <v>Running</v>
      </c>
    </row>
    <row r="70" spans="1:5" x14ac:dyDescent="0.25">
      <c r="A70" s="5">
        <v>44691</v>
      </c>
      <c r="B70" s="7" t="s">
        <v>27</v>
      </c>
      <c r="C70">
        <v>1963</v>
      </c>
      <c r="D70" t="s">
        <v>8</v>
      </c>
      <c r="E70" t="str">
        <f>IF(may[[#This Row],[ShiftCounter]]&gt;0, "Running", "Down")</f>
        <v>Running</v>
      </c>
    </row>
    <row r="71" spans="1:5" x14ac:dyDescent="0.25">
      <c r="A71" s="5">
        <v>44691</v>
      </c>
      <c r="B71" s="7" t="s">
        <v>28</v>
      </c>
      <c r="C71">
        <v>2163</v>
      </c>
      <c r="D71" t="s">
        <v>6</v>
      </c>
      <c r="E71" t="str">
        <f>IF(may[[#This Row],[ShiftCounter]]&gt;0, "Running", "Down")</f>
        <v>Running</v>
      </c>
    </row>
    <row r="72" spans="1:5" x14ac:dyDescent="0.25">
      <c r="A72" s="5">
        <v>44691</v>
      </c>
      <c r="B72" s="7" t="s">
        <v>28</v>
      </c>
      <c r="C72">
        <v>2195</v>
      </c>
      <c r="D72" t="s">
        <v>7</v>
      </c>
      <c r="E72" t="str">
        <f>IF(may[[#This Row],[ShiftCounter]]&gt;0, "Running", "Down")</f>
        <v>Running</v>
      </c>
    </row>
    <row r="73" spans="1:5" x14ac:dyDescent="0.25">
      <c r="A73" s="5">
        <v>44691</v>
      </c>
      <c r="B73" s="7" t="s">
        <v>28</v>
      </c>
      <c r="C73">
        <v>1899</v>
      </c>
      <c r="D73" t="s">
        <v>8</v>
      </c>
      <c r="E73" t="str">
        <f>IF(may[[#This Row],[ShiftCounter]]&gt;0, "Running", "Down")</f>
        <v>Running</v>
      </c>
    </row>
    <row r="74" spans="1:5" x14ac:dyDescent="0.25">
      <c r="A74" s="5">
        <v>44691</v>
      </c>
      <c r="B74" s="7" t="s">
        <v>29</v>
      </c>
      <c r="C74">
        <v>2021</v>
      </c>
      <c r="D74" t="s">
        <v>6</v>
      </c>
      <c r="E74" t="str">
        <f>IF(may[[#This Row],[ShiftCounter]]&gt;0, "Running", "Down")</f>
        <v>Running</v>
      </c>
    </row>
    <row r="75" spans="1:5" x14ac:dyDescent="0.25">
      <c r="A75" s="5">
        <v>44691</v>
      </c>
      <c r="B75" s="7" t="s">
        <v>29</v>
      </c>
      <c r="C75">
        <v>1988</v>
      </c>
      <c r="D75" t="s">
        <v>7</v>
      </c>
      <c r="E75" t="str">
        <f>IF(may[[#This Row],[ShiftCounter]]&gt;0, "Running", "Down")</f>
        <v>Running</v>
      </c>
    </row>
    <row r="76" spans="1:5" x14ac:dyDescent="0.25">
      <c r="A76" s="5">
        <v>44691</v>
      </c>
      <c r="B76" s="7" t="s">
        <v>29</v>
      </c>
      <c r="C76">
        <v>1767</v>
      </c>
      <c r="D76" t="s">
        <v>8</v>
      </c>
      <c r="E76" t="str">
        <f>IF(may[[#This Row],[ShiftCounter]]&gt;0, "Running", "Down")</f>
        <v>Running</v>
      </c>
    </row>
    <row r="77" spans="1:5" x14ac:dyDescent="0.25">
      <c r="A77" s="5">
        <v>44691</v>
      </c>
      <c r="B77" s="7" t="s">
        <v>30</v>
      </c>
      <c r="C77">
        <v>2175</v>
      </c>
      <c r="D77" t="s">
        <v>6</v>
      </c>
      <c r="E77" t="str">
        <f>IF(may[[#This Row],[ShiftCounter]]&gt;0, "Running", "Down")</f>
        <v>Running</v>
      </c>
    </row>
    <row r="78" spans="1:5" x14ac:dyDescent="0.25">
      <c r="A78" s="5">
        <v>44691</v>
      </c>
      <c r="B78" s="7" t="s">
        <v>30</v>
      </c>
      <c r="C78">
        <v>2268</v>
      </c>
      <c r="D78" t="s">
        <v>7</v>
      </c>
      <c r="E78" t="str">
        <f>IF(may[[#This Row],[ShiftCounter]]&gt;0, "Running", "Down")</f>
        <v>Running</v>
      </c>
    </row>
    <row r="79" spans="1:5" x14ac:dyDescent="0.25">
      <c r="A79" s="5">
        <v>44691</v>
      </c>
      <c r="B79" s="7" t="s">
        <v>30</v>
      </c>
      <c r="C79">
        <v>2010</v>
      </c>
      <c r="D79" t="s">
        <v>8</v>
      </c>
      <c r="E79" t="str">
        <f>IF(may[[#This Row],[ShiftCounter]]&gt;0, "Running", "Down")</f>
        <v>Running</v>
      </c>
    </row>
    <row r="80" spans="1:5" x14ac:dyDescent="0.25">
      <c r="A80" s="5">
        <v>44691</v>
      </c>
      <c r="B80" s="7" t="s">
        <v>31</v>
      </c>
      <c r="C80">
        <v>2205</v>
      </c>
      <c r="D80" t="s">
        <v>6</v>
      </c>
      <c r="E80" t="str">
        <f>IF(may[[#This Row],[ShiftCounter]]&gt;0, "Running", "Down")</f>
        <v>Running</v>
      </c>
    </row>
    <row r="81" spans="1:5" x14ac:dyDescent="0.25">
      <c r="A81" s="5">
        <v>44691</v>
      </c>
      <c r="B81" s="7" t="s">
        <v>31</v>
      </c>
      <c r="C81">
        <v>2083</v>
      </c>
      <c r="D81" t="s">
        <v>7</v>
      </c>
      <c r="E81" t="str">
        <f>IF(may[[#This Row],[ShiftCounter]]&gt;0, "Running", "Down")</f>
        <v>Running</v>
      </c>
    </row>
    <row r="82" spans="1:5" x14ac:dyDescent="0.25">
      <c r="A82" s="5">
        <v>44691</v>
      </c>
      <c r="B82" s="7" t="s">
        <v>31</v>
      </c>
      <c r="C82">
        <v>1950</v>
      </c>
      <c r="D82" t="s">
        <v>8</v>
      </c>
      <c r="E82" t="str">
        <f>IF(may[[#This Row],[ShiftCounter]]&gt;0, "Running", "Down")</f>
        <v>Running</v>
      </c>
    </row>
    <row r="83" spans="1:5" x14ac:dyDescent="0.25">
      <c r="A83" s="5">
        <v>44691</v>
      </c>
      <c r="B83" s="7" t="s">
        <v>32</v>
      </c>
      <c r="C83">
        <v>2430</v>
      </c>
      <c r="D83" t="s">
        <v>6</v>
      </c>
      <c r="E83" t="str">
        <f>IF(may[[#This Row],[ShiftCounter]]&gt;0, "Running", "Down")</f>
        <v>Running</v>
      </c>
    </row>
    <row r="84" spans="1:5" x14ac:dyDescent="0.25">
      <c r="A84" s="5">
        <v>44691</v>
      </c>
      <c r="B84" s="7" t="s">
        <v>32</v>
      </c>
      <c r="C84">
        <v>2398</v>
      </c>
      <c r="D84" t="s">
        <v>7</v>
      </c>
      <c r="E84" t="str">
        <f>IF(may[[#This Row],[ShiftCounter]]&gt;0, "Running", "Down")</f>
        <v>Running</v>
      </c>
    </row>
    <row r="85" spans="1:5" x14ac:dyDescent="0.25">
      <c r="A85" s="5">
        <v>44691</v>
      </c>
      <c r="B85" s="7" t="s">
        <v>32</v>
      </c>
      <c r="C85">
        <v>2046</v>
      </c>
      <c r="D85" t="s">
        <v>8</v>
      </c>
      <c r="E85" t="str">
        <f>IF(may[[#This Row],[ShiftCounter]]&gt;0, "Running", "Down")</f>
        <v>Running</v>
      </c>
    </row>
    <row r="86" spans="1:5" x14ac:dyDescent="0.25">
      <c r="A86" s="5">
        <v>44691</v>
      </c>
      <c r="B86" s="7" t="s">
        <v>33</v>
      </c>
      <c r="C86">
        <v>2453</v>
      </c>
      <c r="D86" t="s">
        <v>6</v>
      </c>
      <c r="E86" t="str">
        <f>IF(may[[#This Row],[ShiftCounter]]&gt;0, "Running", "Down")</f>
        <v>Running</v>
      </c>
    </row>
    <row r="87" spans="1:5" x14ac:dyDescent="0.25">
      <c r="A87" s="5">
        <v>44691</v>
      </c>
      <c r="B87" s="7" t="s">
        <v>33</v>
      </c>
      <c r="C87">
        <v>2396</v>
      </c>
      <c r="D87" t="s">
        <v>7</v>
      </c>
      <c r="E87" t="str">
        <f>IF(may[[#This Row],[ShiftCounter]]&gt;0, "Running", "Down")</f>
        <v>Running</v>
      </c>
    </row>
    <row r="88" spans="1:5" x14ac:dyDescent="0.25">
      <c r="A88" s="5">
        <v>44691</v>
      </c>
      <c r="B88" s="7" t="s">
        <v>33</v>
      </c>
      <c r="C88">
        <v>2164</v>
      </c>
      <c r="D88" t="s">
        <v>8</v>
      </c>
      <c r="E88" t="str">
        <f>IF(may[[#This Row],[ShiftCounter]]&gt;0, "Running", "Down")</f>
        <v>Running</v>
      </c>
    </row>
    <row r="89" spans="1:5" x14ac:dyDescent="0.25">
      <c r="A89" s="5">
        <v>44691</v>
      </c>
      <c r="B89" s="7" t="s">
        <v>34</v>
      </c>
      <c r="C89">
        <v>2112</v>
      </c>
      <c r="D89" t="s">
        <v>6</v>
      </c>
      <c r="E89" t="str">
        <f>IF(may[[#This Row],[ShiftCounter]]&gt;0, "Running", "Down")</f>
        <v>Running</v>
      </c>
    </row>
    <row r="90" spans="1:5" x14ac:dyDescent="0.25">
      <c r="A90" s="5">
        <v>44691</v>
      </c>
      <c r="B90" s="7" t="s">
        <v>34</v>
      </c>
      <c r="C90">
        <v>1995</v>
      </c>
      <c r="D90" t="s">
        <v>7</v>
      </c>
      <c r="E90" t="str">
        <f>IF(may[[#This Row],[ShiftCounter]]&gt;0, "Running", "Down")</f>
        <v>Running</v>
      </c>
    </row>
    <row r="91" spans="1:5" x14ac:dyDescent="0.25">
      <c r="A91" s="5">
        <v>44691</v>
      </c>
      <c r="B91" s="7" t="s">
        <v>34</v>
      </c>
      <c r="C91">
        <v>1841</v>
      </c>
      <c r="D91" t="s">
        <v>8</v>
      </c>
      <c r="E91" t="str">
        <f>IF(may[[#This Row],[ShiftCounter]]&gt;0, "Running", "Down")</f>
        <v>Running</v>
      </c>
    </row>
    <row r="92" spans="1:5" x14ac:dyDescent="0.25">
      <c r="A92" s="5">
        <v>44691</v>
      </c>
      <c r="B92" s="7" t="s">
        <v>35</v>
      </c>
      <c r="C92">
        <v>2636</v>
      </c>
      <c r="D92" t="s">
        <v>6</v>
      </c>
      <c r="E92" t="str">
        <f>IF(may[[#This Row],[ShiftCounter]]&gt;0, "Running", "Down")</f>
        <v>Running</v>
      </c>
    </row>
    <row r="93" spans="1:5" x14ac:dyDescent="0.25">
      <c r="A93" s="5">
        <v>44691</v>
      </c>
      <c r="B93" s="7" t="s">
        <v>35</v>
      </c>
      <c r="C93">
        <v>2471</v>
      </c>
      <c r="D93" t="s">
        <v>7</v>
      </c>
      <c r="E93" t="str">
        <f>IF(may[[#This Row],[ShiftCounter]]&gt;0, "Running", "Down")</f>
        <v>Running</v>
      </c>
    </row>
    <row r="94" spans="1:5" x14ac:dyDescent="0.25">
      <c r="A94" s="5">
        <v>44691</v>
      </c>
      <c r="B94" s="7" t="s">
        <v>35</v>
      </c>
      <c r="C94">
        <v>2382</v>
      </c>
      <c r="D94" t="s">
        <v>8</v>
      </c>
      <c r="E94" t="str">
        <f>IF(may[[#This Row],[ShiftCounter]]&gt;0, "Running", "Down")</f>
        <v>Running</v>
      </c>
    </row>
    <row r="95" spans="1:5" x14ac:dyDescent="0.25">
      <c r="A95" s="5">
        <v>44691</v>
      </c>
      <c r="B95" s="7" t="s">
        <v>36</v>
      </c>
      <c r="C95">
        <v>2259</v>
      </c>
      <c r="D95" t="s">
        <v>6</v>
      </c>
      <c r="E95" t="str">
        <f>IF(may[[#This Row],[ShiftCounter]]&gt;0, "Running", "Down")</f>
        <v>Running</v>
      </c>
    </row>
    <row r="96" spans="1:5" x14ac:dyDescent="0.25">
      <c r="A96" s="5">
        <v>44691</v>
      </c>
      <c r="B96" s="7" t="s">
        <v>36</v>
      </c>
      <c r="C96">
        <v>2214</v>
      </c>
      <c r="D96" t="s">
        <v>7</v>
      </c>
      <c r="E96" t="str">
        <f>IF(may[[#This Row],[ShiftCounter]]&gt;0, "Running", "Down")</f>
        <v>Running</v>
      </c>
    </row>
    <row r="97" spans="1:5" x14ac:dyDescent="0.25">
      <c r="A97" s="5">
        <v>44691</v>
      </c>
      <c r="B97" s="7" t="s">
        <v>36</v>
      </c>
      <c r="C97">
        <v>2143</v>
      </c>
      <c r="D97" t="s">
        <v>8</v>
      </c>
      <c r="E97" t="str">
        <f>IF(may[[#This Row],[ShiftCounter]]&gt;0, "Running", "Down")</f>
        <v>Running</v>
      </c>
    </row>
    <row r="98" spans="1:5" x14ac:dyDescent="0.25">
      <c r="A98" s="5">
        <v>44691</v>
      </c>
      <c r="B98" s="7" t="s">
        <v>37</v>
      </c>
      <c r="C98">
        <v>2452</v>
      </c>
      <c r="D98" t="s">
        <v>6</v>
      </c>
      <c r="E98" t="str">
        <f>IF(may[[#This Row],[ShiftCounter]]&gt;0, "Running", "Down")</f>
        <v>Running</v>
      </c>
    </row>
    <row r="99" spans="1:5" x14ac:dyDescent="0.25">
      <c r="A99" s="5">
        <v>44691</v>
      </c>
      <c r="B99" s="7" t="s">
        <v>37</v>
      </c>
      <c r="C99">
        <v>2074</v>
      </c>
      <c r="D99" t="s">
        <v>7</v>
      </c>
      <c r="E99" t="str">
        <f>IF(may[[#This Row],[ShiftCounter]]&gt;0, "Running", "Down")</f>
        <v>Running</v>
      </c>
    </row>
    <row r="100" spans="1:5" x14ac:dyDescent="0.25">
      <c r="A100" s="5">
        <v>44691</v>
      </c>
      <c r="B100" s="7" t="s">
        <v>37</v>
      </c>
      <c r="C100">
        <v>2088</v>
      </c>
      <c r="D100" t="s">
        <v>8</v>
      </c>
      <c r="E100" t="str">
        <f>IF(may[[#This Row],[ShiftCounter]]&gt;0, "Running", "Down")</f>
        <v>Running</v>
      </c>
    </row>
    <row r="101" spans="1:5" x14ac:dyDescent="0.25">
      <c r="A101" s="2">
        <v>44690</v>
      </c>
      <c r="B101" s="6" t="s">
        <v>39</v>
      </c>
      <c r="C101">
        <v>2021</v>
      </c>
      <c r="D101" t="s">
        <v>6</v>
      </c>
      <c r="E101" t="str">
        <f>IF(may[[#This Row],[ShiftCounter]]&gt;0, "Running", "Down")</f>
        <v>Running</v>
      </c>
    </row>
    <row r="102" spans="1:5" x14ac:dyDescent="0.25">
      <c r="A102" s="2">
        <v>44690</v>
      </c>
      <c r="B102" s="6" t="s">
        <v>39</v>
      </c>
      <c r="C102">
        <v>1986</v>
      </c>
      <c r="D102" t="s">
        <v>7</v>
      </c>
      <c r="E102" t="str">
        <f>IF(may[[#This Row],[ShiftCounter]]&gt;0, "Running", "Down")</f>
        <v>Running</v>
      </c>
    </row>
    <row r="103" spans="1:5" x14ac:dyDescent="0.25">
      <c r="A103" s="2">
        <v>44690</v>
      </c>
      <c r="B103" s="6" t="s">
        <v>39</v>
      </c>
      <c r="C103">
        <v>1750</v>
      </c>
      <c r="D103" t="s">
        <v>8</v>
      </c>
      <c r="E103" t="str">
        <f>IF(may[[#This Row],[ShiftCounter]]&gt;0, "Running", "Down")</f>
        <v>Running</v>
      </c>
    </row>
    <row r="104" spans="1:5" x14ac:dyDescent="0.25">
      <c r="A104" s="2">
        <v>44690</v>
      </c>
      <c r="B104" s="7" t="s">
        <v>40</v>
      </c>
      <c r="C104">
        <v>2309</v>
      </c>
      <c r="D104" t="s">
        <v>6</v>
      </c>
      <c r="E104" t="str">
        <f>IF(may[[#This Row],[ShiftCounter]]&gt;0, "Running", "Down")</f>
        <v>Running</v>
      </c>
    </row>
    <row r="105" spans="1:5" x14ac:dyDescent="0.25">
      <c r="A105" s="2">
        <v>44690</v>
      </c>
      <c r="B105" s="7" t="s">
        <v>40</v>
      </c>
      <c r="C105">
        <v>2266</v>
      </c>
      <c r="D105" t="s">
        <v>7</v>
      </c>
      <c r="E105" t="str">
        <f>IF(may[[#This Row],[ShiftCounter]]&gt;0, "Running", "Down")</f>
        <v>Running</v>
      </c>
    </row>
    <row r="106" spans="1:5" x14ac:dyDescent="0.25">
      <c r="A106" s="2">
        <v>44690</v>
      </c>
      <c r="B106" s="7" t="s">
        <v>40</v>
      </c>
      <c r="C106">
        <v>2009</v>
      </c>
      <c r="D106" t="s">
        <v>8</v>
      </c>
      <c r="E106" t="str">
        <f>IF(may[[#This Row],[ShiftCounter]]&gt;0, "Running", "Down")</f>
        <v>Running</v>
      </c>
    </row>
    <row r="107" spans="1:5" x14ac:dyDescent="0.25">
      <c r="A107" s="2">
        <v>44690</v>
      </c>
      <c r="B107" s="6" t="s">
        <v>41</v>
      </c>
      <c r="C107">
        <v>2449</v>
      </c>
      <c r="D107" t="s">
        <v>6</v>
      </c>
      <c r="E107" t="str">
        <f>IF(may[[#This Row],[ShiftCounter]]&gt;0, "Running", "Down")</f>
        <v>Running</v>
      </c>
    </row>
    <row r="108" spans="1:5" x14ac:dyDescent="0.25">
      <c r="A108" s="2">
        <v>44690</v>
      </c>
      <c r="B108" s="6" t="s">
        <v>41</v>
      </c>
      <c r="C108">
        <v>3382</v>
      </c>
      <c r="D108" t="s">
        <v>7</v>
      </c>
      <c r="E108" t="str">
        <f>IF(may[[#This Row],[ShiftCounter]]&gt;0, "Running", "Down")</f>
        <v>Running</v>
      </c>
    </row>
    <row r="109" spans="1:5" x14ac:dyDescent="0.25">
      <c r="A109" s="2">
        <v>44690</v>
      </c>
      <c r="B109" s="6" t="s">
        <v>41</v>
      </c>
      <c r="C109">
        <v>2067</v>
      </c>
      <c r="D109" t="s">
        <v>8</v>
      </c>
      <c r="E109" t="str">
        <f>IF(may[[#This Row],[ShiftCounter]]&gt;0, "Running", "Down")</f>
        <v>Running</v>
      </c>
    </row>
    <row r="110" spans="1:5" x14ac:dyDescent="0.25">
      <c r="A110" s="2">
        <v>44690</v>
      </c>
      <c r="B110" s="3" t="s">
        <v>5</v>
      </c>
      <c r="C110">
        <v>2304</v>
      </c>
      <c r="D110" t="s">
        <v>6</v>
      </c>
      <c r="E110" t="str">
        <f>IF(may[[#This Row],[ShiftCounter]]&gt;0, "Running", "Down")</f>
        <v>Running</v>
      </c>
    </row>
    <row r="111" spans="1:5" x14ac:dyDescent="0.25">
      <c r="A111" s="2">
        <v>44690</v>
      </c>
      <c r="B111" s="3" t="s">
        <v>5</v>
      </c>
      <c r="C111">
        <v>2383</v>
      </c>
      <c r="D111" t="s">
        <v>7</v>
      </c>
      <c r="E111" t="str">
        <f>IF(may[[#This Row],[ShiftCounter]]&gt;0, "Running", "Down")</f>
        <v>Running</v>
      </c>
    </row>
    <row r="112" spans="1:5" x14ac:dyDescent="0.25">
      <c r="A112" s="2">
        <v>44690</v>
      </c>
      <c r="B112" s="3" t="s">
        <v>5</v>
      </c>
      <c r="C112">
        <v>2067</v>
      </c>
      <c r="D112" t="s">
        <v>8</v>
      </c>
      <c r="E112" t="str">
        <f>IF(may[[#This Row],[ShiftCounter]]&gt;0, "Running", "Down")</f>
        <v>Running</v>
      </c>
    </row>
    <row r="113" spans="1:5" x14ac:dyDescent="0.25">
      <c r="A113" s="2">
        <v>44690</v>
      </c>
      <c r="B113" s="3" t="s">
        <v>9</v>
      </c>
      <c r="C113">
        <v>1438</v>
      </c>
      <c r="D113" t="s">
        <v>6</v>
      </c>
      <c r="E113" t="str">
        <f>IF(may[[#This Row],[ShiftCounter]]&gt;0, "Running", "Down")</f>
        <v>Running</v>
      </c>
    </row>
    <row r="114" spans="1:5" x14ac:dyDescent="0.25">
      <c r="A114" s="2">
        <v>44690</v>
      </c>
      <c r="B114" s="3" t="s">
        <v>9</v>
      </c>
      <c r="C114">
        <v>1046</v>
      </c>
      <c r="D114" t="s">
        <v>7</v>
      </c>
      <c r="E114" t="str">
        <f>IF(may[[#This Row],[ShiftCounter]]&gt;0, "Running", "Down")</f>
        <v>Running</v>
      </c>
    </row>
    <row r="115" spans="1:5" x14ac:dyDescent="0.25">
      <c r="A115" s="2">
        <v>44690</v>
      </c>
      <c r="B115" s="3" t="s">
        <v>9</v>
      </c>
      <c r="C115">
        <v>0</v>
      </c>
      <c r="D115" t="s">
        <v>8</v>
      </c>
      <c r="E115" t="str">
        <f>IF(may[[#This Row],[ShiftCounter]]&gt;0, "Running", "Down")</f>
        <v>Down</v>
      </c>
    </row>
    <row r="116" spans="1:5" x14ac:dyDescent="0.25">
      <c r="A116" s="2">
        <v>44690</v>
      </c>
      <c r="B116" s="3" t="s">
        <v>10</v>
      </c>
      <c r="C116">
        <v>2327</v>
      </c>
      <c r="D116" t="s">
        <v>6</v>
      </c>
      <c r="E116" t="str">
        <f>IF(may[[#This Row],[ShiftCounter]]&gt;0, "Running", "Down")</f>
        <v>Running</v>
      </c>
    </row>
    <row r="117" spans="1:5" x14ac:dyDescent="0.25">
      <c r="A117" s="2">
        <v>44690</v>
      </c>
      <c r="B117" s="3" t="s">
        <v>10</v>
      </c>
      <c r="C117">
        <v>2262</v>
      </c>
      <c r="D117" t="s">
        <v>7</v>
      </c>
      <c r="E117" t="str">
        <f>IF(may[[#This Row],[ShiftCounter]]&gt;0, "Running", "Down")</f>
        <v>Running</v>
      </c>
    </row>
    <row r="118" spans="1:5" x14ac:dyDescent="0.25">
      <c r="A118" s="2">
        <v>44690</v>
      </c>
      <c r="B118" s="3" t="s">
        <v>10</v>
      </c>
      <c r="C118">
        <v>1988</v>
      </c>
      <c r="D118" t="s">
        <v>8</v>
      </c>
      <c r="E118" t="str">
        <f>IF(may[[#This Row],[ShiftCounter]]&gt;0, "Running", "Down")</f>
        <v>Running</v>
      </c>
    </row>
    <row r="119" spans="1:5" x14ac:dyDescent="0.25">
      <c r="A119" s="2">
        <v>44690</v>
      </c>
      <c r="B119" s="3" t="s">
        <v>11</v>
      </c>
      <c r="C119">
        <v>2421</v>
      </c>
      <c r="D119" t="s">
        <v>6</v>
      </c>
      <c r="E119" t="str">
        <f>IF(may[[#This Row],[ShiftCounter]]&gt;0, "Running", "Down")</f>
        <v>Running</v>
      </c>
    </row>
    <row r="120" spans="1:5" x14ac:dyDescent="0.25">
      <c r="A120" s="2">
        <v>44690</v>
      </c>
      <c r="B120" s="3" t="s">
        <v>11</v>
      </c>
      <c r="C120">
        <v>2366</v>
      </c>
      <c r="D120" t="s">
        <v>7</v>
      </c>
      <c r="E120" t="str">
        <f>IF(may[[#This Row],[ShiftCounter]]&gt;0, "Running", "Down")</f>
        <v>Running</v>
      </c>
    </row>
    <row r="121" spans="1:5" x14ac:dyDescent="0.25">
      <c r="A121" s="2">
        <v>44690</v>
      </c>
      <c r="B121" s="3" t="s">
        <v>11</v>
      </c>
      <c r="C121">
        <v>2076</v>
      </c>
      <c r="D121" t="s">
        <v>8</v>
      </c>
      <c r="E121" t="str">
        <f>IF(may[[#This Row],[ShiftCounter]]&gt;0, "Running", "Down")</f>
        <v>Running</v>
      </c>
    </row>
    <row r="122" spans="1:5" x14ac:dyDescent="0.25">
      <c r="A122" s="2">
        <v>44690</v>
      </c>
      <c r="B122" s="3" t="s">
        <v>12</v>
      </c>
      <c r="C122">
        <v>2193</v>
      </c>
      <c r="D122" t="s">
        <v>6</v>
      </c>
      <c r="E122" t="str">
        <f>IF(may[[#This Row],[ShiftCounter]]&gt;0, "Running", "Down")</f>
        <v>Running</v>
      </c>
    </row>
    <row r="123" spans="1:5" x14ac:dyDescent="0.25">
      <c r="A123" s="2">
        <v>44690</v>
      </c>
      <c r="B123" s="3" t="s">
        <v>12</v>
      </c>
      <c r="C123">
        <v>2233</v>
      </c>
      <c r="D123" t="s">
        <v>7</v>
      </c>
      <c r="E123" t="str">
        <f>IF(may[[#This Row],[ShiftCounter]]&gt;0, "Running", "Down")</f>
        <v>Running</v>
      </c>
    </row>
    <row r="124" spans="1:5" x14ac:dyDescent="0.25">
      <c r="A124" s="2">
        <v>44690</v>
      </c>
      <c r="B124" s="3" t="s">
        <v>12</v>
      </c>
      <c r="C124">
        <v>1876</v>
      </c>
      <c r="D124" t="s">
        <v>8</v>
      </c>
      <c r="E124" t="str">
        <f>IF(may[[#This Row],[ShiftCounter]]&gt;0, "Running", "Down")</f>
        <v>Running</v>
      </c>
    </row>
    <row r="125" spans="1:5" x14ac:dyDescent="0.25">
      <c r="A125" s="2">
        <v>44690</v>
      </c>
      <c r="B125" s="3" t="s">
        <v>13</v>
      </c>
      <c r="C125">
        <v>2417</v>
      </c>
      <c r="D125" t="s">
        <v>6</v>
      </c>
      <c r="E125" t="str">
        <f>IF(may[[#This Row],[ShiftCounter]]&gt;0, "Running", "Down")</f>
        <v>Running</v>
      </c>
    </row>
    <row r="126" spans="1:5" x14ac:dyDescent="0.25">
      <c r="A126" s="2">
        <v>44690</v>
      </c>
      <c r="B126" s="3" t="s">
        <v>13</v>
      </c>
      <c r="C126">
        <v>2248</v>
      </c>
      <c r="D126" t="s">
        <v>7</v>
      </c>
      <c r="E126" t="str">
        <f>IF(may[[#This Row],[ShiftCounter]]&gt;0, "Running", "Down")</f>
        <v>Running</v>
      </c>
    </row>
    <row r="127" spans="1:5" x14ac:dyDescent="0.25">
      <c r="A127" s="2">
        <v>44690</v>
      </c>
      <c r="B127" s="3" t="s">
        <v>13</v>
      </c>
      <c r="C127">
        <v>2071</v>
      </c>
      <c r="D127" t="s">
        <v>8</v>
      </c>
      <c r="E127" t="str">
        <f>IF(may[[#This Row],[ShiftCounter]]&gt;0, "Running", "Down")</f>
        <v>Running</v>
      </c>
    </row>
    <row r="128" spans="1:5" x14ac:dyDescent="0.25">
      <c r="A128" s="2">
        <v>44690</v>
      </c>
      <c r="B128" s="3" t="s">
        <v>14</v>
      </c>
      <c r="C128">
        <v>1947</v>
      </c>
      <c r="D128" t="s">
        <v>6</v>
      </c>
      <c r="E128" t="str">
        <f>IF(may[[#This Row],[ShiftCounter]]&gt;0, "Running", "Down")</f>
        <v>Running</v>
      </c>
    </row>
    <row r="129" spans="1:5" x14ac:dyDescent="0.25">
      <c r="A129" s="2">
        <v>44690</v>
      </c>
      <c r="B129" s="3" t="s">
        <v>14</v>
      </c>
      <c r="C129">
        <v>1772</v>
      </c>
      <c r="D129" t="s">
        <v>7</v>
      </c>
      <c r="E129" t="str">
        <f>IF(may[[#This Row],[ShiftCounter]]&gt;0, "Running", "Down")</f>
        <v>Running</v>
      </c>
    </row>
    <row r="130" spans="1:5" x14ac:dyDescent="0.25">
      <c r="A130" s="2">
        <v>44690</v>
      </c>
      <c r="B130" s="3" t="s">
        <v>14</v>
      </c>
      <c r="C130">
        <v>1635</v>
      </c>
      <c r="D130" t="s">
        <v>8</v>
      </c>
      <c r="E130" t="str">
        <f>IF(may[[#This Row],[ShiftCounter]]&gt;0, "Running", "Down")</f>
        <v>Running</v>
      </c>
    </row>
    <row r="131" spans="1:5" x14ac:dyDescent="0.25">
      <c r="A131" s="2">
        <v>44690</v>
      </c>
      <c r="B131" s="3" t="s">
        <v>15</v>
      </c>
      <c r="C131">
        <v>2237</v>
      </c>
      <c r="D131" t="s">
        <v>6</v>
      </c>
      <c r="E131" t="str">
        <f>IF(may[[#This Row],[ShiftCounter]]&gt;0, "Running", "Down")</f>
        <v>Running</v>
      </c>
    </row>
    <row r="132" spans="1:5" x14ac:dyDescent="0.25">
      <c r="A132" s="2">
        <v>44690</v>
      </c>
      <c r="B132" s="3" t="s">
        <v>15</v>
      </c>
      <c r="C132">
        <v>2058</v>
      </c>
      <c r="D132" t="s">
        <v>7</v>
      </c>
      <c r="E132" t="str">
        <f>IF(may[[#This Row],[ShiftCounter]]&gt;0, "Running", "Down")</f>
        <v>Running</v>
      </c>
    </row>
    <row r="133" spans="1:5" x14ac:dyDescent="0.25">
      <c r="A133" s="2">
        <v>44690</v>
      </c>
      <c r="B133" s="3" t="s">
        <v>15</v>
      </c>
      <c r="C133">
        <v>1898</v>
      </c>
      <c r="D133" t="s">
        <v>8</v>
      </c>
      <c r="E133" t="str">
        <f>IF(may[[#This Row],[ShiftCounter]]&gt;0, "Running", "Down")</f>
        <v>Running</v>
      </c>
    </row>
    <row r="134" spans="1:5" x14ac:dyDescent="0.25">
      <c r="A134" s="2">
        <v>44690</v>
      </c>
      <c r="B134" s="3" t="s">
        <v>16</v>
      </c>
      <c r="C134">
        <v>2495</v>
      </c>
      <c r="D134" t="s">
        <v>6</v>
      </c>
      <c r="E134" t="str">
        <f>IF(may[[#This Row],[ShiftCounter]]&gt;0, "Running", "Down")</f>
        <v>Running</v>
      </c>
    </row>
    <row r="135" spans="1:5" x14ac:dyDescent="0.25">
      <c r="A135" s="2">
        <v>44690</v>
      </c>
      <c r="B135" s="3" t="s">
        <v>16</v>
      </c>
      <c r="C135">
        <v>2308</v>
      </c>
      <c r="D135" t="s">
        <v>7</v>
      </c>
      <c r="E135" t="str">
        <f>IF(may[[#This Row],[ShiftCounter]]&gt;0, "Running", "Down")</f>
        <v>Running</v>
      </c>
    </row>
    <row r="136" spans="1:5" x14ac:dyDescent="0.25">
      <c r="A136" s="2">
        <v>44690</v>
      </c>
      <c r="B136" s="3" t="s">
        <v>16</v>
      </c>
      <c r="C136">
        <v>2141</v>
      </c>
      <c r="D136" t="s">
        <v>8</v>
      </c>
      <c r="E136" t="str">
        <f>IF(may[[#This Row],[ShiftCounter]]&gt;0, "Running", "Down")</f>
        <v>Running</v>
      </c>
    </row>
    <row r="137" spans="1:5" x14ac:dyDescent="0.25">
      <c r="A137" s="2">
        <v>44690</v>
      </c>
      <c r="B137" s="3" t="s">
        <v>17</v>
      </c>
      <c r="C137">
        <v>721</v>
      </c>
      <c r="D137" t="s">
        <v>6</v>
      </c>
      <c r="E137" t="str">
        <f>IF(may[[#This Row],[ShiftCounter]]&gt;0, "Running", "Down")</f>
        <v>Running</v>
      </c>
    </row>
    <row r="138" spans="1:5" x14ac:dyDescent="0.25">
      <c r="A138" s="2">
        <v>44690</v>
      </c>
      <c r="B138" s="3" t="s">
        <v>17</v>
      </c>
      <c r="C138">
        <v>2279</v>
      </c>
      <c r="D138" t="s">
        <v>7</v>
      </c>
      <c r="E138" t="str">
        <f>IF(may[[#This Row],[ShiftCounter]]&gt;0, "Running", "Down")</f>
        <v>Running</v>
      </c>
    </row>
    <row r="139" spans="1:5" x14ac:dyDescent="0.25">
      <c r="A139" s="2">
        <v>44690</v>
      </c>
      <c r="B139" s="3" t="s">
        <v>17</v>
      </c>
      <c r="C139">
        <v>2213</v>
      </c>
      <c r="D139" t="s">
        <v>8</v>
      </c>
      <c r="E139" t="str">
        <f>IF(may[[#This Row],[ShiftCounter]]&gt;0, "Running", "Down")</f>
        <v>Running</v>
      </c>
    </row>
    <row r="140" spans="1:5" x14ac:dyDescent="0.25">
      <c r="A140" s="2">
        <v>44690</v>
      </c>
      <c r="B140" s="3" t="s">
        <v>18</v>
      </c>
      <c r="C140">
        <v>2466</v>
      </c>
      <c r="D140" t="s">
        <v>6</v>
      </c>
      <c r="E140" t="str">
        <f>IF(may[[#This Row],[ShiftCounter]]&gt;0, "Running", "Down")</f>
        <v>Running</v>
      </c>
    </row>
    <row r="141" spans="1:5" x14ac:dyDescent="0.25">
      <c r="A141" s="2">
        <v>44690</v>
      </c>
      <c r="B141" s="3" t="s">
        <v>18</v>
      </c>
      <c r="C141">
        <v>2314</v>
      </c>
      <c r="D141" t="s">
        <v>7</v>
      </c>
      <c r="E141" t="str">
        <f>IF(may[[#This Row],[ShiftCounter]]&gt;0, "Running", "Down")</f>
        <v>Running</v>
      </c>
    </row>
    <row r="142" spans="1:5" x14ac:dyDescent="0.25">
      <c r="A142" s="2">
        <v>44690</v>
      </c>
      <c r="B142" s="3" t="s">
        <v>18</v>
      </c>
      <c r="C142">
        <v>2151</v>
      </c>
      <c r="D142" t="s">
        <v>8</v>
      </c>
      <c r="E142" t="str">
        <f>IF(may[[#This Row],[ShiftCounter]]&gt;0, "Running", "Down")</f>
        <v>Running</v>
      </c>
    </row>
    <row r="143" spans="1:5" x14ac:dyDescent="0.25">
      <c r="A143" s="2">
        <v>44690</v>
      </c>
      <c r="B143" s="3" t="s">
        <v>19</v>
      </c>
      <c r="C143">
        <v>1989</v>
      </c>
      <c r="D143" t="s">
        <v>6</v>
      </c>
      <c r="E143" t="str">
        <f>IF(may[[#This Row],[ShiftCounter]]&gt;0, "Running", "Down")</f>
        <v>Running</v>
      </c>
    </row>
    <row r="144" spans="1:5" x14ac:dyDescent="0.25">
      <c r="A144" s="2">
        <v>44690</v>
      </c>
      <c r="B144" s="3" t="s">
        <v>19</v>
      </c>
      <c r="C144">
        <v>1977</v>
      </c>
      <c r="D144" t="s">
        <v>7</v>
      </c>
      <c r="E144" t="str">
        <f>IF(may[[#This Row],[ShiftCounter]]&gt;0, "Running", "Down")</f>
        <v>Running</v>
      </c>
    </row>
    <row r="145" spans="1:5" x14ac:dyDescent="0.25">
      <c r="A145" s="2">
        <v>44690</v>
      </c>
      <c r="B145" s="3" t="s">
        <v>19</v>
      </c>
      <c r="C145">
        <v>1752</v>
      </c>
      <c r="D145" t="s">
        <v>8</v>
      </c>
      <c r="E145" t="str">
        <f>IF(may[[#This Row],[ShiftCounter]]&gt;0, "Running", "Down")</f>
        <v>Running</v>
      </c>
    </row>
    <row r="146" spans="1:5" x14ac:dyDescent="0.25">
      <c r="A146" s="2">
        <v>44690</v>
      </c>
      <c r="B146" s="3" t="s">
        <v>20</v>
      </c>
      <c r="C146">
        <v>2037</v>
      </c>
      <c r="D146" t="s">
        <v>6</v>
      </c>
      <c r="E146" t="str">
        <f>IF(may[[#This Row],[ShiftCounter]]&gt;0, "Running", "Down")</f>
        <v>Running</v>
      </c>
    </row>
    <row r="147" spans="1:5" x14ac:dyDescent="0.25">
      <c r="A147" s="2">
        <v>44690</v>
      </c>
      <c r="B147" s="3" t="s">
        <v>20</v>
      </c>
      <c r="C147">
        <v>2075</v>
      </c>
      <c r="D147" t="s">
        <v>7</v>
      </c>
      <c r="E147" t="str">
        <f>IF(may[[#This Row],[ShiftCounter]]&gt;0, "Running", "Down")</f>
        <v>Running</v>
      </c>
    </row>
    <row r="148" spans="1:5" x14ac:dyDescent="0.25">
      <c r="A148" s="2">
        <v>44690</v>
      </c>
      <c r="B148" s="3" t="s">
        <v>20</v>
      </c>
      <c r="C148">
        <v>1758</v>
      </c>
      <c r="D148" t="s">
        <v>8</v>
      </c>
      <c r="E148" t="str">
        <f>IF(may[[#This Row],[ShiftCounter]]&gt;0, "Running", "Down")</f>
        <v>Running</v>
      </c>
    </row>
    <row r="149" spans="1:5" x14ac:dyDescent="0.25">
      <c r="A149" s="2">
        <v>44690</v>
      </c>
      <c r="B149" s="3" t="s">
        <v>21</v>
      </c>
      <c r="C149">
        <v>2050</v>
      </c>
      <c r="D149" t="s">
        <v>6</v>
      </c>
      <c r="E149" t="str">
        <f>IF(may[[#This Row],[ShiftCounter]]&gt;0, "Running", "Down")</f>
        <v>Running</v>
      </c>
    </row>
    <row r="150" spans="1:5" x14ac:dyDescent="0.25">
      <c r="A150" s="2">
        <v>44690</v>
      </c>
      <c r="B150" s="3" t="s">
        <v>21</v>
      </c>
      <c r="C150">
        <v>2070</v>
      </c>
      <c r="D150" t="s">
        <v>7</v>
      </c>
      <c r="E150" t="str">
        <f>IF(may[[#This Row],[ShiftCounter]]&gt;0, "Running", "Down")</f>
        <v>Running</v>
      </c>
    </row>
    <row r="151" spans="1:5" x14ac:dyDescent="0.25">
      <c r="A151" s="2">
        <v>44690</v>
      </c>
      <c r="B151" s="3" t="s">
        <v>21</v>
      </c>
      <c r="C151">
        <v>1773</v>
      </c>
      <c r="D151" t="s">
        <v>8</v>
      </c>
      <c r="E151" t="str">
        <f>IF(may[[#This Row],[ShiftCounter]]&gt;0, "Running", "Down")</f>
        <v>Running</v>
      </c>
    </row>
    <row r="152" spans="1:5" x14ac:dyDescent="0.25">
      <c r="A152" s="2">
        <v>44690</v>
      </c>
      <c r="B152" s="3" t="s">
        <v>22</v>
      </c>
      <c r="C152">
        <v>1989</v>
      </c>
      <c r="D152" t="s">
        <v>6</v>
      </c>
      <c r="E152" t="str">
        <f>IF(may[[#This Row],[ShiftCounter]]&gt;0, "Running", "Down")</f>
        <v>Running</v>
      </c>
    </row>
    <row r="153" spans="1:5" x14ac:dyDescent="0.25">
      <c r="A153" s="2">
        <v>44690</v>
      </c>
      <c r="B153" s="3" t="s">
        <v>22</v>
      </c>
      <c r="C153">
        <v>1788</v>
      </c>
      <c r="D153" t="s">
        <v>7</v>
      </c>
      <c r="E153" t="str">
        <f>IF(may[[#This Row],[ShiftCounter]]&gt;0, "Running", "Down")</f>
        <v>Running</v>
      </c>
    </row>
    <row r="154" spans="1:5" x14ac:dyDescent="0.25">
      <c r="A154" s="2">
        <v>44690</v>
      </c>
      <c r="B154" s="3" t="s">
        <v>22</v>
      </c>
      <c r="C154">
        <v>1808</v>
      </c>
      <c r="D154" t="s">
        <v>8</v>
      </c>
      <c r="E154" t="str">
        <f>IF(may[[#This Row],[ShiftCounter]]&gt;0, "Running", "Down")</f>
        <v>Running</v>
      </c>
    </row>
    <row r="155" spans="1:5" x14ac:dyDescent="0.25">
      <c r="A155" s="2">
        <v>44690</v>
      </c>
      <c r="B155" s="3" t="s">
        <v>23</v>
      </c>
      <c r="C155">
        <v>1854</v>
      </c>
      <c r="D155" t="s">
        <v>6</v>
      </c>
      <c r="E155" t="str">
        <f>IF(may[[#This Row],[ShiftCounter]]&gt;0, "Running", "Down")</f>
        <v>Running</v>
      </c>
    </row>
    <row r="156" spans="1:5" x14ac:dyDescent="0.25">
      <c r="A156" s="2">
        <v>44690</v>
      </c>
      <c r="B156" s="3" t="s">
        <v>23</v>
      </c>
      <c r="C156">
        <v>2218</v>
      </c>
      <c r="D156" t="s">
        <v>7</v>
      </c>
      <c r="E156" t="str">
        <f>IF(may[[#This Row],[ShiftCounter]]&gt;0, "Running", "Down")</f>
        <v>Running</v>
      </c>
    </row>
    <row r="157" spans="1:5" x14ac:dyDescent="0.25">
      <c r="A157" s="2">
        <v>44690</v>
      </c>
      <c r="B157" s="3" t="s">
        <v>23</v>
      </c>
      <c r="C157">
        <v>1997</v>
      </c>
      <c r="D157" t="s">
        <v>8</v>
      </c>
      <c r="E157" t="str">
        <f>IF(may[[#This Row],[ShiftCounter]]&gt;0, "Running", "Down")</f>
        <v>Running</v>
      </c>
    </row>
    <row r="158" spans="1:5" x14ac:dyDescent="0.25">
      <c r="A158" s="2">
        <v>44690</v>
      </c>
      <c r="B158" s="3" t="s">
        <v>24</v>
      </c>
      <c r="C158">
        <v>2105</v>
      </c>
      <c r="D158" t="s">
        <v>6</v>
      </c>
      <c r="E158" t="str">
        <f>IF(may[[#This Row],[ShiftCounter]]&gt;0, "Running", "Down")</f>
        <v>Running</v>
      </c>
    </row>
    <row r="159" spans="1:5" x14ac:dyDescent="0.25">
      <c r="A159" s="2">
        <v>44690</v>
      </c>
      <c r="B159" s="3" t="s">
        <v>24</v>
      </c>
      <c r="C159">
        <v>2090</v>
      </c>
      <c r="D159" t="s">
        <v>7</v>
      </c>
      <c r="E159" t="str">
        <f>IF(may[[#This Row],[ShiftCounter]]&gt;0, "Running", "Down")</f>
        <v>Running</v>
      </c>
    </row>
    <row r="160" spans="1:5" x14ac:dyDescent="0.25">
      <c r="A160" s="2">
        <v>44690</v>
      </c>
      <c r="B160" s="3" t="s">
        <v>24</v>
      </c>
      <c r="C160">
        <v>1667</v>
      </c>
      <c r="D160" t="s">
        <v>8</v>
      </c>
      <c r="E160" t="str">
        <f>IF(may[[#This Row],[ShiftCounter]]&gt;0, "Running", "Down")</f>
        <v>Running</v>
      </c>
    </row>
    <row r="161" spans="1:5" x14ac:dyDescent="0.25">
      <c r="A161" s="2">
        <v>44690</v>
      </c>
      <c r="B161" s="3" t="s">
        <v>25</v>
      </c>
      <c r="C161">
        <v>2237</v>
      </c>
      <c r="D161" t="s">
        <v>6</v>
      </c>
      <c r="E161" t="str">
        <f>IF(may[[#This Row],[ShiftCounter]]&gt;0, "Running", "Down")</f>
        <v>Running</v>
      </c>
    </row>
    <row r="162" spans="1:5" x14ac:dyDescent="0.25">
      <c r="A162" s="2">
        <v>44690</v>
      </c>
      <c r="B162" s="3" t="s">
        <v>25</v>
      </c>
      <c r="C162">
        <v>2186</v>
      </c>
      <c r="D162" t="s">
        <v>7</v>
      </c>
      <c r="E162" t="str">
        <f>IF(may[[#This Row],[ShiftCounter]]&gt;0, "Running", "Down")</f>
        <v>Running</v>
      </c>
    </row>
    <row r="163" spans="1:5" x14ac:dyDescent="0.25">
      <c r="A163" s="2">
        <v>44690</v>
      </c>
      <c r="B163" s="3" t="s">
        <v>25</v>
      </c>
      <c r="C163">
        <v>1923</v>
      </c>
      <c r="D163" t="s">
        <v>8</v>
      </c>
      <c r="E163" t="str">
        <f>IF(may[[#This Row],[ShiftCounter]]&gt;0, "Running", "Down")</f>
        <v>Running</v>
      </c>
    </row>
    <row r="164" spans="1:5" x14ac:dyDescent="0.25">
      <c r="A164" s="2">
        <v>44690</v>
      </c>
      <c r="B164" s="3" t="s">
        <v>26</v>
      </c>
      <c r="C164">
        <v>2182</v>
      </c>
      <c r="D164" t="s">
        <v>6</v>
      </c>
      <c r="E164" t="str">
        <f>IF(may[[#This Row],[ShiftCounter]]&gt;0, "Running", "Down")</f>
        <v>Running</v>
      </c>
    </row>
    <row r="165" spans="1:5" x14ac:dyDescent="0.25">
      <c r="A165" s="2">
        <v>44690</v>
      </c>
      <c r="B165" s="3" t="s">
        <v>26</v>
      </c>
      <c r="C165">
        <v>2110</v>
      </c>
      <c r="D165" t="s">
        <v>7</v>
      </c>
      <c r="E165" t="str">
        <f>IF(may[[#This Row],[ShiftCounter]]&gt;0, "Running", "Down")</f>
        <v>Running</v>
      </c>
    </row>
    <row r="166" spans="1:5" x14ac:dyDescent="0.25">
      <c r="A166" s="2">
        <v>44690</v>
      </c>
      <c r="B166" s="3" t="s">
        <v>26</v>
      </c>
      <c r="C166">
        <v>1869</v>
      </c>
      <c r="D166" t="s">
        <v>8</v>
      </c>
      <c r="E166" t="str">
        <f>IF(may[[#This Row],[ShiftCounter]]&gt;0, "Running", "Down")</f>
        <v>Running</v>
      </c>
    </row>
    <row r="167" spans="1:5" x14ac:dyDescent="0.25">
      <c r="A167" s="2">
        <v>44690</v>
      </c>
      <c r="B167" s="3" t="s">
        <v>27</v>
      </c>
      <c r="C167">
        <v>2414</v>
      </c>
      <c r="D167" t="s">
        <v>6</v>
      </c>
      <c r="E167" t="str">
        <f>IF(may[[#This Row],[ShiftCounter]]&gt;0, "Running", "Down")</f>
        <v>Running</v>
      </c>
    </row>
    <row r="168" spans="1:5" x14ac:dyDescent="0.25">
      <c r="A168" s="2">
        <v>44690</v>
      </c>
      <c r="B168" s="3" t="s">
        <v>27</v>
      </c>
      <c r="C168">
        <v>2150</v>
      </c>
      <c r="D168" t="s">
        <v>7</v>
      </c>
      <c r="E168" t="str">
        <f>IF(may[[#This Row],[ShiftCounter]]&gt;0, "Running", "Down")</f>
        <v>Running</v>
      </c>
    </row>
    <row r="169" spans="1:5" x14ac:dyDescent="0.25">
      <c r="A169" s="2">
        <v>44690</v>
      </c>
      <c r="B169" s="3" t="s">
        <v>27</v>
      </c>
      <c r="C169">
        <v>2021</v>
      </c>
      <c r="D169" t="s">
        <v>8</v>
      </c>
      <c r="E169" t="str">
        <f>IF(may[[#This Row],[ShiftCounter]]&gt;0, "Running", "Down")</f>
        <v>Running</v>
      </c>
    </row>
    <row r="170" spans="1:5" x14ac:dyDescent="0.25">
      <c r="A170" s="2">
        <v>44690</v>
      </c>
      <c r="B170" s="3" t="s">
        <v>28</v>
      </c>
      <c r="C170">
        <v>2256</v>
      </c>
      <c r="D170" t="s">
        <v>6</v>
      </c>
      <c r="E170" t="str">
        <f>IF(may[[#This Row],[ShiftCounter]]&gt;0, "Running", "Down")</f>
        <v>Running</v>
      </c>
    </row>
    <row r="171" spans="1:5" x14ac:dyDescent="0.25">
      <c r="A171" s="2">
        <v>44690</v>
      </c>
      <c r="B171" s="3" t="s">
        <v>28</v>
      </c>
      <c r="C171">
        <v>2062</v>
      </c>
      <c r="D171" t="s">
        <v>7</v>
      </c>
      <c r="E171" t="str">
        <f>IF(may[[#This Row],[ShiftCounter]]&gt;0, "Running", "Down")</f>
        <v>Running</v>
      </c>
    </row>
    <row r="172" spans="1:5" x14ac:dyDescent="0.25">
      <c r="A172" s="2">
        <v>44690</v>
      </c>
      <c r="B172" s="3" t="s">
        <v>28</v>
      </c>
      <c r="C172">
        <v>1872</v>
      </c>
      <c r="D172" t="s">
        <v>8</v>
      </c>
      <c r="E172" t="str">
        <f>IF(may[[#This Row],[ShiftCounter]]&gt;0, "Running", "Down")</f>
        <v>Running</v>
      </c>
    </row>
    <row r="173" spans="1:5" x14ac:dyDescent="0.25">
      <c r="A173" s="2">
        <v>44690</v>
      </c>
      <c r="B173" s="3" t="s">
        <v>29</v>
      </c>
      <c r="C173">
        <v>1140</v>
      </c>
      <c r="D173" t="s">
        <v>6</v>
      </c>
      <c r="E173" t="str">
        <f>IF(may[[#This Row],[ShiftCounter]]&gt;0, "Running", "Down")</f>
        <v>Running</v>
      </c>
    </row>
    <row r="174" spans="1:5" x14ac:dyDescent="0.25">
      <c r="A174" s="2">
        <v>44690</v>
      </c>
      <c r="B174" s="3" t="s">
        <v>29</v>
      </c>
      <c r="C174">
        <v>1847</v>
      </c>
      <c r="D174" t="s">
        <v>7</v>
      </c>
      <c r="E174" t="str">
        <f>IF(may[[#This Row],[ShiftCounter]]&gt;0, "Running", "Down")</f>
        <v>Running</v>
      </c>
    </row>
    <row r="175" spans="1:5" x14ac:dyDescent="0.25">
      <c r="A175" s="2">
        <v>44690</v>
      </c>
      <c r="B175" s="3" t="s">
        <v>29</v>
      </c>
      <c r="C175">
        <v>1736</v>
      </c>
      <c r="D175" t="s">
        <v>8</v>
      </c>
      <c r="E175" t="str">
        <f>IF(may[[#This Row],[ShiftCounter]]&gt;0, "Running", "Down")</f>
        <v>Running</v>
      </c>
    </row>
    <row r="176" spans="1:5" x14ac:dyDescent="0.25">
      <c r="A176" s="2">
        <v>44690</v>
      </c>
      <c r="B176" s="3" t="s">
        <v>30</v>
      </c>
      <c r="C176">
        <v>2402</v>
      </c>
      <c r="D176" t="s">
        <v>6</v>
      </c>
      <c r="E176" t="str">
        <f>IF(may[[#This Row],[ShiftCounter]]&gt;0, "Running", "Down")</f>
        <v>Running</v>
      </c>
    </row>
    <row r="177" spans="1:5" x14ac:dyDescent="0.25">
      <c r="A177" s="2">
        <v>44690</v>
      </c>
      <c r="B177" s="3" t="s">
        <v>30</v>
      </c>
      <c r="C177">
        <v>2146</v>
      </c>
      <c r="D177" t="s">
        <v>7</v>
      </c>
      <c r="E177" t="str">
        <f>IF(may[[#This Row],[ShiftCounter]]&gt;0, "Running", "Down")</f>
        <v>Running</v>
      </c>
    </row>
    <row r="178" spans="1:5" x14ac:dyDescent="0.25">
      <c r="A178" s="2">
        <v>44690</v>
      </c>
      <c r="B178" s="3" t="s">
        <v>30</v>
      </c>
      <c r="C178">
        <v>2021</v>
      </c>
      <c r="D178" t="s">
        <v>8</v>
      </c>
      <c r="E178" t="str">
        <f>IF(may[[#This Row],[ShiftCounter]]&gt;0, "Running", "Down")</f>
        <v>Running</v>
      </c>
    </row>
    <row r="179" spans="1:5" x14ac:dyDescent="0.25">
      <c r="A179" s="2">
        <v>44690</v>
      </c>
      <c r="B179" s="3" t="s">
        <v>31</v>
      </c>
      <c r="C179">
        <v>2198</v>
      </c>
      <c r="D179" t="s">
        <v>6</v>
      </c>
      <c r="E179" t="str">
        <f>IF(may[[#This Row],[ShiftCounter]]&gt;0, "Running", "Down")</f>
        <v>Running</v>
      </c>
    </row>
    <row r="180" spans="1:5" x14ac:dyDescent="0.25">
      <c r="A180" s="2">
        <v>44690</v>
      </c>
      <c r="B180" s="3" t="s">
        <v>31</v>
      </c>
      <c r="C180">
        <v>2162</v>
      </c>
      <c r="D180" t="s">
        <v>7</v>
      </c>
      <c r="E180" t="str">
        <f>IF(may[[#This Row],[ShiftCounter]]&gt;0, "Running", "Down")</f>
        <v>Running</v>
      </c>
    </row>
    <row r="181" spans="1:5" x14ac:dyDescent="0.25">
      <c r="A181" s="2">
        <v>44690</v>
      </c>
      <c r="B181" s="3" t="s">
        <v>31</v>
      </c>
      <c r="C181">
        <v>1980</v>
      </c>
      <c r="D181" t="s">
        <v>8</v>
      </c>
      <c r="E181" t="str">
        <f>IF(may[[#This Row],[ShiftCounter]]&gt;0, "Running", "Down")</f>
        <v>Running</v>
      </c>
    </row>
    <row r="182" spans="1:5" x14ac:dyDescent="0.25">
      <c r="A182" s="2">
        <v>44690</v>
      </c>
      <c r="B182" s="3" t="s">
        <v>32</v>
      </c>
      <c r="C182">
        <v>2385</v>
      </c>
      <c r="D182" t="s">
        <v>6</v>
      </c>
      <c r="E182" t="str">
        <f>IF(may[[#This Row],[ShiftCounter]]&gt;0, "Running", "Down")</f>
        <v>Running</v>
      </c>
    </row>
    <row r="183" spans="1:5" x14ac:dyDescent="0.25">
      <c r="A183" s="2">
        <v>44690</v>
      </c>
      <c r="B183" s="3" t="s">
        <v>32</v>
      </c>
      <c r="C183">
        <v>2358</v>
      </c>
      <c r="D183" t="s">
        <v>7</v>
      </c>
      <c r="E183" t="str">
        <f>IF(may[[#This Row],[ShiftCounter]]&gt;0, "Running", "Down")</f>
        <v>Running</v>
      </c>
    </row>
    <row r="184" spans="1:5" x14ac:dyDescent="0.25">
      <c r="A184" s="2">
        <v>44690</v>
      </c>
      <c r="B184" s="3" t="s">
        <v>32</v>
      </c>
      <c r="C184">
        <v>2152</v>
      </c>
      <c r="D184" t="s">
        <v>8</v>
      </c>
      <c r="E184" t="str">
        <f>IF(may[[#This Row],[ShiftCounter]]&gt;0, "Running", "Down")</f>
        <v>Running</v>
      </c>
    </row>
    <row r="185" spans="1:5" x14ac:dyDescent="0.25">
      <c r="A185" s="2">
        <v>44690</v>
      </c>
      <c r="B185" s="3" t="s">
        <v>33</v>
      </c>
      <c r="C185">
        <v>2394</v>
      </c>
      <c r="D185" t="s">
        <v>6</v>
      </c>
      <c r="E185" t="str">
        <f>IF(may[[#This Row],[ShiftCounter]]&gt;0, "Running", "Down")</f>
        <v>Running</v>
      </c>
    </row>
    <row r="186" spans="1:5" x14ac:dyDescent="0.25">
      <c r="A186" s="2">
        <v>44690</v>
      </c>
      <c r="B186" s="3" t="s">
        <v>33</v>
      </c>
      <c r="C186">
        <v>2351</v>
      </c>
      <c r="D186" t="s">
        <v>7</v>
      </c>
      <c r="E186" t="str">
        <f>IF(may[[#This Row],[ShiftCounter]]&gt;0, "Running", "Down")</f>
        <v>Running</v>
      </c>
    </row>
    <row r="187" spans="1:5" x14ac:dyDescent="0.25">
      <c r="A187" s="2">
        <v>44690</v>
      </c>
      <c r="B187" s="3" t="s">
        <v>33</v>
      </c>
      <c r="C187">
        <v>2201</v>
      </c>
      <c r="D187" t="s">
        <v>8</v>
      </c>
      <c r="E187" t="str">
        <f>IF(may[[#This Row],[ShiftCounter]]&gt;0, "Running", "Down")</f>
        <v>Running</v>
      </c>
    </row>
    <row r="188" spans="1:5" x14ac:dyDescent="0.25">
      <c r="A188" s="2">
        <v>44690</v>
      </c>
      <c r="B188" s="3" t="s">
        <v>34</v>
      </c>
      <c r="C188">
        <v>2062</v>
      </c>
      <c r="D188" t="s">
        <v>6</v>
      </c>
      <c r="E188" t="str">
        <f>IF(may[[#This Row],[ShiftCounter]]&gt;0, "Running", "Down")</f>
        <v>Running</v>
      </c>
    </row>
    <row r="189" spans="1:5" x14ac:dyDescent="0.25">
      <c r="A189" s="2">
        <v>44690</v>
      </c>
      <c r="B189" s="3" t="s">
        <v>34</v>
      </c>
      <c r="C189">
        <v>2015</v>
      </c>
      <c r="D189" t="s">
        <v>7</v>
      </c>
      <c r="E189" t="str">
        <f>IF(may[[#This Row],[ShiftCounter]]&gt;0, "Running", "Down")</f>
        <v>Running</v>
      </c>
    </row>
    <row r="190" spans="1:5" x14ac:dyDescent="0.25">
      <c r="A190" s="2">
        <v>44690</v>
      </c>
      <c r="B190" s="3" t="s">
        <v>34</v>
      </c>
      <c r="C190">
        <v>1831</v>
      </c>
      <c r="D190" t="s">
        <v>8</v>
      </c>
      <c r="E190" t="str">
        <f>IF(may[[#This Row],[ShiftCounter]]&gt;0, "Running", "Down")</f>
        <v>Running</v>
      </c>
    </row>
    <row r="191" spans="1:5" x14ac:dyDescent="0.25">
      <c r="A191" s="2">
        <v>44690</v>
      </c>
      <c r="B191" s="3" t="s">
        <v>35</v>
      </c>
      <c r="C191">
        <v>2569</v>
      </c>
      <c r="D191" t="s">
        <v>6</v>
      </c>
      <c r="E191" t="str">
        <f>IF(may[[#This Row],[ShiftCounter]]&gt;0, "Running", "Down")</f>
        <v>Running</v>
      </c>
    </row>
    <row r="192" spans="1:5" x14ac:dyDescent="0.25">
      <c r="A192" s="2">
        <v>44690</v>
      </c>
      <c r="B192" s="3" t="s">
        <v>35</v>
      </c>
      <c r="C192">
        <v>2481</v>
      </c>
      <c r="D192" t="s">
        <v>7</v>
      </c>
      <c r="E192" t="str">
        <f>IF(may[[#This Row],[ShiftCounter]]&gt;0, "Running", "Down")</f>
        <v>Running</v>
      </c>
    </row>
    <row r="193" spans="1:5" x14ac:dyDescent="0.25">
      <c r="A193" s="2">
        <v>44690</v>
      </c>
      <c r="B193" s="3" t="s">
        <v>35</v>
      </c>
      <c r="C193">
        <v>2253</v>
      </c>
      <c r="D193" t="s">
        <v>8</v>
      </c>
      <c r="E193" t="str">
        <f>IF(may[[#This Row],[ShiftCounter]]&gt;0, "Running", "Down")</f>
        <v>Running</v>
      </c>
    </row>
    <row r="194" spans="1:5" x14ac:dyDescent="0.25">
      <c r="A194" s="2">
        <v>44690</v>
      </c>
      <c r="B194" s="3" t="s">
        <v>36</v>
      </c>
      <c r="C194">
        <v>2310</v>
      </c>
      <c r="D194" t="s">
        <v>6</v>
      </c>
      <c r="E194" t="str">
        <f>IF(may[[#This Row],[ShiftCounter]]&gt;0, "Running", "Down")</f>
        <v>Running</v>
      </c>
    </row>
    <row r="195" spans="1:5" x14ac:dyDescent="0.25">
      <c r="A195" s="2">
        <v>44690</v>
      </c>
      <c r="B195" s="3" t="s">
        <v>36</v>
      </c>
      <c r="C195">
        <v>2231</v>
      </c>
      <c r="D195" t="s">
        <v>7</v>
      </c>
      <c r="E195" t="str">
        <f>IF(may[[#This Row],[ShiftCounter]]&gt;0, "Running", "Down")</f>
        <v>Running</v>
      </c>
    </row>
    <row r="196" spans="1:5" x14ac:dyDescent="0.25">
      <c r="A196" s="2">
        <v>44690</v>
      </c>
      <c r="B196" s="3" t="s">
        <v>36</v>
      </c>
      <c r="C196">
        <v>2007</v>
      </c>
      <c r="D196" t="s">
        <v>8</v>
      </c>
      <c r="E196" t="str">
        <f>IF(may[[#This Row],[ShiftCounter]]&gt;0, "Running", "Down")</f>
        <v>Running</v>
      </c>
    </row>
    <row r="197" spans="1:5" x14ac:dyDescent="0.25">
      <c r="A197" s="2">
        <v>44690</v>
      </c>
      <c r="B197" s="3" t="s">
        <v>37</v>
      </c>
      <c r="C197">
        <v>2431</v>
      </c>
      <c r="D197" t="s">
        <v>6</v>
      </c>
      <c r="E197" t="str">
        <f>IF(may[[#This Row],[ShiftCounter]]&gt;0, "Running", "Down")</f>
        <v>Running</v>
      </c>
    </row>
    <row r="198" spans="1:5" x14ac:dyDescent="0.25">
      <c r="A198" s="2">
        <v>44690</v>
      </c>
      <c r="B198" s="3" t="s">
        <v>37</v>
      </c>
      <c r="C198">
        <v>2186</v>
      </c>
      <c r="D198" t="s">
        <v>7</v>
      </c>
      <c r="E198" t="str">
        <f>IF(may[[#This Row],[ShiftCounter]]&gt;0, "Running", "Down")</f>
        <v>Running</v>
      </c>
    </row>
    <row r="199" spans="1:5" x14ac:dyDescent="0.25">
      <c r="A199" s="2">
        <v>44690</v>
      </c>
      <c r="B199" s="3" t="s">
        <v>37</v>
      </c>
      <c r="C199">
        <v>2102</v>
      </c>
      <c r="D199" t="s">
        <v>8</v>
      </c>
      <c r="E199" t="str">
        <f>IF(may[[#This Row],[ShiftCounter]]&gt;0, "Running", "Down")</f>
        <v>Running</v>
      </c>
    </row>
    <row r="200" spans="1:5" x14ac:dyDescent="0.25">
      <c r="A200" s="2">
        <v>44689</v>
      </c>
      <c r="B200" s="4" t="s">
        <v>40</v>
      </c>
      <c r="C200">
        <v>2291</v>
      </c>
      <c r="D200" t="s">
        <v>6</v>
      </c>
      <c r="E200" t="str">
        <f>IF(may[[#This Row],[ShiftCounter]]&gt;0, "Running", "Down")</f>
        <v>Running</v>
      </c>
    </row>
    <row r="201" spans="1:5" x14ac:dyDescent="0.25">
      <c r="A201" s="2">
        <v>44689</v>
      </c>
      <c r="B201" s="4" t="s">
        <v>40</v>
      </c>
      <c r="C201">
        <v>2289</v>
      </c>
      <c r="D201" t="s">
        <v>7</v>
      </c>
      <c r="E201" t="str">
        <f>IF(may[[#This Row],[ShiftCounter]]&gt;0, "Running", "Down")</f>
        <v>Running</v>
      </c>
    </row>
    <row r="202" spans="1:5" x14ac:dyDescent="0.25">
      <c r="A202" s="2">
        <v>44689</v>
      </c>
      <c r="B202" s="4" t="s">
        <v>40</v>
      </c>
      <c r="C202">
        <v>2205</v>
      </c>
      <c r="D202" t="s">
        <v>8</v>
      </c>
      <c r="E202" t="str">
        <f>IF(may[[#This Row],[ShiftCounter]]&gt;0, "Running", "Down")</f>
        <v>Running</v>
      </c>
    </row>
    <row r="203" spans="1:5" x14ac:dyDescent="0.25">
      <c r="A203" s="2">
        <v>44689</v>
      </c>
      <c r="B203" s="4" t="s">
        <v>39</v>
      </c>
      <c r="C203">
        <v>2065</v>
      </c>
      <c r="D203" t="s">
        <v>6</v>
      </c>
      <c r="E203" t="str">
        <f>IF(may[[#This Row],[ShiftCounter]]&gt;0, "Running", "Down")</f>
        <v>Running</v>
      </c>
    </row>
    <row r="204" spans="1:5" x14ac:dyDescent="0.25">
      <c r="A204" s="2">
        <v>44689</v>
      </c>
      <c r="B204" s="4" t="s">
        <v>39</v>
      </c>
      <c r="C204">
        <v>2009</v>
      </c>
      <c r="D204" t="s">
        <v>7</v>
      </c>
      <c r="E204" t="str">
        <f>IF(may[[#This Row],[ShiftCounter]]&gt;0, "Running", "Down")</f>
        <v>Running</v>
      </c>
    </row>
    <row r="205" spans="1:5" x14ac:dyDescent="0.25">
      <c r="A205" s="2">
        <v>44689</v>
      </c>
      <c r="B205" s="4" t="s">
        <v>39</v>
      </c>
      <c r="C205">
        <v>1926</v>
      </c>
      <c r="D205" t="s">
        <v>8</v>
      </c>
      <c r="E205" t="str">
        <f>IF(may[[#This Row],[ShiftCounter]]&gt;0, "Running", "Down")</f>
        <v>Running</v>
      </c>
    </row>
    <row r="206" spans="1:5" x14ac:dyDescent="0.25">
      <c r="A206" s="2">
        <v>44689</v>
      </c>
      <c r="B206" s="4" t="s">
        <v>41</v>
      </c>
      <c r="C206">
        <v>2138</v>
      </c>
      <c r="D206" t="s">
        <v>6</v>
      </c>
      <c r="E206" t="str">
        <f>IF(may[[#This Row],[ShiftCounter]]&gt;0, "Running", "Down")</f>
        <v>Running</v>
      </c>
    </row>
    <row r="207" spans="1:5" x14ac:dyDescent="0.25">
      <c r="A207" s="2">
        <v>44689</v>
      </c>
      <c r="B207" s="4" t="s">
        <v>41</v>
      </c>
      <c r="C207">
        <v>2422</v>
      </c>
      <c r="D207" t="s">
        <v>7</v>
      </c>
      <c r="E207" t="str">
        <f>IF(may[[#This Row],[ShiftCounter]]&gt;0, "Running", "Down")</f>
        <v>Running</v>
      </c>
    </row>
    <row r="208" spans="1:5" x14ac:dyDescent="0.25">
      <c r="A208" s="2">
        <v>44689</v>
      </c>
      <c r="B208" s="4" t="s">
        <v>41</v>
      </c>
      <c r="C208">
        <v>426</v>
      </c>
      <c r="D208" t="s">
        <v>8</v>
      </c>
      <c r="E208" t="str">
        <f>IF(may[[#This Row],[ShiftCounter]]&gt;0, "Running", "Down")</f>
        <v>Running</v>
      </c>
    </row>
    <row r="209" spans="1:5" x14ac:dyDescent="0.25">
      <c r="A209" s="2">
        <v>44688</v>
      </c>
      <c r="B209" s="4" t="s">
        <v>5</v>
      </c>
      <c r="C209">
        <v>2375</v>
      </c>
      <c r="D209" t="s">
        <v>6</v>
      </c>
      <c r="E209" t="str">
        <f>IF(may[[#This Row],[ShiftCounter]]&gt;0, "Running", "Down")</f>
        <v>Running</v>
      </c>
    </row>
    <row r="210" spans="1:5" x14ac:dyDescent="0.25">
      <c r="A210" s="2">
        <v>44688</v>
      </c>
      <c r="B210" s="4" t="s">
        <v>5</v>
      </c>
      <c r="C210">
        <v>2465</v>
      </c>
      <c r="D210" t="s">
        <v>7</v>
      </c>
      <c r="E210" t="str">
        <f>IF(may[[#This Row],[ShiftCounter]]&gt;0, "Running", "Down")</f>
        <v>Running</v>
      </c>
    </row>
    <row r="211" spans="1:5" x14ac:dyDescent="0.25">
      <c r="A211" s="2">
        <v>44688</v>
      </c>
      <c r="B211" s="4" t="s">
        <v>5</v>
      </c>
      <c r="C211">
        <v>2259</v>
      </c>
      <c r="D211" t="s">
        <v>8</v>
      </c>
      <c r="E211" t="str">
        <f>IF(may[[#This Row],[ShiftCounter]]&gt;0, "Running", "Down")</f>
        <v>Running</v>
      </c>
    </row>
    <row r="212" spans="1:5" x14ac:dyDescent="0.25">
      <c r="A212" s="2">
        <v>44689</v>
      </c>
      <c r="B212" s="4" t="s">
        <v>5</v>
      </c>
      <c r="C212">
        <v>2456</v>
      </c>
      <c r="D212" t="s">
        <v>6</v>
      </c>
      <c r="E212" t="str">
        <f>IF(may[[#This Row],[ShiftCounter]]&gt;0, "Running", "Down")</f>
        <v>Running</v>
      </c>
    </row>
    <row r="213" spans="1:5" x14ac:dyDescent="0.25">
      <c r="A213" s="2">
        <v>44689</v>
      </c>
      <c r="B213" s="4" t="s">
        <v>5</v>
      </c>
      <c r="C213">
        <v>2364</v>
      </c>
      <c r="D213" t="s">
        <v>7</v>
      </c>
      <c r="E213" t="str">
        <f>IF(may[[#This Row],[ShiftCounter]]&gt;0, "Running", "Down")</f>
        <v>Running</v>
      </c>
    </row>
    <row r="214" spans="1:5" x14ac:dyDescent="0.25">
      <c r="A214" s="2">
        <v>44689</v>
      </c>
      <c r="B214" s="4" t="s">
        <v>5</v>
      </c>
      <c r="C214">
        <v>2387</v>
      </c>
      <c r="D214" t="s">
        <v>8</v>
      </c>
      <c r="E214" t="str">
        <f>IF(may[[#This Row],[ShiftCounter]]&gt;0, "Running", "Down")</f>
        <v>Running</v>
      </c>
    </row>
    <row r="215" spans="1:5" x14ac:dyDescent="0.25">
      <c r="A215" s="2">
        <v>44689</v>
      </c>
      <c r="B215" s="4" t="s">
        <v>9</v>
      </c>
      <c r="C215">
        <v>2315</v>
      </c>
      <c r="D215" t="s">
        <v>6</v>
      </c>
      <c r="E215" t="str">
        <f>IF(may[[#This Row],[ShiftCounter]]&gt;0, "Running", "Down")</f>
        <v>Running</v>
      </c>
    </row>
    <row r="216" spans="1:5" x14ac:dyDescent="0.25">
      <c r="A216" s="2">
        <v>44689</v>
      </c>
      <c r="B216" s="4" t="s">
        <v>9</v>
      </c>
      <c r="C216">
        <v>2320</v>
      </c>
      <c r="D216" t="s">
        <v>7</v>
      </c>
      <c r="E216" t="str">
        <f>IF(may[[#This Row],[ShiftCounter]]&gt;0, "Running", "Down")</f>
        <v>Running</v>
      </c>
    </row>
    <row r="217" spans="1:5" x14ac:dyDescent="0.25">
      <c r="A217" s="2">
        <v>44689</v>
      </c>
      <c r="B217" s="4" t="s">
        <v>9</v>
      </c>
      <c r="C217">
        <v>2327</v>
      </c>
      <c r="D217" t="s">
        <v>8</v>
      </c>
      <c r="E217" t="str">
        <f>IF(may[[#This Row],[ShiftCounter]]&gt;0, "Running", "Down")</f>
        <v>Running</v>
      </c>
    </row>
    <row r="218" spans="1:5" x14ac:dyDescent="0.25">
      <c r="A218" s="2">
        <v>44689</v>
      </c>
      <c r="B218" s="4" t="s">
        <v>10</v>
      </c>
      <c r="C218">
        <v>2254</v>
      </c>
      <c r="D218" t="s">
        <v>6</v>
      </c>
      <c r="E218" t="str">
        <f>IF(may[[#This Row],[ShiftCounter]]&gt;0, "Running", "Down")</f>
        <v>Running</v>
      </c>
    </row>
    <row r="219" spans="1:5" x14ac:dyDescent="0.25">
      <c r="A219" s="2">
        <v>44689</v>
      </c>
      <c r="B219" s="4" t="s">
        <v>10</v>
      </c>
      <c r="C219">
        <v>2257</v>
      </c>
      <c r="D219" t="s">
        <v>7</v>
      </c>
      <c r="E219" t="str">
        <f>IF(may[[#This Row],[ShiftCounter]]&gt;0, "Running", "Down")</f>
        <v>Running</v>
      </c>
    </row>
    <row r="220" spans="1:5" x14ac:dyDescent="0.25">
      <c r="A220" s="2">
        <v>44689</v>
      </c>
      <c r="B220" s="4" t="s">
        <v>10</v>
      </c>
      <c r="C220">
        <v>2196</v>
      </c>
      <c r="D220" t="s">
        <v>8</v>
      </c>
      <c r="E220" t="str">
        <f>IF(may[[#This Row],[ShiftCounter]]&gt;0, "Running", "Down")</f>
        <v>Running</v>
      </c>
    </row>
    <row r="221" spans="1:5" x14ac:dyDescent="0.25">
      <c r="A221" s="2">
        <v>44689</v>
      </c>
      <c r="B221" s="4" t="s">
        <v>11</v>
      </c>
      <c r="C221">
        <v>2345</v>
      </c>
      <c r="D221" t="s">
        <v>6</v>
      </c>
      <c r="E221" t="str">
        <f>IF(may[[#This Row],[ShiftCounter]]&gt;0, "Running", "Down")</f>
        <v>Running</v>
      </c>
    </row>
    <row r="222" spans="1:5" x14ac:dyDescent="0.25">
      <c r="A222" s="2">
        <v>44689</v>
      </c>
      <c r="B222" s="4" t="s">
        <v>11</v>
      </c>
      <c r="C222">
        <v>2367</v>
      </c>
      <c r="D222" t="s">
        <v>7</v>
      </c>
      <c r="E222" t="str">
        <f>IF(may[[#This Row],[ShiftCounter]]&gt;0, "Running", "Down")</f>
        <v>Running</v>
      </c>
    </row>
    <row r="223" spans="1:5" x14ac:dyDescent="0.25">
      <c r="A223" s="2">
        <v>44689</v>
      </c>
      <c r="B223" s="4" t="s">
        <v>11</v>
      </c>
      <c r="C223">
        <v>2323</v>
      </c>
      <c r="D223" t="s">
        <v>8</v>
      </c>
      <c r="E223" t="str">
        <f>IF(may[[#This Row],[ShiftCounter]]&gt;0, "Running", "Down")</f>
        <v>Running</v>
      </c>
    </row>
    <row r="224" spans="1:5" x14ac:dyDescent="0.25">
      <c r="A224" s="2">
        <v>44689</v>
      </c>
      <c r="B224" s="4" t="s">
        <v>12</v>
      </c>
      <c r="C224">
        <v>2182</v>
      </c>
      <c r="D224" t="s">
        <v>6</v>
      </c>
      <c r="E224" t="str">
        <f>IF(may[[#This Row],[ShiftCounter]]&gt;0, "Running", "Down")</f>
        <v>Running</v>
      </c>
    </row>
    <row r="225" spans="1:5" x14ac:dyDescent="0.25">
      <c r="A225" s="2">
        <v>44689</v>
      </c>
      <c r="B225" s="4" t="s">
        <v>12</v>
      </c>
      <c r="C225">
        <v>2078</v>
      </c>
      <c r="D225" t="s">
        <v>7</v>
      </c>
      <c r="E225" t="str">
        <f>IF(may[[#This Row],[ShiftCounter]]&gt;0, "Running", "Down")</f>
        <v>Running</v>
      </c>
    </row>
    <row r="226" spans="1:5" x14ac:dyDescent="0.25">
      <c r="A226" s="2">
        <v>44689</v>
      </c>
      <c r="B226" s="4" t="s">
        <v>12</v>
      </c>
      <c r="C226">
        <v>2183</v>
      </c>
      <c r="D226" t="s">
        <v>8</v>
      </c>
      <c r="E226" t="str">
        <f>IF(may[[#This Row],[ShiftCounter]]&gt;0, "Running", "Down")</f>
        <v>Running</v>
      </c>
    </row>
    <row r="227" spans="1:5" x14ac:dyDescent="0.25">
      <c r="A227" s="2">
        <v>44689</v>
      </c>
      <c r="B227" s="4" t="s">
        <v>13</v>
      </c>
      <c r="C227">
        <v>2423</v>
      </c>
      <c r="D227" t="s">
        <v>6</v>
      </c>
      <c r="E227" t="str">
        <f>IF(may[[#This Row],[ShiftCounter]]&gt;0, "Running", "Down")</f>
        <v>Running</v>
      </c>
    </row>
    <row r="228" spans="1:5" x14ac:dyDescent="0.25">
      <c r="A228" s="2">
        <v>44689</v>
      </c>
      <c r="B228" s="4" t="s">
        <v>13</v>
      </c>
      <c r="C228">
        <v>2440</v>
      </c>
      <c r="D228" t="s">
        <v>7</v>
      </c>
      <c r="E228" t="str">
        <f>IF(may[[#This Row],[ShiftCounter]]&gt;0, "Running", "Down")</f>
        <v>Running</v>
      </c>
    </row>
    <row r="229" spans="1:5" x14ac:dyDescent="0.25">
      <c r="A229" s="2">
        <v>44689</v>
      </c>
      <c r="B229" s="4" t="s">
        <v>13</v>
      </c>
      <c r="C229">
        <v>2073</v>
      </c>
      <c r="D229" t="s">
        <v>8</v>
      </c>
      <c r="E229" t="str">
        <f>IF(may[[#This Row],[ShiftCounter]]&gt;0, "Running", "Down")</f>
        <v>Running</v>
      </c>
    </row>
    <row r="230" spans="1:5" x14ac:dyDescent="0.25">
      <c r="A230" s="2">
        <v>44689</v>
      </c>
      <c r="B230" s="4" t="s">
        <v>14</v>
      </c>
      <c r="C230">
        <v>1902</v>
      </c>
      <c r="D230" t="s">
        <v>6</v>
      </c>
      <c r="E230" t="str">
        <f>IF(may[[#This Row],[ShiftCounter]]&gt;0, "Running", "Down")</f>
        <v>Running</v>
      </c>
    </row>
    <row r="231" spans="1:5" x14ac:dyDescent="0.25">
      <c r="A231" s="2">
        <v>44689</v>
      </c>
      <c r="B231" s="4" t="s">
        <v>14</v>
      </c>
      <c r="C231">
        <v>1992</v>
      </c>
      <c r="D231" t="s">
        <v>7</v>
      </c>
      <c r="E231" t="str">
        <f>IF(may[[#This Row],[ShiftCounter]]&gt;0, "Running", "Down")</f>
        <v>Running</v>
      </c>
    </row>
    <row r="232" spans="1:5" x14ac:dyDescent="0.25">
      <c r="A232" s="2">
        <v>44689</v>
      </c>
      <c r="B232" s="4" t="s">
        <v>14</v>
      </c>
      <c r="C232">
        <v>1631</v>
      </c>
      <c r="D232" t="s">
        <v>8</v>
      </c>
      <c r="E232" t="str">
        <f>IF(may[[#This Row],[ShiftCounter]]&gt;0, "Running", "Down")</f>
        <v>Running</v>
      </c>
    </row>
    <row r="233" spans="1:5" x14ac:dyDescent="0.25">
      <c r="A233" s="2">
        <v>44689</v>
      </c>
      <c r="B233" s="4" t="s">
        <v>15</v>
      </c>
      <c r="C233">
        <v>2213</v>
      </c>
      <c r="D233" t="s">
        <v>6</v>
      </c>
      <c r="E233" t="str">
        <f>IF(may[[#This Row],[ShiftCounter]]&gt;0, "Running", "Down")</f>
        <v>Running</v>
      </c>
    </row>
    <row r="234" spans="1:5" x14ac:dyDescent="0.25">
      <c r="A234" s="2">
        <v>44689</v>
      </c>
      <c r="B234" s="4" t="s">
        <v>15</v>
      </c>
      <c r="C234">
        <v>2248</v>
      </c>
      <c r="D234" t="s">
        <v>7</v>
      </c>
      <c r="E234" t="str">
        <f>IF(may[[#This Row],[ShiftCounter]]&gt;0, "Running", "Down")</f>
        <v>Running</v>
      </c>
    </row>
    <row r="235" spans="1:5" x14ac:dyDescent="0.25">
      <c r="A235" s="2">
        <v>44689</v>
      </c>
      <c r="B235" s="4" t="s">
        <v>15</v>
      </c>
      <c r="C235">
        <v>1926</v>
      </c>
      <c r="D235" t="s">
        <v>8</v>
      </c>
      <c r="E235" t="str">
        <f>IF(may[[#This Row],[ShiftCounter]]&gt;0, "Running", "Down")</f>
        <v>Running</v>
      </c>
    </row>
    <row r="236" spans="1:5" x14ac:dyDescent="0.25">
      <c r="A236" s="2">
        <v>44689</v>
      </c>
      <c r="B236" s="4" t="s">
        <v>16</v>
      </c>
      <c r="C236">
        <v>2479</v>
      </c>
      <c r="D236" t="s">
        <v>6</v>
      </c>
      <c r="E236" t="str">
        <f>IF(may[[#This Row],[ShiftCounter]]&gt;0, "Running", "Down")</f>
        <v>Running</v>
      </c>
    </row>
    <row r="237" spans="1:5" x14ac:dyDescent="0.25">
      <c r="A237" s="2">
        <v>44689</v>
      </c>
      <c r="B237" s="4" t="s">
        <v>16</v>
      </c>
      <c r="C237">
        <v>2269</v>
      </c>
      <c r="D237" t="s">
        <v>7</v>
      </c>
      <c r="E237" t="str">
        <f>IF(may[[#This Row],[ShiftCounter]]&gt;0, "Running", "Down")</f>
        <v>Running</v>
      </c>
    </row>
    <row r="238" spans="1:5" x14ac:dyDescent="0.25">
      <c r="A238" s="2">
        <v>44689</v>
      </c>
      <c r="B238" s="4" t="s">
        <v>16</v>
      </c>
      <c r="C238">
        <v>2153</v>
      </c>
      <c r="D238" t="s">
        <v>8</v>
      </c>
      <c r="E238" t="str">
        <f>IF(may[[#This Row],[ShiftCounter]]&gt;0, "Running", "Down")</f>
        <v>Running</v>
      </c>
    </row>
    <row r="239" spans="1:5" x14ac:dyDescent="0.25">
      <c r="A239" s="2">
        <v>44689</v>
      </c>
      <c r="B239" s="4" t="s">
        <v>17</v>
      </c>
      <c r="C239">
        <v>2388</v>
      </c>
      <c r="D239" t="s">
        <v>6</v>
      </c>
      <c r="E239" t="str">
        <f>IF(may[[#This Row],[ShiftCounter]]&gt;0, "Running", "Down")</f>
        <v>Running</v>
      </c>
    </row>
    <row r="240" spans="1:5" x14ac:dyDescent="0.25">
      <c r="A240" s="2">
        <v>44689</v>
      </c>
      <c r="B240" s="4" t="s">
        <v>17</v>
      </c>
      <c r="C240">
        <v>2425</v>
      </c>
      <c r="D240" t="s">
        <v>7</v>
      </c>
      <c r="E240" t="str">
        <f>IF(may[[#This Row],[ShiftCounter]]&gt;0, "Running", "Down")</f>
        <v>Running</v>
      </c>
    </row>
    <row r="241" spans="1:5" x14ac:dyDescent="0.25">
      <c r="A241" s="2">
        <v>44689</v>
      </c>
      <c r="B241" s="4" t="s">
        <v>17</v>
      </c>
      <c r="C241">
        <v>2211</v>
      </c>
      <c r="D241" t="s">
        <v>8</v>
      </c>
      <c r="E241" t="str">
        <f>IF(may[[#This Row],[ShiftCounter]]&gt;0, "Running", "Down")</f>
        <v>Running</v>
      </c>
    </row>
    <row r="242" spans="1:5" x14ac:dyDescent="0.25">
      <c r="A242" s="2">
        <v>44689</v>
      </c>
      <c r="B242" s="4" t="s">
        <v>19</v>
      </c>
      <c r="C242">
        <v>1762</v>
      </c>
      <c r="D242" t="s">
        <v>6</v>
      </c>
      <c r="E242" t="str">
        <f>IF(may[[#This Row],[ShiftCounter]]&gt;0, "Running", "Down")</f>
        <v>Running</v>
      </c>
    </row>
    <row r="243" spans="1:5" x14ac:dyDescent="0.25">
      <c r="A243" s="2">
        <v>44689</v>
      </c>
      <c r="B243" s="4" t="s">
        <v>19</v>
      </c>
      <c r="C243">
        <v>1969</v>
      </c>
      <c r="D243" t="s">
        <v>7</v>
      </c>
      <c r="E243" t="str">
        <f>IF(may[[#This Row],[ShiftCounter]]&gt;0, "Running", "Down")</f>
        <v>Running</v>
      </c>
    </row>
    <row r="244" spans="1:5" x14ac:dyDescent="0.25">
      <c r="A244" s="2">
        <v>44689</v>
      </c>
      <c r="B244" s="4" t="s">
        <v>19</v>
      </c>
      <c r="C244">
        <v>1753</v>
      </c>
      <c r="D244" t="s">
        <v>8</v>
      </c>
      <c r="E244" t="str">
        <f>IF(may[[#This Row],[ShiftCounter]]&gt;0, "Running", "Down")</f>
        <v>Running</v>
      </c>
    </row>
    <row r="245" spans="1:5" x14ac:dyDescent="0.25">
      <c r="A245" s="2">
        <v>44689</v>
      </c>
      <c r="B245" s="4" t="s">
        <v>18</v>
      </c>
      <c r="C245">
        <v>2414</v>
      </c>
      <c r="D245" t="s">
        <v>6</v>
      </c>
      <c r="E245" t="str">
        <f>IF(may[[#This Row],[ShiftCounter]]&gt;0, "Running", "Down")</f>
        <v>Running</v>
      </c>
    </row>
    <row r="246" spans="1:5" x14ac:dyDescent="0.25">
      <c r="A246" s="2">
        <v>44689</v>
      </c>
      <c r="B246" s="4" t="s">
        <v>18</v>
      </c>
      <c r="C246">
        <v>2475</v>
      </c>
      <c r="D246" t="s">
        <v>7</v>
      </c>
      <c r="E246" t="str">
        <f>IF(may[[#This Row],[ShiftCounter]]&gt;0, "Running", "Down")</f>
        <v>Running</v>
      </c>
    </row>
    <row r="247" spans="1:5" x14ac:dyDescent="0.25">
      <c r="A247" s="2">
        <v>44689</v>
      </c>
      <c r="B247" s="4" t="s">
        <v>18</v>
      </c>
      <c r="C247">
        <v>1887</v>
      </c>
      <c r="D247" t="s">
        <v>8</v>
      </c>
      <c r="E247" t="str">
        <f>IF(may[[#This Row],[ShiftCounter]]&gt;0, "Running", "Down")</f>
        <v>Running</v>
      </c>
    </row>
    <row r="248" spans="1:5" x14ac:dyDescent="0.25">
      <c r="A248" s="2">
        <v>44689</v>
      </c>
      <c r="B248" s="4" t="s">
        <v>38</v>
      </c>
      <c r="C248">
        <v>2103</v>
      </c>
      <c r="D248" t="s">
        <v>6</v>
      </c>
      <c r="E248" t="str">
        <f>IF(may[[#This Row],[ShiftCounter]]&gt;0, "Running", "Down")</f>
        <v>Running</v>
      </c>
    </row>
    <row r="249" spans="1:5" x14ac:dyDescent="0.25">
      <c r="A249" s="2">
        <v>44689</v>
      </c>
      <c r="B249" s="4" t="s">
        <v>38</v>
      </c>
      <c r="C249">
        <v>2047</v>
      </c>
      <c r="D249" t="s">
        <v>7</v>
      </c>
      <c r="E249" t="str">
        <f>IF(may[[#This Row],[ShiftCounter]]&gt;0, "Running", "Down")</f>
        <v>Running</v>
      </c>
    </row>
    <row r="250" spans="1:5" x14ac:dyDescent="0.25">
      <c r="A250" s="2">
        <v>44689</v>
      </c>
      <c r="B250" s="4" t="s">
        <v>38</v>
      </c>
      <c r="C250">
        <v>1865</v>
      </c>
      <c r="D250" t="s">
        <v>8</v>
      </c>
      <c r="E250" t="str">
        <f>IF(may[[#This Row],[ShiftCounter]]&gt;0, "Running", "Down")</f>
        <v>Running</v>
      </c>
    </row>
    <row r="251" spans="1:5" x14ac:dyDescent="0.25">
      <c r="A251" s="2">
        <v>44689</v>
      </c>
      <c r="B251" s="4" t="s">
        <v>20</v>
      </c>
      <c r="C251">
        <v>2044</v>
      </c>
      <c r="D251" t="s">
        <v>6</v>
      </c>
      <c r="E251" t="str">
        <f>IF(may[[#This Row],[ShiftCounter]]&gt;0, "Running", "Down")</f>
        <v>Running</v>
      </c>
    </row>
    <row r="252" spans="1:5" x14ac:dyDescent="0.25">
      <c r="A252" s="2">
        <v>44689</v>
      </c>
      <c r="B252" s="4" t="s">
        <v>20</v>
      </c>
      <c r="C252">
        <v>2045</v>
      </c>
      <c r="D252" t="s">
        <v>7</v>
      </c>
      <c r="E252" t="str">
        <f>IF(may[[#This Row],[ShiftCounter]]&gt;0, "Running", "Down")</f>
        <v>Running</v>
      </c>
    </row>
    <row r="253" spans="1:5" x14ac:dyDescent="0.25">
      <c r="A253" s="2">
        <v>44689</v>
      </c>
      <c r="B253" s="4" t="s">
        <v>20</v>
      </c>
      <c r="C253">
        <v>1838</v>
      </c>
      <c r="D253" t="s">
        <v>8</v>
      </c>
      <c r="E253" t="str">
        <f>IF(may[[#This Row],[ShiftCounter]]&gt;0, "Running", "Down")</f>
        <v>Running</v>
      </c>
    </row>
    <row r="254" spans="1:5" x14ac:dyDescent="0.25">
      <c r="A254" s="2">
        <v>44689</v>
      </c>
      <c r="B254" s="4" t="s">
        <v>21</v>
      </c>
      <c r="C254">
        <v>2130</v>
      </c>
      <c r="D254" t="s">
        <v>6</v>
      </c>
      <c r="E254" t="str">
        <f>IF(may[[#This Row],[ShiftCounter]]&gt;0, "Running", "Down")</f>
        <v>Running</v>
      </c>
    </row>
    <row r="255" spans="1:5" x14ac:dyDescent="0.25">
      <c r="A255" s="2">
        <v>44689</v>
      </c>
      <c r="B255" s="4" t="s">
        <v>21</v>
      </c>
      <c r="C255">
        <v>2052</v>
      </c>
      <c r="D255" t="s">
        <v>7</v>
      </c>
      <c r="E255" t="str">
        <f>IF(may[[#This Row],[ShiftCounter]]&gt;0, "Running", "Down")</f>
        <v>Running</v>
      </c>
    </row>
    <row r="256" spans="1:5" x14ac:dyDescent="0.25">
      <c r="A256" s="2">
        <v>44689</v>
      </c>
      <c r="B256" s="4" t="s">
        <v>21</v>
      </c>
      <c r="C256">
        <v>1852</v>
      </c>
      <c r="D256" t="s">
        <v>8</v>
      </c>
      <c r="E256" t="str">
        <f>IF(may[[#This Row],[ShiftCounter]]&gt;0, "Running", "Down")</f>
        <v>Running</v>
      </c>
    </row>
    <row r="257" spans="1:5" x14ac:dyDescent="0.25">
      <c r="A257" s="2">
        <v>44689</v>
      </c>
      <c r="B257" s="4" t="s">
        <v>22</v>
      </c>
      <c r="C257">
        <v>2130</v>
      </c>
      <c r="D257" t="s">
        <v>6</v>
      </c>
      <c r="E257" t="str">
        <f>IF(may[[#This Row],[ShiftCounter]]&gt;0, "Running", "Down")</f>
        <v>Running</v>
      </c>
    </row>
    <row r="258" spans="1:5" x14ac:dyDescent="0.25">
      <c r="A258" s="2">
        <v>44689</v>
      </c>
      <c r="B258" s="4" t="s">
        <v>22</v>
      </c>
      <c r="C258">
        <v>2156</v>
      </c>
      <c r="D258" t="s">
        <v>7</v>
      </c>
      <c r="E258" t="str">
        <f>IF(may[[#This Row],[ShiftCounter]]&gt;0, "Running", "Down")</f>
        <v>Running</v>
      </c>
    </row>
    <row r="259" spans="1:5" x14ac:dyDescent="0.25">
      <c r="A259" s="2">
        <v>44689</v>
      </c>
      <c r="B259" s="4" t="s">
        <v>22</v>
      </c>
      <c r="C259">
        <v>2009</v>
      </c>
      <c r="D259" t="s">
        <v>8</v>
      </c>
      <c r="E259" t="str">
        <f>IF(may[[#This Row],[ShiftCounter]]&gt;0, "Running", "Down")</f>
        <v>Running</v>
      </c>
    </row>
    <row r="260" spans="1:5" x14ac:dyDescent="0.25">
      <c r="A260" s="2">
        <v>44689</v>
      </c>
      <c r="B260" s="4" t="s">
        <v>23</v>
      </c>
      <c r="C260">
        <v>2241</v>
      </c>
      <c r="D260" t="s">
        <v>6</v>
      </c>
      <c r="E260" t="str">
        <f>IF(may[[#This Row],[ShiftCounter]]&gt;0, "Running", "Down")</f>
        <v>Running</v>
      </c>
    </row>
    <row r="261" spans="1:5" x14ac:dyDescent="0.25">
      <c r="A261" s="2">
        <v>44689</v>
      </c>
      <c r="B261" s="4" t="s">
        <v>23</v>
      </c>
      <c r="C261">
        <v>2371</v>
      </c>
      <c r="D261" t="s">
        <v>7</v>
      </c>
      <c r="E261" t="str">
        <f>IF(may[[#This Row],[ShiftCounter]]&gt;0, "Running", "Down")</f>
        <v>Running</v>
      </c>
    </row>
    <row r="262" spans="1:5" x14ac:dyDescent="0.25">
      <c r="A262" s="2">
        <v>44689</v>
      </c>
      <c r="B262" s="4" t="s">
        <v>23</v>
      </c>
      <c r="C262">
        <v>2117</v>
      </c>
      <c r="D262" t="s">
        <v>8</v>
      </c>
      <c r="E262" t="str">
        <f>IF(may[[#This Row],[ShiftCounter]]&gt;0, "Running", "Down")</f>
        <v>Running</v>
      </c>
    </row>
    <row r="263" spans="1:5" x14ac:dyDescent="0.25">
      <c r="A263" s="2">
        <v>44689</v>
      </c>
      <c r="B263" s="4" t="s">
        <v>24</v>
      </c>
      <c r="C263">
        <v>2024</v>
      </c>
      <c r="D263" t="s">
        <v>6</v>
      </c>
      <c r="E263" t="str">
        <f>IF(may[[#This Row],[ShiftCounter]]&gt;0, "Running", "Down")</f>
        <v>Running</v>
      </c>
    </row>
    <row r="264" spans="1:5" x14ac:dyDescent="0.25">
      <c r="A264" s="2">
        <v>44689</v>
      </c>
      <c r="B264" s="4" t="s">
        <v>24</v>
      </c>
      <c r="C264">
        <v>2146</v>
      </c>
      <c r="D264" t="s">
        <v>7</v>
      </c>
      <c r="E264" t="str">
        <f>IF(may[[#This Row],[ShiftCounter]]&gt;0, "Running", "Down")</f>
        <v>Running</v>
      </c>
    </row>
    <row r="265" spans="1:5" x14ac:dyDescent="0.25">
      <c r="A265" s="2">
        <v>44689</v>
      </c>
      <c r="B265" s="4" t="s">
        <v>24</v>
      </c>
      <c r="C265">
        <v>1888</v>
      </c>
      <c r="D265" t="s">
        <v>8</v>
      </c>
      <c r="E265" t="str">
        <f>IF(may[[#This Row],[ShiftCounter]]&gt;0, "Running", "Down")</f>
        <v>Running</v>
      </c>
    </row>
    <row r="266" spans="1:5" x14ac:dyDescent="0.25">
      <c r="A266" s="2">
        <v>44689</v>
      </c>
      <c r="B266" s="4" t="s">
        <v>25</v>
      </c>
      <c r="C266">
        <v>2057</v>
      </c>
      <c r="D266" t="s">
        <v>6</v>
      </c>
      <c r="E266" t="str">
        <f>IF(may[[#This Row],[ShiftCounter]]&gt;0, "Running", "Down")</f>
        <v>Running</v>
      </c>
    </row>
    <row r="267" spans="1:5" x14ac:dyDescent="0.25">
      <c r="A267" s="2">
        <v>44689</v>
      </c>
      <c r="B267" s="4" t="s">
        <v>25</v>
      </c>
      <c r="C267">
        <v>2237</v>
      </c>
      <c r="D267" t="s">
        <v>7</v>
      </c>
      <c r="E267" t="str">
        <f>IF(may[[#This Row],[ShiftCounter]]&gt;0, "Running", "Down")</f>
        <v>Running</v>
      </c>
    </row>
    <row r="268" spans="1:5" x14ac:dyDescent="0.25">
      <c r="A268" s="2">
        <v>44689</v>
      </c>
      <c r="B268" s="4" t="s">
        <v>25</v>
      </c>
      <c r="C268">
        <v>2010</v>
      </c>
      <c r="D268" t="s">
        <v>8</v>
      </c>
      <c r="E268" t="str">
        <f>IF(may[[#This Row],[ShiftCounter]]&gt;0, "Running", "Down")</f>
        <v>Running</v>
      </c>
    </row>
    <row r="269" spans="1:5" x14ac:dyDescent="0.25">
      <c r="A269" s="2">
        <v>44689</v>
      </c>
      <c r="B269" s="4" t="s">
        <v>26</v>
      </c>
      <c r="C269">
        <v>2201</v>
      </c>
      <c r="D269" t="s">
        <v>6</v>
      </c>
      <c r="E269" t="str">
        <f>IF(may[[#This Row],[ShiftCounter]]&gt;0, "Running", "Down")</f>
        <v>Running</v>
      </c>
    </row>
    <row r="270" spans="1:5" x14ac:dyDescent="0.25">
      <c r="A270" s="2">
        <v>44689</v>
      </c>
      <c r="B270" s="4" t="s">
        <v>26</v>
      </c>
      <c r="C270">
        <v>2206</v>
      </c>
      <c r="D270" t="s">
        <v>7</v>
      </c>
      <c r="E270" t="str">
        <f>IF(may[[#This Row],[ShiftCounter]]&gt;0, "Running", "Down")</f>
        <v>Running</v>
      </c>
    </row>
    <row r="271" spans="1:5" x14ac:dyDescent="0.25">
      <c r="A271" s="2">
        <v>44689</v>
      </c>
      <c r="B271" s="4" t="s">
        <v>26</v>
      </c>
      <c r="C271">
        <v>1964</v>
      </c>
      <c r="D271" t="s">
        <v>8</v>
      </c>
      <c r="E271" t="str">
        <f>IF(may[[#This Row],[ShiftCounter]]&gt;0, "Running", "Down")</f>
        <v>Running</v>
      </c>
    </row>
    <row r="272" spans="1:5" x14ac:dyDescent="0.25">
      <c r="A272" s="2">
        <v>44689</v>
      </c>
      <c r="B272" s="4" t="s">
        <v>27</v>
      </c>
      <c r="C272">
        <v>2121</v>
      </c>
      <c r="D272" t="s">
        <v>6</v>
      </c>
      <c r="E272" t="str">
        <f>IF(may[[#This Row],[ShiftCounter]]&gt;0, "Running", "Down")</f>
        <v>Running</v>
      </c>
    </row>
    <row r="273" spans="1:5" x14ac:dyDescent="0.25">
      <c r="A273" s="2">
        <v>44689</v>
      </c>
      <c r="B273" s="4" t="s">
        <v>27</v>
      </c>
      <c r="C273">
        <v>2262</v>
      </c>
      <c r="D273" t="s">
        <v>7</v>
      </c>
      <c r="E273" t="str">
        <f>IF(may[[#This Row],[ShiftCounter]]&gt;0, "Running", "Down")</f>
        <v>Running</v>
      </c>
    </row>
    <row r="274" spans="1:5" x14ac:dyDescent="0.25">
      <c r="A274" s="2">
        <v>44689</v>
      </c>
      <c r="B274" s="4" t="s">
        <v>27</v>
      </c>
      <c r="C274">
        <v>1875</v>
      </c>
      <c r="D274" t="s">
        <v>8</v>
      </c>
      <c r="E274" t="str">
        <f>IF(may[[#This Row],[ShiftCounter]]&gt;0, "Running", "Down")</f>
        <v>Running</v>
      </c>
    </row>
    <row r="275" spans="1:5" x14ac:dyDescent="0.25">
      <c r="A275" s="2">
        <v>44689</v>
      </c>
      <c r="B275" s="4" t="s">
        <v>28</v>
      </c>
      <c r="C275">
        <v>1962</v>
      </c>
      <c r="D275" t="s">
        <v>6</v>
      </c>
      <c r="E275" t="str">
        <f>IF(may[[#This Row],[ShiftCounter]]&gt;0, "Running", "Down")</f>
        <v>Running</v>
      </c>
    </row>
    <row r="276" spans="1:5" x14ac:dyDescent="0.25">
      <c r="A276" s="2">
        <v>44689</v>
      </c>
      <c r="B276" s="4" t="s">
        <v>28</v>
      </c>
      <c r="C276">
        <v>2142</v>
      </c>
      <c r="D276" t="s">
        <v>7</v>
      </c>
      <c r="E276" t="str">
        <f>IF(may[[#This Row],[ShiftCounter]]&gt;0, "Running", "Down")</f>
        <v>Running</v>
      </c>
    </row>
    <row r="277" spans="1:5" x14ac:dyDescent="0.25">
      <c r="A277" s="2">
        <v>44689</v>
      </c>
      <c r="B277" s="4" t="s">
        <v>28</v>
      </c>
      <c r="C277">
        <v>1753</v>
      </c>
      <c r="D277" t="s">
        <v>8</v>
      </c>
      <c r="E277" t="str">
        <f>IF(may[[#This Row],[ShiftCounter]]&gt;0, "Running", "Down")</f>
        <v>Running</v>
      </c>
    </row>
    <row r="278" spans="1:5" x14ac:dyDescent="0.25">
      <c r="A278" s="2">
        <v>44689</v>
      </c>
      <c r="B278" s="4" t="s">
        <v>29</v>
      </c>
      <c r="C278">
        <v>2008</v>
      </c>
      <c r="D278" t="s">
        <v>6</v>
      </c>
      <c r="E278" t="str">
        <f>IF(may[[#This Row],[ShiftCounter]]&gt;0, "Running", "Down")</f>
        <v>Running</v>
      </c>
    </row>
    <row r="279" spans="1:5" x14ac:dyDescent="0.25">
      <c r="A279" s="2">
        <v>44689</v>
      </c>
      <c r="B279" s="4" t="s">
        <v>29</v>
      </c>
      <c r="C279">
        <v>2018</v>
      </c>
      <c r="D279" t="s">
        <v>7</v>
      </c>
      <c r="E279" t="str">
        <f>IF(may[[#This Row],[ShiftCounter]]&gt;0, "Running", "Down")</f>
        <v>Running</v>
      </c>
    </row>
    <row r="280" spans="1:5" x14ac:dyDescent="0.25">
      <c r="A280" s="2">
        <v>44689</v>
      </c>
      <c r="B280" s="4" t="s">
        <v>29</v>
      </c>
      <c r="C280">
        <v>1663</v>
      </c>
      <c r="D280" t="s">
        <v>8</v>
      </c>
      <c r="E280" t="str">
        <f>IF(may[[#This Row],[ShiftCounter]]&gt;0, "Running", "Down")</f>
        <v>Running</v>
      </c>
    </row>
    <row r="281" spans="1:5" x14ac:dyDescent="0.25">
      <c r="A281" s="2">
        <v>44689</v>
      </c>
      <c r="B281" s="4" t="s">
        <v>30</v>
      </c>
      <c r="C281">
        <v>2236</v>
      </c>
      <c r="D281" t="s">
        <v>6</v>
      </c>
      <c r="E281" t="str">
        <f>IF(may[[#This Row],[ShiftCounter]]&gt;0, "Running", "Down")</f>
        <v>Running</v>
      </c>
    </row>
    <row r="282" spans="1:5" x14ac:dyDescent="0.25">
      <c r="A282" s="2">
        <v>44689</v>
      </c>
      <c r="B282" s="4" t="s">
        <v>30</v>
      </c>
      <c r="C282">
        <v>1856</v>
      </c>
      <c r="D282" t="s">
        <v>7</v>
      </c>
      <c r="E282" t="str">
        <f>IF(may[[#This Row],[ShiftCounter]]&gt;0, "Running", "Down")</f>
        <v>Running</v>
      </c>
    </row>
    <row r="283" spans="1:5" x14ac:dyDescent="0.25">
      <c r="A283" s="2">
        <v>44689</v>
      </c>
      <c r="B283" s="4" t="s">
        <v>30</v>
      </c>
      <c r="C283">
        <v>1907</v>
      </c>
      <c r="D283" t="s">
        <v>8</v>
      </c>
      <c r="E283" t="str">
        <f>IF(may[[#This Row],[ShiftCounter]]&gt;0, "Running", "Down")</f>
        <v>Running</v>
      </c>
    </row>
    <row r="284" spans="1:5" x14ac:dyDescent="0.25">
      <c r="A284" s="2">
        <v>44689</v>
      </c>
      <c r="B284" s="4" t="s">
        <v>31</v>
      </c>
      <c r="C284">
        <v>2218</v>
      </c>
      <c r="D284" t="s">
        <v>6</v>
      </c>
      <c r="E284" t="str">
        <f>IF(may[[#This Row],[ShiftCounter]]&gt;0, "Running", "Down")</f>
        <v>Running</v>
      </c>
    </row>
    <row r="285" spans="1:5" x14ac:dyDescent="0.25">
      <c r="A285" s="2">
        <v>44689</v>
      </c>
      <c r="B285" s="4" t="s">
        <v>31</v>
      </c>
      <c r="C285">
        <v>2038</v>
      </c>
      <c r="D285" t="s">
        <v>7</v>
      </c>
      <c r="E285" t="str">
        <f>IF(may[[#This Row],[ShiftCounter]]&gt;0, "Running", "Down")</f>
        <v>Running</v>
      </c>
    </row>
    <row r="286" spans="1:5" x14ac:dyDescent="0.25">
      <c r="A286" s="2">
        <v>44689</v>
      </c>
      <c r="B286" s="4" t="s">
        <v>31</v>
      </c>
      <c r="C286">
        <v>1822</v>
      </c>
      <c r="D286" t="s">
        <v>8</v>
      </c>
      <c r="E286" t="str">
        <f>IF(may[[#This Row],[ShiftCounter]]&gt;0, "Running", "Down")</f>
        <v>Running</v>
      </c>
    </row>
    <row r="287" spans="1:5" x14ac:dyDescent="0.25">
      <c r="A287" s="2">
        <v>44689</v>
      </c>
      <c r="B287" s="4" t="s">
        <v>32</v>
      </c>
      <c r="C287">
        <v>2456</v>
      </c>
      <c r="D287" t="s">
        <v>6</v>
      </c>
      <c r="E287" t="str">
        <f>IF(may[[#This Row],[ShiftCounter]]&gt;0, "Running", "Down")</f>
        <v>Running</v>
      </c>
    </row>
    <row r="288" spans="1:5" x14ac:dyDescent="0.25">
      <c r="A288" s="2">
        <v>44689</v>
      </c>
      <c r="B288" s="4" t="s">
        <v>32</v>
      </c>
      <c r="C288">
        <v>2351</v>
      </c>
      <c r="D288" t="s">
        <v>7</v>
      </c>
      <c r="E288" t="str">
        <f>IF(may[[#This Row],[ShiftCounter]]&gt;0, "Running", "Down")</f>
        <v>Running</v>
      </c>
    </row>
    <row r="289" spans="1:5" x14ac:dyDescent="0.25">
      <c r="A289" s="2">
        <v>44689</v>
      </c>
      <c r="B289" s="4" t="s">
        <v>32</v>
      </c>
      <c r="C289">
        <v>2037</v>
      </c>
      <c r="D289" t="s">
        <v>8</v>
      </c>
      <c r="E289" t="str">
        <f>IF(may[[#This Row],[ShiftCounter]]&gt;0, "Running", "Down")</f>
        <v>Running</v>
      </c>
    </row>
    <row r="290" spans="1:5" x14ac:dyDescent="0.25">
      <c r="A290" s="2">
        <v>44689</v>
      </c>
      <c r="B290" s="4" t="s">
        <v>33</v>
      </c>
      <c r="C290">
        <v>2459</v>
      </c>
      <c r="D290" t="s">
        <v>6</v>
      </c>
      <c r="E290" t="str">
        <f>IF(may[[#This Row],[ShiftCounter]]&gt;0, "Running", "Down")</f>
        <v>Running</v>
      </c>
    </row>
    <row r="291" spans="1:5" x14ac:dyDescent="0.25">
      <c r="A291" s="2">
        <v>44689</v>
      </c>
      <c r="B291" s="4" t="s">
        <v>33</v>
      </c>
      <c r="C291">
        <v>2302</v>
      </c>
      <c r="D291" t="s">
        <v>7</v>
      </c>
      <c r="E291" t="str">
        <f>IF(may[[#This Row],[ShiftCounter]]&gt;0, "Running", "Down")</f>
        <v>Running</v>
      </c>
    </row>
    <row r="292" spans="1:5" x14ac:dyDescent="0.25">
      <c r="A292" s="2">
        <v>44689</v>
      </c>
      <c r="B292" s="4" t="s">
        <v>33</v>
      </c>
      <c r="C292">
        <v>2105</v>
      </c>
      <c r="D292" t="s">
        <v>8</v>
      </c>
      <c r="E292" t="str">
        <f>IF(may[[#This Row],[ShiftCounter]]&gt;0, "Running", "Down")</f>
        <v>Running</v>
      </c>
    </row>
    <row r="293" spans="1:5" x14ac:dyDescent="0.25">
      <c r="A293" s="2">
        <v>44689</v>
      </c>
      <c r="B293" s="4" t="s">
        <v>34</v>
      </c>
      <c r="C293">
        <v>2100</v>
      </c>
      <c r="D293" t="s">
        <v>6</v>
      </c>
      <c r="E293" t="str">
        <f>IF(may[[#This Row],[ShiftCounter]]&gt;0, "Running", "Down")</f>
        <v>Running</v>
      </c>
    </row>
    <row r="294" spans="1:5" x14ac:dyDescent="0.25">
      <c r="A294" s="2">
        <v>44689</v>
      </c>
      <c r="B294" s="4" t="s">
        <v>34</v>
      </c>
      <c r="C294">
        <v>1991</v>
      </c>
      <c r="D294" t="s">
        <v>7</v>
      </c>
      <c r="E294" t="str">
        <f>IF(may[[#This Row],[ShiftCounter]]&gt;0, "Running", "Down")</f>
        <v>Running</v>
      </c>
    </row>
    <row r="295" spans="1:5" x14ac:dyDescent="0.25">
      <c r="A295" s="2">
        <v>44689</v>
      </c>
      <c r="B295" s="4" t="s">
        <v>34</v>
      </c>
      <c r="C295">
        <v>1804</v>
      </c>
      <c r="D295" t="s">
        <v>8</v>
      </c>
      <c r="E295" t="str">
        <f>IF(may[[#This Row],[ShiftCounter]]&gt;0, "Running", "Down")</f>
        <v>Running</v>
      </c>
    </row>
    <row r="296" spans="1:5" x14ac:dyDescent="0.25">
      <c r="A296" s="2">
        <v>44689</v>
      </c>
      <c r="B296" s="4" t="s">
        <v>35</v>
      </c>
      <c r="C296">
        <v>2612</v>
      </c>
      <c r="D296" t="s">
        <v>6</v>
      </c>
      <c r="E296" t="str">
        <f>IF(may[[#This Row],[ShiftCounter]]&gt;0, "Running", "Down")</f>
        <v>Running</v>
      </c>
    </row>
    <row r="297" spans="1:5" x14ac:dyDescent="0.25">
      <c r="A297" s="2">
        <v>44689</v>
      </c>
      <c r="B297" s="4" t="s">
        <v>35</v>
      </c>
      <c r="C297">
        <v>2452</v>
      </c>
      <c r="D297" t="s">
        <v>7</v>
      </c>
      <c r="E297" t="str">
        <f>IF(may[[#This Row],[ShiftCounter]]&gt;0, "Running", "Down")</f>
        <v>Running</v>
      </c>
    </row>
    <row r="298" spans="1:5" x14ac:dyDescent="0.25">
      <c r="A298" s="2">
        <v>44689</v>
      </c>
      <c r="B298" s="4" t="s">
        <v>35</v>
      </c>
      <c r="C298">
        <v>2238</v>
      </c>
      <c r="D298" t="s">
        <v>8</v>
      </c>
      <c r="E298" t="str">
        <f>IF(may[[#This Row],[ShiftCounter]]&gt;0, "Running", "Down")</f>
        <v>Running</v>
      </c>
    </row>
    <row r="299" spans="1:5" x14ac:dyDescent="0.25">
      <c r="A299" s="2">
        <v>44689</v>
      </c>
      <c r="B299" s="4" t="s">
        <v>36</v>
      </c>
      <c r="C299">
        <v>2314</v>
      </c>
      <c r="D299" t="s">
        <v>6</v>
      </c>
      <c r="E299" t="str">
        <f>IF(may[[#This Row],[ShiftCounter]]&gt;0, "Running", "Down")</f>
        <v>Running</v>
      </c>
    </row>
    <row r="300" spans="1:5" x14ac:dyDescent="0.25">
      <c r="A300" s="2">
        <v>44689</v>
      </c>
      <c r="B300" s="4" t="s">
        <v>36</v>
      </c>
      <c r="C300">
        <v>2228</v>
      </c>
      <c r="D300" t="s">
        <v>7</v>
      </c>
      <c r="E300" t="str">
        <f>IF(may[[#This Row],[ShiftCounter]]&gt;0, "Running", "Down")</f>
        <v>Running</v>
      </c>
    </row>
    <row r="301" spans="1:5" x14ac:dyDescent="0.25">
      <c r="A301" s="2">
        <v>44689</v>
      </c>
      <c r="B301" s="4" t="s">
        <v>36</v>
      </c>
      <c r="C301">
        <v>1997</v>
      </c>
      <c r="D301" t="s">
        <v>8</v>
      </c>
      <c r="E301" t="str">
        <f>IF(may[[#This Row],[ShiftCounter]]&gt;0, "Running", "Down")</f>
        <v>Running</v>
      </c>
    </row>
    <row r="302" spans="1:5" x14ac:dyDescent="0.25">
      <c r="A302" s="2">
        <v>44689</v>
      </c>
      <c r="B302" s="4" t="s">
        <v>37</v>
      </c>
      <c r="C302">
        <v>2138</v>
      </c>
      <c r="D302" t="s">
        <v>6</v>
      </c>
      <c r="E302" t="str">
        <f>IF(may[[#This Row],[ShiftCounter]]&gt;0, "Running", "Down")</f>
        <v>Running</v>
      </c>
    </row>
    <row r="303" spans="1:5" x14ac:dyDescent="0.25">
      <c r="A303" s="2">
        <v>44689</v>
      </c>
      <c r="B303" s="4" t="s">
        <v>37</v>
      </c>
      <c r="C303">
        <v>2124</v>
      </c>
      <c r="D303" t="s">
        <v>7</v>
      </c>
      <c r="E303" t="str">
        <f>IF(may[[#This Row],[ShiftCounter]]&gt;0, "Running", "Down")</f>
        <v>Running</v>
      </c>
    </row>
    <row r="304" spans="1:5" x14ac:dyDescent="0.25">
      <c r="A304" s="2">
        <v>44689</v>
      </c>
      <c r="B304" s="4" t="s">
        <v>37</v>
      </c>
      <c r="C304">
        <v>2708</v>
      </c>
      <c r="D304" t="s">
        <v>8</v>
      </c>
      <c r="E304" t="str">
        <f>IF(may[[#This Row],[ShiftCounter]]&gt;0, "Running", "Down")</f>
        <v>Running</v>
      </c>
    </row>
    <row r="305" spans="1:5" x14ac:dyDescent="0.25">
      <c r="A305" s="2">
        <v>44688</v>
      </c>
      <c r="B305" s="4" t="s">
        <v>40</v>
      </c>
      <c r="C305">
        <v>2338</v>
      </c>
      <c r="D305" t="s">
        <v>6</v>
      </c>
      <c r="E305" t="str">
        <f>IF(may[[#This Row],[ShiftCounter]]&gt;0, "Running", "Down")</f>
        <v>Running</v>
      </c>
    </row>
    <row r="306" spans="1:5" x14ac:dyDescent="0.25">
      <c r="A306" s="2">
        <v>44688</v>
      </c>
      <c r="B306" s="4" t="s">
        <v>40</v>
      </c>
      <c r="C306">
        <v>2346</v>
      </c>
      <c r="D306" t="s">
        <v>7</v>
      </c>
      <c r="E306" t="str">
        <f>IF(may[[#This Row],[ShiftCounter]]&gt;0, "Running", "Down")</f>
        <v>Running</v>
      </c>
    </row>
    <row r="307" spans="1:5" x14ac:dyDescent="0.25">
      <c r="A307" s="2">
        <v>44688</v>
      </c>
      <c r="B307" s="4" t="s">
        <v>40</v>
      </c>
      <c r="C307">
        <v>2158</v>
      </c>
      <c r="D307" t="s">
        <v>8</v>
      </c>
      <c r="E307" t="str">
        <f>IF(may[[#This Row],[ShiftCounter]]&gt;0, "Running", "Down")</f>
        <v>Running</v>
      </c>
    </row>
    <row r="308" spans="1:5" x14ac:dyDescent="0.25">
      <c r="A308" s="2">
        <v>44688</v>
      </c>
      <c r="B308" s="4" t="s">
        <v>39</v>
      </c>
      <c r="C308">
        <v>2038</v>
      </c>
      <c r="D308" t="s">
        <v>6</v>
      </c>
      <c r="E308" t="str">
        <f>IF(may[[#This Row],[ShiftCounter]]&gt;0, "Running", "Down")</f>
        <v>Running</v>
      </c>
    </row>
    <row r="309" spans="1:5" x14ac:dyDescent="0.25">
      <c r="A309" s="2">
        <v>44688</v>
      </c>
      <c r="B309" s="4" t="s">
        <v>39</v>
      </c>
      <c r="C309">
        <v>2048</v>
      </c>
      <c r="D309" t="s">
        <v>7</v>
      </c>
      <c r="E309" t="str">
        <f>IF(may[[#This Row],[ShiftCounter]]&gt;0, "Running", "Down")</f>
        <v>Running</v>
      </c>
    </row>
    <row r="310" spans="1:5" x14ac:dyDescent="0.25">
      <c r="A310" s="2">
        <v>44688</v>
      </c>
      <c r="B310" s="4" t="s">
        <v>39</v>
      </c>
      <c r="C310">
        <v>1886</v>
      </c>
      <c r="D310" t="s">
        <v>8</v>
      </c>
      <c r="E310" t="str">
        <f>IF(may[[#This Row],[ShiftCounter]]&gt;0, "Running", "Down")</f>
        <v>Running</v>
      </c>
    </row>
    <row r="311" spans="1:5" x14ac:dyDescent="0.25">
      <c r="A311" s="2">
        <v>44688</v>
      </c>
      <c r="B311" s="4" t="s">
        <v>41</v>
      </c>
      <c r="C311">
        <v>2482</v>
      </c>
      <c r="D311" t="s">
        <v>6</v>
      </c>
      <c r="E311" t="str">
        <f>IF(may[[#This Row],[ShiftCounter]]&gt;0, "Running", "Down")</f>
        <v>Running</v>
      </c>
    </row>
    <row r="312" spans="1:5" x14ac:dyDescent="0.25">
      <c r="A312" s="2">
        <v>44688</v>
      </c>
      <c r="B312" s="4" t="s">
        <v>41</v>
      </c>
      <c r="C312">
        <v>2514</v>
      </c>
      <c r="D312" t="s">
        <v>7</v>
      </c>
      <c r="E312" t="str">
        <f>IF(may[[#This Row],[ShiftCounter]]&gt;0, "Running", "Down")</f>
        <v>Running</v>
      </c>
    </row>
    <row r="313" spans="1:5" x14ac:dyDescent="0.25">
      <c r="A313" s="2">
        <v>44688</v>
      </c>
      <c r="B313" s="4" t="s">
        <v>41</v>
      </c>
      <c r="C313">
        <v>2278</v>
      </c>
      <c r="D313" t="s">
        <v>8</v>
      </c>
      <c r="E313" t="str">
        <f>IF(may[[#This Row],[ShiftCounter]]&gt;0, "Running", "Down")</f>
        <v>Running</v>
      </c>
    </row>
    <row r="314" spans="1:5" x14ac:dyDescent="0.25">
      <c r="A314" s="2">
        <v>44688</v>
      </c>
      <c r="B314" s="4" t="s">
        <v>9</v>
      </c>
      <c r="C314">
        <v>2347</v>
      </c>
      <c r="D314" t="s">
        <v>6</v>
      </c>
      <c r="E314" t="str">
        <f>IF(may[[#This Row],[ShiftCounter]]&gt;0, "Running", "Down")</f>
        <v>Running</v>
      </c>
    </row>
    <row r="315" spans="1:5" x14ac:dyDescent="0.25">
      <c r="A315" s="2">
        <v>44688</v>
      </c>
      <c r="B315" s="4" t="s">
        <v>9</v>
      </c>
      <c r="C315">
        <v>2379</v>
      </c>
      <c r="D315" t="s">
        <v>7</v>
      </c>
      <c r="E315" t="str">
        <f>IF(may[[#This Row],[ShiftCounter]]&gt;0, "Running", "Down")</f>
        <v>Running</v>
      </c>
    </row>
    <row r="316" spans="1:5" x14ac:dyDescent="0.25">
      <c r="A316" s="2">
        <v>44688</v>
      </c>
      <c r="B316" s="4" t="s">
        <v>9</v>
      </c>
      <c r="C316">
        <v>2146</v>
      </c>
      <c r="D316" t="s">
        <v>8</v>
      </c>
      <c r="E316" t="str">
        <f>IF(may[[#This Row],[ShiftCounter]]&gt;0, "Running", "Down")</f>
        <v>Running</v>
      </c>
    </row>
    <row r="317" spans="1:5" x14ac:dyDescent="0.25">
      <c r="A317" s="2">
        <v>44688</v>
      </c>
      <c r="B317" s="4" t="s">
        <v>10</v>
      </c>
      <c r="C317">
        <v>2342</v>
      </c>
      <c r="D317" t="s">
        <v>6</v>
      </c>
      <c r="E317" t="str">
        <f>IF(may[[#This Row],[ShiftCounter]]&gt;0, "Running", "Down")</f>
        <v>Running</v>
      </c>
    </row>
    <row r="318" spans="1:5" x14ac:dyDescent="0.25">
      <c r="A318" s="2">
        <v>44688</v>
      </c>
      <c r="B318" s="4" t="s">
        <v>10</v>
      </c>
      <c r="C318">
        <v>2378</v>
      </c>
      <c r="D318" t="s">
        <v>7</v>
      </c>
      <c r="E318" t="str">
        <f>IF(may[[#This Row],[ShiftCounter]]&gt;0, "Running", "Down")</f>
        <v>Running</v>
      </c>
    </row>
    <row r="319" spans="1:5" x14ac:dyDescent="0.25">
      <c r="A319" s="2">
        <v>44688</v>
      </c>
      <c r="B319" s="4" t="s">
        <v>10</v>
      </c>
      <c r="C319">
        <v>2163</v>
      </c>
      <c r="D319" t="s">
        <v>8</v>
      </c>
      <c r="E319" t="str">
        <f>IF(may[[#This Row],[ShiftCounter]]&gt;0, "Running", "Down")</f>
        <v>Running</v>
      </c>
    </row>
    <row r="320" spans="1:5" x14ac:dyDescent="0.25">
      <c r="A320" s="2">
        <v>44688</v>
      </c>
      <c r="B320" s="4" t="s">
        <v>11</v>
      </c>
      <c r="C320">
        <v>2445</v>
      </c>
      <c r="D320" t="s">
        <v>6</v>
      </c>
      <c r="E320" t="str">
        <f>IF(may[[#This Row],[ShiftCounter]]&gt;0, "Running", "Down")</f>
        <v>Running</v>
      </c>
    </row>
    <row r="321" spans="1:5" x14ac:dyDescent="0.25">
      <c r="A321" s="2">
        <v>44688</v>
      </c>
      <c r="B321" s="4" t="s">
        <v>11</v>
      </c>
      <c r="C321">
        <v>2478</v>
      </c>
      <c r="D321" t="s">
        <v>7</v>
      </c>
      <c r="E321" t="str">
        <f>IF(may[[#This Row],[ShiftCounter]]&gt;0, "Running", "Down")</f>
        <v>Running</v>
      </c>
    </row>
    <row r="322" spans="1:5" x14ac:dyDescent="0.25">
      <c r="A322" s="2">
        <v>44688</v>
      </c>
      <c r="B322" s="4" t="s">
        <v>11</v>
      </c>
      <c r="C322">
        <v>2234</v>
      </c>
      <c r="D322" t="s">
        <v>8</v>
      </c>
      <c r="E322" t="str">
        <f>IF(may[[#This Row],[ShiftCounter]]&gt;0, "Running", "Down")</f>
        <v>Running</v>
      </c>
    </row>
    <row r="323" spans="1:5" x14ac:dyDescent="0.25">
      <c r="A323" s="2">
        <v>44688</v>
      </c>
      <c r="B323" s="4" t="s">
        <v>12</v>
      </c>
      <c r="C323">
        <v>2177</v>
      </c>
      <c r="D323" t="s">
        <v>6</v>
      </c>
      <c r="E323" t="str">
        <f>IF(may[[#This Row],[ShiftCounter]]&gt;0, "Running", "Down")</f>
        <v>Running</v>
      </c>
    </row>
    <row r="324" spans="1:5" x14ac:dyDescent="0.25">
      <c r="A324" s="2">
        <v>44688</v>
      </c>
      <c r="B324" s="4" t="s">
        <v>12</v>
      </c>
      <c r="C324">
        <v>2255</v>
      </c>
      <c r="D324" t="s">
        <v>7</v>
      </c>
      <c r="E324" t="str">
        <f>IF(may[[#This Row],[ShiftCounter]]&gt;0, "Running", "Down")</f>
        <v>Running</v>
      </c>
    </row>
    <row r="325" spans="1:5" x14ac:dyDescent="0.25">
      <c r="A325" s="2">
        <v>44688</v>
      </c>
      <c r="B325" s="4" t="s">
        <v>12</v>
      </c>
      <c r="C325">
        <v>2045</v>
      </c>
      <c r="D325" t="s">
        <v>8</v>
      </c>
      <c r="E325" t="str">
        <f>IF(may[[#This Row],[ShiftCounter]]&gt;0, "Running", "Down")</f>
        <v>Running</v>
      </c>
    </row>
    <row r="326" spans="1:5" x14ac:dyDescent="0.25">
      <c r="A326" s="2">
        <v>44688</v>
      </c>
      <c r="B326" s="4" t="s">
        <v>13</v>
      </c>
      <c r="C326">
        <v>2402</v>
      </c>
      <c r="D326" t="s">
        <v>6</v>
      </c>
      <c r="E326" t="str">
        <f>IF(may[[#This Row],[ShiftCounter]]&gt;0, "Running", "Down")</f>
        <v>Running</v>
      </c>
    </row>
    <row r="327" spans="1:5" x14ac:dyDescent="0.25">
      <c r="A327" s="2">
        <v>44688</v>
      </c>
      <c r="B327" s="4" t="s">
        <v>13</v>
      </c>
      <c r="C327">
        <v>2259</v>
      </c>
      <c r="D327" t="s">
        <v>7</v>
      </c>
      <c r="E327" t="str">
        <f>IF(may[[#This Row],[ShiftCounter]]&gt;0, "Running", "Down")</f>
        <v>Running</v>
      </c>
    </row>
    <row r="328" spans="1:5" x14ac:dyDescent="0.25">
      <c r="A328" s="2">
        <v>44688</v>
      </c>
      <c r="B328" s="4" t="s">
        <v>13</v>
      </c>
      <c r="C328">
        <v>1997</v>
      </c>
      <c r="D328" t="s">
        <v>8</v>
      </c>
      <c r="E328" t="str">
        <f>IF(may[[#This Row],[ShiftCounter]]&gt;0, "Running", "Down")</f>
        <v>Running</v>
      </c>
    </row>
    <row r="329" spans="1:5" x14ac:dyDescent="0.25">
      <c r="A329" s="2">
        <v>44688</v>
      </c>
      <c r="B329" s="4" t="s">
        <v>14</v>
      </c>
      <c r="C329">
        <v>1884</v>
      </c>
      <c r="D329" t="s">
        <v>6</v>
      </c>
      <c r="E329" t="str">
        <f>IF(may[[#This Row],[ShiftCounter]]&gt;0, "Running", "Down")</f>
        <v>Running</v>
      </c>
    </row>
    <row r="330" spans="1:5" x14ac:dyDescent="0.25">
      <c r="A330" s="2">
        <v>44688</v>
      </c>
      <c r="B330" s="4" t="s">
        <v>14</v>
      </c>
      <c r="C330">
        <v>1815</v>
      </c>
      <c r="D330" t="s">
        <v>7</v>
      </c>
      <c r="E330" t="str">
        <f>IF(may[[#This Row],[ShiftCounter]]&gt;0, "Running", "Down")</f>
        <v>Running</v>
      </c>
    </row>
    <row r="331" spans="1:5" x14ac:dyDescent="0.25">
      <c r="A331" s="2">
        <v>44688</v>
      </c>
      <c r="B331" s="4" t="s">
        <v>14</v>
      </c>
      <c r="C331">
        <v>1570</v>
      </c>
      <c r="D331" t="s">
        <v>8</v>
      </c>
      <c r="E331" t="str">
        <f>IF(may[[#This Row],[ShiftCounter]]&gt;0, "Running", "Down")</f>
        <v>Running</v>
      </c>
    </row>
    <row r="332" spans="1:5" x14ac:dyDescent="0.25">
      <c r="A332" s="2">
        <v>44688</v>
      </c>
      <c r="B332" s="4" t="s">
        <v>15</v>
      </c>
      <c r="C332">
        <v>2061</v>
      </c>
      <c r="D332" t="s">
        <v>6</v>
      </c>
      <c r="E332" t="str">
        <f>IF(may[[#This Row],[ShiftCounter]]&gt;0, "Running", "Down")</f>
        <v>Running</v>
      </c>
    </row>
    <row r="333" spans="1:5" x14ac:dyDescent="0.25">
      <c r="A333" s="2">
        <v>44688</v>
      </c>
      <c r="B333" s="4" t="s">
        <v>15</v>
      </c>
      <c r="C333">
        <v>2116</v>
      </c>
      <c r="D333" t="s">
        <v>7</v>
      </c>
      <c r="E333" t="str">
        <f>IF(may[[#This Row],[ShiftCounter]]&gt;0, "Running", "Down")</f>
        <v>Running</v>
      </c>
    </row>
    <row r="334" spans="1:5" x14ac:dyDescent="0.25">
      <c r="A334" s="2">
        <v>44688</v>
      </c>
      <c r="B334" s="4" t="s">
        <v>15</v>
      </c>
      <c r="C334">
        <v>1745</v>
      </c>
      <c r="D334" t="s">
        <v>8</v>
      </c>
      <c r="E334" t="str">
        <f>IF(may[[#This Row],[ShiftCounter]]&gt;0, "Running", "Down")</f>
        <v>Running</v>
      </c>
    </row>
    <row r="335" spans="1:5" x14ac:dyDescent="0.25">
      <c r="A335" s="2">
        <v>44688</v>
      </c>
      <c r="B335" s="4" t="s">
        <v>16</v>
      </c>
      <c r="C335">
        <v>2444</v>
      </c>
      <c r="D335" t="s">
        <v>6</v>
      </c>
      <c r="E335" t="str">
        <f>IF(may[[#This Row],[ShiftCounter]]&gt;0, "Running", "Down")</f>
        <v>Running</v>
      </c>
    </row>
    <row r="336" spans="1:5" x14ac:dyDescent="0.25">
      <c r="A336" s="2">
        <v>44688</v>
      </c>
      <c r="B336" s="4" t="s">
        <v>16</v>
      </c>
      <c r="C336">
        <v>2416</v>
      </c>
      <c r="D336" t="s">
        <v>7</v>
      </c>
      <c r="E336" t="str">
        <f>IF(may[[#This Row],[ShiftCounter]]&gt;0, "Running", "Down")</f>
        <v>Running</v>
      </c>
    </row>
    <row r="337" spans="1:5" x14ac:dyDescent="0.25">
      <c r="A337" s="2">
        <v>44688</v>
      </c>
      <c r="B337" s="4" t="s">
        <v>16</v>
      </c>
      <c r="C337">
        <v>2001</v>
      </c>
      <c r="D337" t="s">
        <v>8</v>
      </c>
      <c r="E337" t="str">
        <f>IF(may[[#This Row],[ShiftCounter]]&gt;0, "Running", "Down")</f>
        <v>Running</v>
      </c>
    </row>
    <row r="338" spans="1:5" x14ac:dyDescent="0.25">
      <c r="A338" s="2">
        <v>44688</v>
      </c>
      <c r="B338" s="4" t="s">
        <v>17</v>
      </c>
      <c r="C338">
        <v>2415</v>
      </c>
      <c r="D338" t="s">
        <v>6</v>
      </c>
      <c r="E338" t="str">
        <f>IF(may[[#This Row],[ShiftCounter]]&gt;0, "Running", "Down")</f>
        <v>Running</v>
      </c>
    </row>
    <row r="339" spans="1:5" x14ac:dyDescent="0.25">
      <c r="A339" s="2">
        <v>44688</v>
      </c>
      <c r="B339" s="4" t="s">
        <v>17</v>
      </c>
      <c r="C339">
        <v>2430</v>
      </c>
      <c r="D339" t="s">
        <v>7</v>
      </c>
      <c r="E339" t="str">
        <f>IF(may[[#This Row],[ShiftCounter]]&gt;0, "Running", "Down")</f>
        <v>Running</v>
      </c>
    </row>
    <row r="340" spans="1:5" x14ac:dyDescent="0.25">
      <c r="A340" s="2">
        <v>44688</v>
      </c>
      <c r="B340" s="4" t="s">
        <v>17</v>
      </c>
      <c r="C340">
        <v>2045</v>
      </c>
      <c r="D340" t="s">
        <v>8</v>
      </c>
      <c r="E340" t="str">
        <f>IF(may[[#This Row],[ShiftCounter]]&gt;0, "Running", "Down")</f>
        <v>Running</v>
      </c>
    </row>
    <row r="341" spans="1:5" x14ac:dyDescent="0.25">
      <c r="A341" s="2">
        <v>44688</v>
      </c>
      <c r="B341" s="4" t="s">
        <v>19</v>
      </c>
      <c r="C341">
        <v>2042</v>
      </c>
      <c r="D341" t="s">
        <v>6</v>
      </c>
      <c r="E341" t="str">
        <f>IF(may[[#This Row],[ShiftCounter]]&gt;0, "Running", "Down")</f>
        <v>Running</v>
      </c>
    </row>
    <row r="342" spans="1:5" x14ac:dyDescent="0.25">
      <c r="A342" s="2">
        <v>44688</v>
      </c>
      <c r="B342" s="4" t="s">
        <v>19</v>
      </c>
      <c r="C342">
        <v>2092</v>
      </c>
      <c r="D342" t="s">
        <v>7</v>
      </c>
      <c r="E342" t="str">
        <f>IF(may[[#This Row],[ShiftCounter]]&gt;0, "Running", "Down")</f>
        <v>Running</v>
      </c>
    </row>
    <row r="343" spans="1:5" x14ac:dyDescent="0.25">
      <c r="A343" s="2">
        <v>44688</v>
      </c>
      <c r="B343" s="4" t="s">
        <v>19</v>
      </c>
      <c r="C343">
        <v>1547</v>
      </c>
      <c r="D343" t="s">
        <v>8</v>
      </c>
      <c r="E343" t="str">
        <f>IF(may[[#This Row],[ShiftCounter]]&gt;0, "Running", "Down")</f>
        <v>Running</v>
      </c>
    </row>
    <row r="344" spans="1:5" x14ac:dyDescent="0.25">
      <c r="A344" s="2">
        <v>44688</v>
      </c>
      <c r="B344" s="4" t="s">
        <v>18</v>
      </c>
      <c r="C344">
        <v>2328</v>
      </c>
      <c r="D344" t="s">
        <v>6</v>
      </c>
      <c r="E344" t="str">
        <f>IF(may[[#This Row],[ShiftCounter]]&gt;0, "Running", "Down")</f>
        <v>Running</v>
      </c>
    </row>
    <row r="345" spans="1:5" x14ac:dyDescent="0.25">
      <c r="A345" s="2">
        <v>44688</v>
      </c>
      <c r="B345" s="4" t="s">
        <v>18</v>
      </c>
      <c r="C345">
        <v>2208</v>
      </c>
      <c r="D345" t="s">
        <v>7</v>
      </c>
      <c r="E345" t="str">
        <f>IF(may[[#This Row],[ShiftCounter]]&gt;0, "Running", "Down")</f>
        <v>Running</v>
      </c>
    </row>
    <row r="346" spans="1:5" x14ac:dyDescent="0.25">
      <c r="A346" s="2">
        <v>44688</v>
      </c>
      <c r="B346" s="4" t="s">
        <v>18</v>
      </c>
      <c r="C346">
        <v>1967</v>
      </c>
      <c r="D346" t="s">
        <v>8</v>
      </c>
      <c r="E346" t="str">
        <f>IF(may[[#This Row],[ShiftCounter]]&gt;0, "Running", "Down")</f>
        <v>Running</v>
      </c>
    </row>
    <row r="347" spans="1:5" x14ac:dyDescent="0.25">
      <c r="A347" s="2">
        <v>44688</v>
      </c>
      <c r="B347" s="4" t="s">
        <v>38</v>
      </c>
      <c r="C347">
        <v>2057</v>
      </c>
      <c r="D347" t="s">
        <v>6</v>
      </c>
      <c r="E347" t="str">
        <f>IF(may[[#This Row],[ShiftCounter]]&gt;0, "Running", "Down")</f>
        <v>Running</v>
      </c>
    </row>
    <row r="348" spans="1:5" x14ac:dyDescent="0.25">
      <c r="A348" s="2">
        <v>44688</v>
      </c>
      <c r="B348" s="4" t="s">
        <v>38</v>
      </c>
      <c r="C348">
        <v>2120</v>
      </c>
      <c r="D348" t="s">
        <v>7</v>
      </c>
      <c r="E348" t="str">
        <f>IF(may[[#This Row],[ShiftCounter]]&gt;0, "Running", "Down")</f>
        <v>Running</v>
      </c>
    </row>
    <row r="349" spans="1:5" x14ac:dyDescent="0.25">
      <c r="A349" s="2">
        <v>44688</v>
      </c>
      <c r="B349" s="4" t="s">
        <v>38</v>
      </c>
      <c r="C349">
        <v>1889</v>
      </c>
      <c r="D349" t="s">
        <v>8</v>
      </c>
      <c r="E349" t="str">
        <f>IF(may[[#This Row],[ShiftCounter]]&gt;0, "Running", "Down")</f>
        <v>Running</v>
      </c>
    </row>
    <row r="350" spans="1:5" x14ac:dyDescent="0.25">
      <c r="A350" s="2">
        <v>44688</v>
      </c>
      <c r="B350" s="4" t="s">
        <v>20</v>
      </c>
      <c r="C350">
        <v>944</v>
      </c>
      <c r="D350" t="s">
        <v>6</v>
      </c>
      <c r="E350" t="str">
        <f>IF(may[[#This Row],[ShiftCounter]]&gt;0, "Running", "Down")</f>
        <v>Running</v>
      </c>
    </row>
    <row r="351" spans="1:5" x14ac:dyDescent="0.25">
      <c r="A351" s="2">
        <v>44688</v>
      </c>
      <c r="B351" s="4" t="s">
        <v>20</v>
      </c>
      <c r="C351">
        <v>1869</v>
      </c>
      <c r="D351" t="s">
        <v>7</v>
      </c>
      <c r="E351" t="str">
        <f>IF(may[[#This Row],[ShiftCounter]]&gt;0, "Running", "Down")</f>
        <v>Running</v>
      </c>
    </row>
    <row r="352" spans="1:5" x14ac:dyDescent="0.25">
      <c r="A352" s="2">
        <v>44688</v>
      </c>
      <c r="B352" s="4" t="s">
        <v>20</v>
      </c>
      <c r="C352">
        <v>1850</v>
      </c>
      <c r="D352" t="s">
        <v>8</v>
      </c>
      <c r="E352" t="str">
        <f>IF(may[[#This Row],[ShiftCounter]]&gt;0, "Running", "Down")</f>
        <v>Running</v>
      </c>
    </row>
    <row r="353" spans="1:5" x14ac:dyDescent="0.25">
      <c r="A353" s="2">
        <v>44688</v>
      </c>
      <c r="B353" s="4" t="s">
        <v>21</v>
      </c>
      <c r="C353">
        <v>2027</v>
      </c>
      <c r="D353" t="s">
        <v>6</v>
      </c>
      <c r="E353" t="str">
        <f>IF(may[[#This Row],[ShiftCounter]]&gt;0, "Running", "Down")</f>
        <v>Running</v>
      </c>
    </row>
    <row r="354" spans="1:5" x14ac:dyDescent="0.25">
      <c r="A354" s="2">
        <v>44688</v>
      </c>
      <c r="B354" s="4" t="s">
        <v>21</v>
      </c>
      <c r="C354">
        <v>2104</v>
      </c>
      <c r="D354" t="s">
        <v>7</v>
      </c>
      <c r="E354" t="str">
        <f>IF(may[[#This Row],[ShiftCounter]]&gt;0, "Running", "Down")</f>
        <v>Running</v>
      </c>
    </row>
    <row r="355" spans="1:5" x14ac:dyDescent="0.25">
      <c r="A355" s="2">
        <v>44688</v>
      </c>
      <c r="B355" s="4" t="s">
        <v>21</v>
      </c>
      <c r="C355">
        <v>1871</v>
      </c>
      <c r="D355" t="s">
        <v>8</v>
      </c>
      <c r="E355" t="str">
        <f>IF(may[[#This Row],[ShiftCounter]]&gt;0, "Running", "Down")</f>
        <v>Running</v>
      </c>
    </row>
    <row r="356" spans="1:5" x14ac:dyDescent="0.25">
      <c r="A356" s="2">
        <v>44688</v>
      </c>
      <c r="B356" s="4" t="s">
        <v>22</v>
      </c>
      <c r="C356">
        <v>1840</v>
      </c>
      <c r="D356" t="s">
        <v>6</v>
      </c>
      <c r="E356" t="str">
        <f>IF(may[[#This Row],[ShiftCounter]]&gt;0, "Running", "Down")</f>
        <v>Running</v>
      </c>
    </row>
    <row r="357" spans="1:5" x14ac:dyDescent="0.25">
      <c r="A357" s="2">
        <v>44688</v>
      </c>
      <c r="B357" s="4" t="s">
        <v>22</v>
      </c>
      <c r="C357">
        <v>2178</v>
      </c>
      <c r="D357" t="s">
        <v>7</v>
      </c>
      <c r="E357" t="str">
        <f>IF(may[[#This Row],[ShiftCounter]]&gt;0, "Running", "Down")</f>
        <v>Running</v>
      </c>
    </row>
    <row r="358" spans="1:5" x14ac:dyDescent="0.25">
      <c r="A358" s="2">
        <v>44688</v>
      </c>
      <c r="B358" s="4" t="s">
        <v>22</v>
      </c>
      <c r="C358">
        <v>1924</v>
      </c>
      <c r="D358" t="s">
        <v>8</v>
      </c>
      <c r="E358" t="str">
        <f>IF(may[[#This Row],[ShiftCounter]]&gt;0, "Running", "Down")</f>
        <v>Running</v>
      </c>
    </row>
    <row r="359" spans="1:5" x14ac:dyDescent="0.25">
      <c r="A359" s="2">
        <v>44688</v>
      </c>
      <c r="B359" s="4" t="s">
        <v>23</v>
      </c>
      <c r="C359">
        <v>2386</v>
      </c>
      <c r="D359" t="s">
        <v>6</v>
      </c>
      <c r="E359" t="str">
        <f>IF(may[[#This Row],[ShiftCounter]]&gt;0, "Running", "Down")</f>
        <v>Running</v>
      </c>
    </row>
    <row r="360" spans="1:5" x14ac:dyDescent="0.25">
      <c r="A360" s="2">
        <v>44688</v>
      </c>
      <c r="B360" s="4" t="s">
        <v>23</v>
      </c>
      <c r="C360">
        <v>2296</v>
      </c>
      <c r="D360" t="s">
        <v>7</v>
      </c>
      <c r="E360" t="str">
        <f>IF(may[[#This Row],[ShiftCounter]]&gt;0, "Running", "Down")</f>
        <v>Running</v>
      </c>
    </row>
    <row r="361" spans="1:5" x14ac:dyDescent="0.25">
      <c r="A361" s="2">
        <v>44688</v>
      </c>
      <c r="B361" s="4" t="s">
        <v>23</v>
      </c>
      <c r="C361">
        <v>2115</v>
      </c>
      <c r="D361" t="s">
        <v>8</v>
      </c>
      <c r="E361" t="str">
        <f>IF(may[[#This Row],[ShiftCounter]]&gt;0, "Running", "Down")</f>
        <v>Running</v>
      </c>
    </row>
    <row r="362" spans="1:5" x14ac:dyDescent="0.25">
      <c r="A362" s="2">
        <v>44688</v>
      </c>
      <c r="B362" s="4" t="s">
        <v>24</v>
      </c>
      <c r="C362">
        <v>3992</v>
      </c>
      <c r="D362" t="s">
        <v>6</v>
      </c>
      <c r="E362" t="str">
        <f>IF(may[[#This Row],[ShiftCounter]]&gt;0, "Running", "Down")</f>
        <v>Running</v>
      </c>
    </row>
    <row r="363" spans="1:5" x14ac:dyDescent="0.25">
      <c r="A363" s="2">
        <v>44688</v>
      </c>
      <c r="B363" s="4" t="s">
        <v>24</v>
      </c>
      <c r="C363">
        <v>2040</v>
      </c>
      <c r="D363" t="s">
        <v>7</v>
      </c>
      <c r="E363" t="str">
        <f>IF(may[[#This Row],[ShiftCounter]]&gt;0, "Running", "Down")</f>
        <v>Running</v>
      </c>
    </row>
    <row r="364" spans="1:5" x14ac:dyDescent="0.25">
      <c r="A364" s="2">
        <v>44688</v>
      </c>
      <c r="B364" s="4" t="s">
        <v>24</v>
      </c>
      <c r="C364">
        <v>1888</v>
      </c>
      <c r="D364" t="s">
        <v>8</v>
      </c>
      <c r="E364" t="str">
        <f>IF(may[[#This Row],[ShiftCounter]]&gt;0, "Running", "Down")</f>
        <v>Running</v>
      </c>
    </row>
    <row r="365" spans="1:5" x14ac:dyDescent="0.25">
      <c r="A365" s="2">
        <v>44688</v>
      </c>
      <c r="B365" s="4" t="s">
        <v>25</v>
      </c>
      <c r="C365">
        <v>1995</v>
      </c>
      <c r="D365" t="s">
        <v>6</v>
      </c>
      <c r="E365" t="str">
        <f>IF(may[[#This Row],[ShiftCounter]]&gt;0, "Running", "Down")</f>
        <v>Running</v>
      </c>
    </row>
    <row r="366" spans="1:5" x14ac:dyDescent="0.25">
      <c r="A366" s="2">
        <v>44688</v>
      </c>
      <c r="B366" s="4" t="s">
        <v>25</v>
      </c>
      <c r="C366">
        <v>2124</v>
      </c>
      <c r="D366" t="s">
        <v>7</v>
      </c>
      <c r="E366" t="str">
        <f>IF(may[[#This Row],[ShiftCounter]]&gt;0, "Running", "Down")</f>
        <v>Running</v>
      </c>
    </row>
    <row r="367" spans="1:5" x14ac:dyDescent="0.25">
      <c r="A367" s="2">
        <v>44688</v>
      </c>
      <c r="B367" s="4" t="s">
        <v>25</v>
      </c>
      <c r="C367">
        <v>1657</v>
      </c>
      <c r="D367" t="s">
        <v>8</v>
      </c>
      <c r="E367" t="str">
        <f>IF(may[[#This Row],[ShiftCounter]]&gt;0, "Running", "Down")</f>
        <v>Running</v>
      </c>
    </row>
    <row r="368" spans="1:5" x14ac:dyDescent="0.25">
      <c r="A368" s="2">
        <v>44688</v>
      </c>
      <c r="B368" s="4" t="s">
        <v>26</v>
      </c>
      <c r="C368">
        <v>2219</v>
      </c>
      <c r="D368" t="s">
        <v>6</v>
      </c>
      <c r="E368" t="str">
        <f>IF(may[[#This Row],[ShiftCounter]]&gt;0, "Running", "Down")</f>
        <v>Running</v>
      </c>
    </row>
    <row r="369" spans="1:5" x14ac:dyDescent="0.25">
      <c r="A369" s="2">
        <v>44688</v>
      </c>
      <c r="B369" s="4" t="s">
        <v>26</v>
      </c>
      <c r="C369">
        <v>2109</v>
      </c>
      <c r="D369" t="s">
        <v>7</v>
      </c>
      <c r="E369" t="str">
        <f>IF(may[[#This Row],[ShiftCounter]]&gt;0, "Running", "Down")</f>
        <v>Running</v>
      </c>
    </row>
    <row r="370" spans="1:5" x14ac:dyDescent="0.25">
      <c r="A370" s="2">
        <v>44688</v>
      </c>
      <c r="B370" s="4" t="s">
        <v>26</v>
      </c>
      <c r="C370">
        <v>1954</v>
      </c>
      <c r="D370" t="s">
        <v>8</v>
      </c>
      <c r="E370" t="str">
        <f>IF(may[[#This Row],[ShiftCounter]]&gt;0, "Running", "Down")</f>
        <v>Running</v>
      </c>
    </row>
    <row r="371" spans="1:5" x14ac:dyDescent="0.25">
      <c r="A371" s="2">
        <v>44688</v>
      </c>
      <c r="B371" s="4" t="s">
        <v>27</v>
      </c>
      <c r="C371">
        <v>2135</v>
      </c>
      <c r="D371" t="s">
        <v>6</v>
      </c>
      <c r="E371" t="str">
        <f>IF(may[[#This Row],[ShiftCounter]]&gt;0, "Running", "Down")</f>
        <v>Running</v>
      </c>
    </row>
    <row r="372" spans="1:5" x14ac:dyDescent="0.25">
      <c r="A372" s="2">
        <v>44688</v>
      </c>
      <c r="B372" s="4" t="s">
        <v>27</v>
      </c>
      <c r="C372">
        <v>2173</v>
      </c>
      <c r="D372" t="s">
        <v>7</v>
      </c>
      <c r="E372" t="str">
        <f>IF(may[[#This Row],[ShiftCounter]]&gt;0, "Running", "Down")</f>
        <v>Running</v>
      </c>
    </row>
    <row r="373" spans="1:5" x14ac:dyDescent="0.25">
      <c r="A373" s="2">
        <v>44688</v>
      </c>
      <c r="B373" s="4" t="s">
        <v>27</v>
      </c>
      <c r="C373">
        <v>1536</v>
      </c>
      <c r="D373" t="s">
        <v>8</v>
      </c>
      <c r="E373" t="str">
        <f>IF(may[[#This Row],[ShiftCounter]]&gt;0, "Running", "Down")</f>
        <v>Running</v>
      </c>
    </row>
    <row r="374" spans="1:5" x14ac:dyDescent="0.25">
      <c r="A374" s="2">
        <v>44688</v>
      </c>
      <c r="B374" s="4" t="s">
        <v>28</v>
      </c>
      <c r="C374">
        <v>1380</v>
      </c>
      <c r="D374" t="s">
        <v>6</v>
      </c>
      <c r="E374" t="str">
        <f>IF(may[[#This Row],[ShiftCounter]]&gt;0, "Running", "Down")</f>
        <v>Running</v>
      </c>
    </row>
    <row r="375" spans="1:5" x14ac:dyDescent="0.25">
      <c r="A375" s="2">
        <v>44688</v>
      </c>
      <c r="B375" s="4" t="s">
        <v>28</v>
      </c>
      <c r="C375">
        <v>2094</v>
      </c>
      <c r="D375" t="s">
        <v>7</v>
      </c>
      <c r="E375" t="str">
        <f>IF(may[[#This Row],[ShiftCounter]]&gt;0, "Running", "Down")</f>
        <v>Running</v>
      </c>
    </row>
    <row r="376" spans="1:5" x14ac:dyDescent="0.25">
      <c r="A376" s="2">
        <v>44688</v>
      </c>
      <c r="B376" s="4" t="s">
        <v>28</v>
      </c>
      <c r="C376">
        <v>1915</v>
      </c>
      <c r="D376" t="s">
        <v>8</v>
      </c>
      <c r="E376" t="str">
        <f>IF(may[[#This Row],[ShiftCounter]]&gt;0, "Running", "Down")</f>
        <v>Running</v>
      </c>
    </row>
    <row r="377" spans="1:5" x14ac:dyDescent="0.25">
      <c r="A377" s="2">
        <v>44688</v>
      </c>
      <c r="B377" s="4" t="s">
        <v>29</v>
      </c>
      <c r="C377">
        <v>1224</v>
      </c>
      <c r="D377" t="s">
        <v>6</v>
      </c>
      <c r="E377" t="str">
        <f>IF(may[[#This Row],[ShiftCounter]]&gt;0, "Running", "Down")</f>
        <v>Running</v>
      </c>
    </row>
    <row r="378" spans="1:5" x14ac:dyDescent="0.25">
      <c r="A378" s="2">
        <v>44688</v>
      </c>
      <c r="B378" s="4" t="s">
        <v>29</v>
      </c>
      <c r="C378">
        <v>1950</v>
      </c>
      <c r="D378" t="s">
        <v>7</v>
      </c>
      <c r="E378" t="str">
        <f>IF(may[[#This Row],[ShiftCounter]]&gt;0, "Running", "Down")</f>
        <v>Running</v>
      </c>
    </row>
    <row r="379" spans="1:5" x14ac:dyDescent="0.25">
      <c r="A379" s="2">
        <v>44688</v>
      </c>
      <c r="B379" s="4" t="s">
        <v>29</v>
      </c>
      <c r="C379">
        <v>1796</v>
      </c>
      <c r="D379" t="s">
        <v>8</v>
      </c>
      <c r="E379" t="str">
        <f>IF(may[[#This Row],[ShiftCounter]]&gt;0, "Running", "Down")</f>
        <v>Running</v>
      </c>
    </row>
    <row r="380" spans="1:5" x14ac:dyDescent="0.25">
      <c r="A380" s="2">
        <v>44688</v>
      </c>
      <c r="B380" s="4" t="s">
        <v>30</v>
      </c>
      <c r="C380">
        <v>2217</v>
      </c>
      <c r="D380" t="s">
        <v>6</v>
      </c>
      <c r="E380" t="str">
        <f>IF(may[[#This Row],[ShiftCounter]]&gt;0, "Running", "Down")</f>
        <v>Running</v>
      </c>
    </row>
    <row r="381" spans="1:5" x14ac:dyDescent="0.25">
      <c r="A381" s="2">
        <v>44688</v>
      </c>
      <c r="B381" s="4" t="s">
        <v>30</v>
      </c>
      <c r="C381">
        <v>2157</v>
      </c>
      <c r="D381" t="s">
        <v>7</v>
      </c>
      <c r="E381" t="str">
        <f>IF(may[[#This Row],[ShiftCounter]]&gt;0, "Running", "Down")</f>
        <v>Running</v>
      </c>
    </row>
    <row r="382" spans="1:5" x14ac:dyDescent="0.25">
      <c r="A382" s="2">
        <v>44688</v>
      </c>
      <c r="B382" s="4" t="s">
        <v>30</v>
      </c>
      <c r="C382">
        <v>1952</v>
      </c>
      <c r="D382" t="s">
        <v>8</v>
      </c>
      <c r="E382" t="str">
        <f>IF(may[[#This Row],[ShiftCounter]]&gt;0, "Running", "Down")</f>
        <v>Running</v>
      </c>
    </row>
    <row r="383" spans="1:5" x14ac:dyDescent="0.25">
      <c r="A383" s="2">
        <v>44688</v>
      </c>
      <c r="B383" s="4" t="s">
        <v>31</v>
      </c>
      <c r="C383">
        <v>2165</v>
      </c>
      <c r="D383" t="s">
        <v>6</v>
      </c>
      <c r="E383" t="str">
        <f>IF(may[[#This Row],[ShiftCounter]]&gt;0, "Running", "Down")</f>
        <v>Running</v>
      </c>
    </row>
    <row r="384" spans="1:5" x14ac:dyDescent="0.25">
      <c r="A384" s="2">
        <v>44688</v>
      </c>
      <c r="B384" s="4" t="s">
        <v>31</v>
      </c>
      <c r="C384">
        <v>2156</v>
      </c>
      <c r="D384" t="s">
        <v>7</v>
      </c>
      <c r="E384" t="str">
        <f>IF(may[[#This Row],[ShiftCounter]]&gt;0, "Running", "Down")</f>
        <v>Running</v>
      </c>
    </row>
    <row r="385" spans="1:5" x14ac:dyDescent="0.25">
      <c r="A385" s="2">
        <v>44688</v>
      </c>
      <c r="B385" s="4" t="s">
        <v>31</v>
      </c>
      <c r="C385">
        <v>1930</v>
      </c>
      <c r="D385" t="s">
        <v>8</v>
      </c>
      <c r="E385" t="str">
        <f>IF(may[[#This Row],[ShiftCounter]]&gt;0, "Running", "Down")</f>
        <v>Running</v>
      </c>
    </row>
    <row r="386" spans="1:5" x14ac:dyDescent="0.25">
      <c r="A386" s="2">
        <v>44688</v>
      </c>
      <c r="B386" s="4" t="s">
        <v>32</v>
      </c>
      <c r="C386">
        <v>2350</v>
      </c>
      <c r="D386" t="s">
        <v>7</v>
      </c>
      <c r="E386" t="str">
        <f>IF(may[[#This Row],[ShiftCounter]]&gt;0, "Running", "Down")</f>
        <v>Running</v>
      </c>
    </row>
    <row r="387" spans="1:5" x14ac:dyDescent="0.25">
      <c r="A387" s="2">
        <v>44688</v>
      </c>
      <c r="B387" s="4" t="s">
        <v>32</v>
      </c>
      <c r="C387">
        <v>2022</v>
      </c>
      <c r="D387" t="s">
        <v>8</v>
      </c>
      <c r="E387" t="str">
        <f>IF(may[[#This Row],[ShiftCounter]]&gt;0, "Running", "Down")</f>
        <v>Running</v>
      </c>
    </row>
    <row r="388" spans="1:5" x14ac:dyDescent="0.25">
      <c r="A388" s="2">
        <v>44688</v>
      </c>
      <c r="B388" s="4" t="s">
        <v>33</v>
      </c>
      <c r="C388">
        <v>2015</v>
      </c>
      <c r="D388" t="s">
        <v>6</v>
      </c>
      <c r="E388" t="str">
        <f>IF(may[[#This Row],[ShiftCounter]]&gt;0, "Running", "Down")</f>
        <v>Running</v>
      </c>
    </row>
    <row r="389" spans="1:5" x14ac:dyDescent="0.25">
      <c r="A389" s="2">
        <v>44688</v>
      </c>
      <c r="B389" s="4" t="s">
        <v>33</v>
      </c>
      <c r="C389">
        <v>2387</v>
      </c>
      <c r="D389" t="s">
        <v>7</v>
      </c>
      <c r="E389" t="str">
        <f>IF(may[[#This Row],[ShiftCounter]]&gt;0, "Running", "Down")</f>
        <v>Running</v>
      </c>
    </row>
    <row r="390" spans="1:5" x14ac:dyDescent="0.25">
      <c r="A390" s="2">
        <v>44688</v>
      </c>
      <c r="B390" s="4" t="s">
        <v>33</v>
      </c>
      <c r="C390">
        <v>2107</v>
      </c>
      <c r="D390" t="s">
        <v>8</v>
      </c>
      <c r="E390" t="str">
        <f>IF(may[[#This Row],[ShiftCounter]]&gt;0, "Running", "Down")</f>
        <v>Running</v>
      </c>
    </row>
    <row r="391" spans="1:5" x14ac:dyDescent="0.25">
      <c r="A391" s="2">
        <v>44688</v>
      </c>
      <c r="B391" s="4" t="s">
        <v>34</v>
      </c>
      <c r="C391">
        <v>2016</v>
      </c>
      <c r="D391" t="s">
        <v>6</v>
      </c>
      <c r="E391" t="str">
        <f>IF(may[[#This Row],[ShiftCounter]]&gt;0, "Running", "Down")</f>
        <v>Running</v>
      </c>
    </row>
    <row r="392" spans="1:5" x14ac:dyDescent="0.25">
      <c r="A392" s="2">
        <v>44688</v>
      </c>
      <c r="B392" s="4" t="s">
        <v>34</v>
      </c>
      <c r="C392">
        <v>1992</v>
      </c>
      <c r="D392" t="s">
        <v>7</v>
      </c>
      <c r="E392" t="str">
        <f>IF(may[[#This Row],[ShiftCounter]]&gt;0, "Running", "Down")</f>
        <v>Running</v>
      </c>
    </row>
    <row r="393" spans="1:5" x14ac:dyDescent="0.25">
      <c r="A393" s="2">
        <v>44688</v>
      </c>
      <c r="B393" s="4" t="s">
        <v>34</v>
      </c>
      <c r="C393">
        <v>1802</v>
      </c>
      <c r="D393" t="s">
        <v>8</v>
      </c>
      <c r="E393" t="str">
        <f>IF(may[[#This Row],[ShiftCounter]]&gt;0, "Running", "Down")</f>
        <v>Running</v>
      </c>
    </row>
    <row r="394" spans="1:5" x14ac:dyDescent="0.25">
      <c r="A394" s="2">
        <v>44688</v>
      </c>
      <c r="B394" s="4" t="s">
        <v>35</v>
      </c>
      <c r="C394">
        <v>1654</v>
      </c>
      <c r="D394" t="s">
        <v>6</v>
      </c>
      <c r="E394" t="str">
        <f>IF(may[[#This Row],[ShiftCounter]]&gt;0, "Running", "Down")</f>
        <v>Running</v>
      </c>
    </row>
    <row r="395" spans="1:5" x14ac:dyDescent="0.25">
      <c r="A395" s="2">
        <v>44688</v>
      </c>
      <c r="B395" s="4" t="s">
        <v>35</v>
      </c>
      <c r="C395">
        <v>2438</v>
      </c>
      <c r="D395" t="s">
        <v>7</v>
      </c>
      <c r="E395" t="str">
        <f>IF(may[[#This Row],[ShiftCounter]]&gt;0, "Running", "Down")</f>
        <v>Running</v>
      </c>
    </row>
    <row r="396" spans="1:5" x14ac:dyDescent="0.25">
      <c r="A396" s="2">
        <v>44688</v>
      </c>
      <c r="B396" s="4" t="s">
        <v>35</v>
      </c>
      <c r="C396">
        <v>2070</v>
      </c>
      <c r="D396" t="s">
        <v>8</v>
      </c>
      <c r="E396" t="str">
        <f>IF(may[[#This Row],[ShiftCounter]]&gt;0, "Running", "Down")</f>
        <v>Running</v>
      </c>
    </row>
    <row r="397" spans="1:5" x14ac:dyDescent="0.25">
      <c r="A397" s="2">
        <v>44688</v>
      </c>
      <c r="B397" s="4" t="s">
        <v>36</v>
      </c>
      <c r="C397">
        <v>2210</v>
      </c>
      <c r="D397" t="s">
        <v>6</v>
      </c>
      <c r="E397" t="str">
        <f>IF(may[[#This Row],[ShiftCounter]]&gt;0, "Running", "Down")</f>
        <v>Running</v>
      </c>
    </row>
    <row r="398" spans="1:5" x14ac:dyDescent="0.25">
      <c r="A398" s="2">
        <v>44688</v>
      </c>
      <c r="B398" s="4" t="s">
        <v>36</v>
      </c>
      <c r="C398">
        <v>2294</v>
      </c>
      <c r="D398" t="s">
        <v>7</v>
      </c>
      <c r="E398" t="str">
        <f>IF(may[[#This Row],[ShiftCounter]]&gt;0, "Running", "Down")</f>
        <v>Running</v>
      </c>
    </row>
    <row r="399" spans="1:5" x14ac:dyDescent="0.25">
      <c r="A399" s="2">
        <v>44688</v>
      </c>
      <c r="B399" s="4" t="s">
        <v>36</v>
      </c>
      <c r="C399">
        <v>1984</v>
      </c>
      <c r="D399" t="s">
        <v>8</v>
      </c>
      <c r="E399" t="str">
        <f>IF(may[[#This Row],[ShiftCounter]]&gt;0, "Running", "Down")</f>
        <v>Running</v>
      </c>
    </row>
    <row r="400" spans="1:5" x14ac:dyDescent="0.25">
      <c r="A400" s="2">
        <v>44688</v>
      </c>
      <c r="B400" s="4" t="s">
        <v>37</v>
      </c>
      <c r="C400">
        <v>2375</v>
      </c>
      <c r="D400" t="s">
        <v>6</v>
      </c>
      <c r="E400" t="str">
        <f>IF(may[[#This Row],[ShiftCounter]]&gt;0, "Running", "Down")</f>
        <v>Running</v>
      </c>
    </row>
    <row r="401" spans="1:5" x14ac:dyDescent="0.25">
      <c r="A401" s="2">
        <v>44688</v>
      </c>
      <c r="B401" s="4" t="s">
        <v>37</v>
      </c>
      <c r="C401">
        <v>2387</v>
      </c>
      <c r="D401" t="s">
        <v>7</v>
      </c>
      <c r="E401" t="str">
        <f>IF(may[[#This Row],[ShiftCounter]]&gt;0, "Running", "Down")</f>
        <v>Running</v>
      </c>
    </row>
    <row r="402" spans="1:5" x14ac:dyDescent="0.25">
      <c r="A402" s="2">
        <v>44688</v>
      </c>
      <c r="B402" s="4" t="s">
        <v>37</v>
      </c>
      <c r="C402">
        <v>1986</v>
      </c>
      <c r="D402" t="s">
        <v>8</v>
      </c>
      <c r="E402" t="str">
        <f>IF(may[[#This Row],[ShiftCounter]]&gt;0, "Running", "Down")</f>
        <v>Running</v>
      </c>
    </row>
    <row r="403" spans="1:5" x14ac:dyDescent="0.25">
      <c r="A403" s="2">
        <v>44687</v>
      </c>
      <c r="B403" s="4" t="s">
        <v>40</v>
      </c>
      <c r="C403">
        <v>1873</v>
      </c>
      <c r="D403" t="s">
        <v>6</v>
      </c>
      <c r="E403" t="str">
        <f>IF(may[[#This Row],[ShiftCounter]]&gt;0, "Running", "Down")</f>
        <v>Running</v>
      </c>
    </row>
    <row r="404" spans="1:5" x14ac:dyDescent="0.25">
      <c r="A404" s="2">
        <v>44687</v>
      </c>
      <c r="B404" s="4" t="s">
        <v>40</v>
      </c>
      <c r="C404">
        <v>2228</v>
      </c>
      <c r="D404" t="s">
        <v>7</v>
      </c>
      <c r="E404" t="str">
        <f>IF(may[[#This Row],[ShiftCounter]]&gt;0, "Running", "Down")</f>
        <v>Running</v>
      </c>
    </row>
    <row r="405" spans="1:5" x14ac:dyDescent="0.25">
      <c r="A405" s="2">
        <v>44687</v>
      </c>
      <c r="B405" s="4" t="s">
        <v>40</v>
      </c>
      <c r="C405">
        <v>2117</v>
      </c>
      <c r="D405" t="s">
        <v>8</v>
      </c>
      <c r="E405" t="str">
        <f>IF(may[[#This Row],[ShiftCounter]]&gt;0, "Running", "Down")</f>
        <v>Running</v>
      </c>
    </row>
    <row r="406" spans="1:5" x14ac:dyDescent="0.25">
      <c r="A406" s="2">
        <v>44687</v>
      </c>
      <c r="B406" s="4" t="s">
        <v>39</v>
      </c>
      <c r="C406">
        <v>1189</v>
      </c>
      <c r="D406" t="s">
        <v>6</v>
      </c>
      <c r="E406" t="str">
        <f>IF(may[[#This Row],[ShiftCounter]]&gt;0, "Running", "Down")</f>
        <v>Running</v>
      </c>
    </row>
    <row r="407" spans="1:5" x14ac:dyDescent="0.25">
      <c r="A407" s="2">
        <v>44687</v>
      </c>
      <c r="B407" s="4" t="s">
        <v>39</v>
      </c>
      <c r="C407">
        <v>1937</v>
      </c>
      <c r="D407" t="s">
        <v>7</v>
      </c>
      <c r="E407" t="str">
        <f>IF(may[[#This Row],[ShiftCounter]]&gt;0, "Running", "Down")</f>
        <v>Running</v>
      </c>
    </row>
    <row r="408" spans="1:5" x14ac:dyDescent="0.25">
      <c r="A408" s="2">
        <v>44687</v>
      </c>
      <c r="B408" s="4" t="s">
        <v>39</v>
      </c>
      <c r="C408">
        <v>1849</v>
      </c>
      <c r="D408" t="s">
        <v>8</v>
      </c>
      <c r="E408" t="str">
        <f>IF(may[[#This Row],[ShiftCounter]]&gt;0, "Running", "Down")</f>
        <v>Running</v>
      </c>
    </row>
    <row r="409" spans="1:5" x14ac:dyDescent="0.25">
      <c r="A409" s="2">
        <v>44687</v>
      </c>
      <c r="B409" s="4" t="s">
        <v>41</v>
      </c>
      <c r="C409">
        <v>2513</v>
      </c>
      <c r="D409" t="s">
        <v>6</v>
      </c>
      <c r="E409" t="str">
        <f>IF(may[[#This Row],[ShiftCounter]]&gt;0, "Running", "Down")</f>
        <v>Running</v>
      </c>
    </row>
    <row r="410" spans="1:5" x14ac:dyDescent="0.25">
      <c r="A410" s="2">
        <v>44687</v>
      </c>
      <c r="B410" s="4" t="s">
        <v>41</v>
      </c>
      <c r="C410">
        <v>2197</v>
      </c>
      <c r="D410" t="s">
        <v>7</v>
      </c>
      <c r="E410" t="str">
        <f>IF(may[[#This Row],[ShiftCounter]]&gt;0, "Running", "Down")</f>
        <v>Running</v>
      </c>
    </row>
    <row r="411" spans="1:5" x14ac:dyDescent="0.25">
      <c r="A411" s="2">
        <v>44687</v>
      </c>
      <c r="B411" s="4" t="s">
        <v>41</v>
      </c>
      <c r="C411">
        <v>2215</v>
      </c>
      <c r="D411" t="s">
        <v>8</v>
      </c>
      <c r="E411" t="str">
        <f>IF(may[[#This Row],[ShiftCounter]]&gt;0, "Running", "Down")</f>
        <v>Running</v>
      </c>
    </row>
    <row r="412" spans="1:5" x14ac:dyDescent="0.25">
      <c r="A412" s="2">
        <v>44687</v>
      </c>
      <c r="B412" s="4" t="s">
        <v>5</v>
      </c>
      <c r="C412">
        <v>2253</v>
      </c>
      <c r="D412" t="s">
        <v>6</v>
      </c>
      <c r="E412" t="str">
        <f>IF(may[[#This Row],[ShiftCounter]]&gt;0, "Running", "Down")</f>
        <v>Running</v>
      </c>
    </row>
    <row r="413" spans="1:5" x14ac:dyDescent="0.25">
      <c r="A413" s="2">
        <v>44687</v>
      </c>
      <c r="B413" s="4" t="s">
        <v>5</v>
      </c>
      <c r="C413">
        <v>2351</v>
      </c>
      <c r="D413" t="s">
        <v>7</v>
      </c>
      <c r="E413" t="str">
        <f>IF(may[[#This Row],[ShiftCounter]]&gt;0, "Running", "Down")</f>
        <v>Running</v>
      </c>
    </row>
    <row r="414" spans="1:5" x14ac:dyDescent="0.25">
      <c r="A414" s="2">
        <v>44687</v>
      </c>
      <c r="B414" s="4" t="s">
        <v>5</v>
      </c>
      <c r="C414">
        <v>1886</v>
      </c>
      <c r="D414" t="s">
        <v>8</v>
      </c>
      <c r="E414" t="str">
        <f>IF(may[[#This Row],[ShiftCounter]]&gt;0, "Running", "Down")</f>
        <v>Running</v>
      </c>
    </row>
    <row r="415" spans="1:5" x14ac:dyDescent="0.25">
      <c r="A415" s="2">
        <v>44687</v>
      </c>
      <c r="B415" s="4" t="s">
        <v>9</v>
      </c>
      <c r="C415">
        <v>2391</v>
      </c>
      <c r="D415" t="s">
        <v>6</v>
      </c>
      <c r="E415" t="str">
        <f>IF(may[[#This Row],[ShiftCounter]]&gt;0, "Running", "Down")</f>
        <v>Running</v>
      </c>
    </row>
    <row r="416" spans="1:5" x14ac:dyDescent="0.25">
      <c r="A416" s="2">
        <v>44687</v>
      </c>
      <c r="B416" s="4" t="s">
        <v>9</v>
      </c>
      <c r="C416">
        <v>2257</v>
      </c>
      <c r="D416" t="s">
        <v>7</v>
      </c>
      <c r="E416" t="str">
        <f>IF(may[[#This Row],[ShiftCounter]]&gt;0, "Running", "Down")</f>
        <v>Running</v>
      </c>
    </row>
    <row r="417" spans="1:5" x14ac:dyDescent="0.25">
      <c r="A417" s="2">
        <v>44687</v>
      </c>
      <c r="B417" s="4" t="s">
        <v>9</v>
      </c>
      <c r="C417">
        <v>2103</v>
      </c>
      <c r="D417" t="s">
        <v>8</v>
      </c>
      <c r="E417" t="str">
        <f>IF(may[[#This Row],[ShiftCounter]]&gt;0, "Running", "Down")</f>
        <v>Running</v>
      </c>
    </row>
    <row r="418" spans="1:5" x14ac:dyDescent="0.25">
      <c r="A418" s="2">
        <v>44687</v>
      </c>
      <c r="B418" s="4" t="s">
        <v>10</v>
      </c>
      <c r="C418">
        <v>2384</v>
      </c>
      <c r="D418" t="s">
        <v>6</v>
      </c>
      <c r="E418" t="str">
        <f>IF(may[[#This Row],[ShiftCounter]]&gt;0, "Running", "Down")</f>
        <v>Running</v>
      </c>
    </row>
    <row r="419" spans="1:5" x14ac:dyDescent="0.25">
      <c r="A419" s="2">
        <v>44687</v>
      </c>
      <c r="B419" s="4" t="s">
        <v>10</v>
      </c>
      <c r="C419">
        <v>2265</v>
      </c>
      <c r="D419" t="s">
        <v>7</v>
      </c>
      <c r="E419" t="str">
        <f>IF(may[[#This Row],[ShiftCounter]]&gt;0, "Running", "Down")</f>
        <v>Running</v>
      </c>
    </row>
    <row r="420" spans="1:5" x14ac:dyDescent="0.25">
      <c r="A420" s="2">
        <v>44687</v>
      </c>
      <c r="B420" s="4" t="s">
        <v>10</v>
      </c>
      <c r="C420">
        <v>2095</v>
      </c>
      <c r="D420" t="s">
        <v>8</v>
      </c>
      <c r="E420" t="str">
        <f>IF(may[[#This Row],[ShiftCounter]]&gt;0, "Running", "Down")</f>
        <v>Running</v>
      </c>
    </row>
    <row r="421" spans="1:5" x14ac:dyDescent="0.25">
      <c r="A421" s="2">
        <v>44687</v>
      </c>
      <c r="B421" s="4" t="s">
        <v>11</v>
      </c>
      <c r="C421">
        <v>2501</v>
      </c>
      <c r="D421" t="s">
        <v>6</v>
      </c>
      <c r="E421" t="str">
        <f>IF(may[[#This Row],[ShiftCounter]]&gt;0, "Running", "Down")</f>
        <v>Running</v>
      </c>
    </row>
    <row r="422" spans="1:5" x14ac:dyDescent="0.25">
      <c r="A422" s="2">
        <v>44687</v>
      </c>
      <c r="B422" s="4" t="s">
        <v>11</v>
      </c>
      <c r="C422">
        <v>2349</v>
      </c>
      <c r="D422" t="s">
        <v>7</v>
      </c>
      <c r="E422" t="str">
        <f>IF(may[[#This Row],[ShiftCounter]]&gt;0, "Running", "Down")</f>
        <v>Running</v>
      </c>
    </row>
    <row r="423" spans="1:5" x14ac:dyDescent="0.25">
      <c r="A423" s="2">
        <v>44687</v>
      </c>
      <c r="B423" s="4" t="s">
        <v>11</v>
      </c>
      <c r="C423">
        <v>2183</v>
      </c>
      <c r="D423" t="s">
        <v>8</v>
      </c>
      <c r="E423" t="str">
        <f>IF(may[[#This Row],[ShiftCounter]]&gt;0, "Running", "Down")</f>
        <v>Running</v>
      </c>
    </row>
    <row r="424" spans="1:5" x14ac:dyDescent="0.25">
      <c r="A424" s="2">
        <v>44687</v>
      </c>
      <c r="B424" s="4" t="s">
        <v>12</v>
      </c>
      <c r="C424">
        <v>2178</v>
      </c>
      <c r="D424" t="s">
        <v>6</v>
      </c>
      <c r="E424" t="str">
        <f>IF(may[[#This Row],[ShiftCounter]]&gt;0, "Running", "Down")</f>
        <v>Running</v>
      </c>
    </row>
    <row r="425" spans="1:5" x14ac:dyDescent="0.25">
      <c r="A425" s="2">
        <v>44687</v>
      </c>
      <c r="B425" s="4" t="s">
        <v>12</v>
      </c>
      <c r="C425">
        <v>2237</v>
      </c>
      <c r="D425" t="s">
        <v>7</v>
      </c>
      <c r="E425" t="str">
        <f>IF(may[[#This Row],[ShiftCounter]]&gt;0, "Running", "Down")</f>
        <v>Running</v>
      </c>
    </row>
    <row r="426" spans="1:5" x14ac:dyDescent="0.25">
      <c r="A426" s="2">
        <v>44687</v>
      </c>
      <c r="B426" s="4" t="s">
        <v>12</v>
      </c>
      <c r="C426">
        <v>1990</v>
      </c>
      <c r="D426" t="s">
        <v>8</v>
      </c>
      <c r="E426" t="str">
        <f>IF(may[[#This Row],[ShiftCounter]]&gt;0, "Running", "Down")</f>
        <v>Running</v>
      </c>
    </row>
    <row r="427" spans="1:5" x14ac:dyDescent="0.25">
      <c r="A427" s="2">
        <v>44687</v>
      </c>
      <c r="B427" s="4" t="s">
        <v>13</v>
      </c>
      <c r="C427">
        <v>2218</v>
      </c>
      <c r="D427" t="s">
        <v>6</v>
      </c>
      <c r="E427" t="str">
        <f>IF(may[[#This Row],[ShiftCounter]]&gt;0, "Running", "Down")</f>
        <v>Running</v>
      </c>
    </row>
    <row r="428" spans="1:5" x14ac:dyDescent="0.25">
      <c r="A428" s="2">
        <v>44687</v>
      </c>
      <c r="B428" s="4" t="s">
        <v>13</v>
      </c>
      <c r="C428">
        <v>2335</v>
      </c>
      <c r="D428" t="s">
        <v>7</v>
      </c>
      <c r="E428" t="str">
        <f>IF(may[[#This Row],[ShiftCounter]]&gt;0, "Running", "Down")</f>
        <v>Running</v>
      </c>
    </row>
    <row r="429" spans="1:5" x14ac:dyDescent="0.25">
      <c r="A429" s="2">
        <v>44687</v>
      </c>
      <c r="B429" s="4" t="s">
        <v>13</v>
      </c>
      <c r="C429">
        <v>1956</v>
      </c>
      <c r="D429" t="s">
        <v>8</v>
      </c>
      <c r="E429" t="str">
        <f>IF(may[[#This Row],[ShiftCounter]]&gt;0, "Running", "Down")</f>
        <v>Running</v>
      </c>
    </row>
    <row r="430" spans="1:5" x14ac:dyDescent="0.25">
      <c r="A430" s="2">
        <v>44687</v>
      </c>
      <c r="B430" s="4" t="s">
        <v>14</v>
      </c>
      <c r="C430">
        <v>1734</v>
      </c>
      <c r="D430" t="s">
        <v>6</v>
      </c>
      <c r="E430" t="str">
        <f>IF(may[[#This Row],[ShiftCounter]]&gt;0, "Running", "Down")</f>
        <v>Running</v>
      </c>
    </row>
    <row r="431" spans="1:5" x14ac:dyDescent="0.25">
      <c r="A431" s="2">
        <v>44687</v>
      </c>
      <c r="B431" s="4" t="s">
        <v>14</v>
      </c>
      <c r="C431">
        <v>1877</v>
      </c>
      <c r="D431" t="s">
        <v>7</v>
      </c>
      <c r="E431" t="str">
        <f>IF(may[[#This Row],[ShiftCounter]]&gt;0, "Running", "Down")</f>
        <v>Running</v>
      </c>
    </row>
    <row r="432" spans="1:5" x14ac:dyDescent="0.25">
      <c r="A432" s="2">
        <v>44687</v>
      </c>
      <c r="B432" s="4" t="s">
        <v>14</v>
      </c>
      <c r="C432">
        <v>1541</v>
      </c>
      <c r="D432" t="s">
        <v>8</v>
      </c>
      <c r="E432" t="str">
        <f>IF(may[[#This Row],[ShiftCounter]]&gt;0, "Running", "Down")</f>
        <v>Running</v>
      </c>
    </row>
    <row r="433" spans="1:5" x14ac:dyDescent="0.25">
      <c r="A433" s="2">
        <v>44687</v>
      </c>
      <c r="B433" s="4" t="s">
        <v>15</v>
      </c>
      <c r="C433">
        <v>2053</v>
      </c>
      <c r="D433" t="s">
        <v>6</v>
      </c>
      <c r="E433" t="str">
        <f>IF(may[[#This Row],[ShiftCounter]]&gt;0, "Running", "Down")</f>
        <v>Running</v>
      </c>
    </row>
    <row r="434" spans="1:5" x14ac:dyDescent="0.25">
      <c r="A434" s="2">
        <v>44687</v>
      </c>
      <c r="B434" s="4" t="s">
        <v>15</v>
      </c>
      <c r="C434">
        <v>2198</v>
      </c>
      <c r="D434" t="s">
        <v>7</v>
      </c>
      <c r="E434" t="str">
        <f>IF(may[[#This Row],[ShiftCounter]]&gt;0, "Running", "Down")</f>
        <v>Running</v>
      </c>
    </row>
    <row r="435" spans="1:5" x14ac:dyDescent="0.25">
      <c r="A435" s="2">
        <v>44687</v>
      </c>
      <c r="B435" s="4" t="s">
        <v>15</v>
      </c>
      <c r="C435">
        <v>1810</v>
      </c>
      <c r="D435" t="s">
        <v>8</v>
      </c>
      <c r="E435" t="str">
        <f>IF(may[[#This Row],[ShiftCounter]]&gt;0, "Running", "Down")</f>
        <v>Running</v>
      </c>
    </row>
    <row r="436" spans="1:5" x14ac:dyDescent="0.25">
      <c r="A436" s="2">
        <v>44687</v>
      </c>
      <c r="B436" s="4" t="s">
        <v>16</v>
      </c>
      <c r="C436">
        <v>2253</v>
      </c>
      <c r="D436" t="s">
        <v>6</v>
      </c>
      <c r="E436" t="str">
        <f>IF(may[[#This Row],[ShiftCounter]]&gt;0, "Running", "Down")</f>
        <v>Running</v>
      </c>
    </row>
    <row r="437" spans="1:5" x14ac:dyDescent="0.25">
      <c r="A437" s="2">
        <v>44687</v>
      </c>
      <c r="B437" s="4" t="s">
        <v>16</v>
      </c>
      <c r="C437">
        <v>2432</v>
      </c>
      <c r="D437" t="s">
        <v>7</v>
      </c>
      <c r="E437" t="str">
        <f>IF(may[[#This Row],[ShiftCounter]]&gt;0, "Running", "Down")</f>
        <v>Running</v>
      </c>
    </row>
    <row r="438" spans="1:5" x14ac:dyDescent="0.25">
      <c r="A438" s="2">
        <v>44687</v>
      </c>
      <c r="B438" s="4" t="s">
        <v>16</v>
      </c>
      <c r="C438">
        <v>2035</v>
      </c>
      <c r="D438" t="s">
        <v>8</v>
      </c>
      <c r="E438" t="str">
        <f>IF(may[[#This Row],[ShiftCounter]]&gt;0, "Running", "Down")</f>
        <v>Running</v>
      </c>
    </row>
    <row r="439" spans="1:5" x14ac:dyDescent="0.25">
      <c r="A439" s="2">
        <v>44687</v>
      </c>
      <c r="B439" s="4" t="s">
        <v>17</v>
      </c>
      <c r="C439">
        <v>4660</v>
      </c>
      <c r="D439" t="s">
        <v>7</v>
      </c>
      <c r="E439" t="str">
        <f>IF(may[[#This Row],[ShiftCounter]]&gt;0, "Running", "Down")</f>
        <v>Running</v>
      </c>
    </row>
    <row r="440" spans="1:5" x14ac:dyDescent="0.25">
      <c r="A440" s="2">
        <v>44687</v>
      </c>
      <c r="B440" s="4" t="s">
        <v>17</v>
      </c>
      <c r="C440">
        <v>2061</v>
      </c>
      <c r="D440" t="s">
        <v>8</v>
      </c>
      <c r="E440" t="str">
        <f>IF(may[[#This Row],[ShiftCounter]]&gt;0, "Running", "Down")</f>
        <v>Running</v>
      </c>
    </row>
    <row r="441" spans="1:5" x14ac:dyDescent="0.25">
      <c r="A441" s="2">
        <v>44687</v>
      </c>
      <c r="B441" s="4" t="s">
        <v>19</v>
      </c>
      <c r="C441">
        <v>1947</v>
      </c>
      <c r="D441" t="s">
        <v>6</v>
      </c>
      <c r="E441" t="str">
        <f>IF(may[[#This Row],[ShiftCounter]]&gt;0, "Running", "Down")</f>
        <v>Running</v>
      </c>
    </row>
    <row r="442" spans="1:5" x14ac:dyDescent="0.25">
      <c r="A442" s="2">
        <v>44687</v>
      </c>
      <c r="B442" s="4" t="s">
        <v>19</v>
      </c>
      <c r="C442">
        <v>2012</v>
      </c>
      <c r="D442" t="s">
        <v>7</v>
      </c>
      <c r="E442" t="str">
        <f>IF(may[[#This Row],[ShiftCounter]]&gt;0, "Running", "Down")</f>
        <v>Running</v>
      </c>
    </row>
    <row r="443" spans="1:5" x14ac:dyDescent="0.25">
      <c r="A443" s="2">
        <v>44687</v>
      </c>
      <c r="B443" s="4" t="s">
        <v>19</v>
      </c>
      <c r="C443">
        <v>1730</v>
      </c>
      <c r="D443" t="s">
        <v>8</v>
      </c>
      <c r="E443" t="str">
        <f>IF(may[[#This Row],[ShiftCounter]]&gt;0, "Running", "Down")</f>
        <v>Running</v>
      </c>
    </row>
    <row r="444" spans="1:5" x14ac:dyDescent="0.25">
      <c r="A444" s="2">
        <v>44687</v>
      </c>
      <c r="B444" s="4" t="s">
        <v>18</v>
      </c>
      <c r="C444">
        <v>2304</v>
      </c>
      <c r="D444" t="s">
        <v>6</v>
      </c>
      <c r="E444" t="str">
        <f>IF(may[[#This Row],[ShiftCounter]]&gt;0, "Running", "Down")</f>
        <v>Running</v>
      </c>
    </row>
    <row r="445" spans="1:5" x14ac:dyDescent="0.25">
      <c r="A445" s="2">
        <v>44687</v>
      </c>
      <c r="B445" s="4" t="s">
        <v>18</v>
      </c>
      <c r="C445">
        <v>2345</v>
      </c>
      <c r="D445" t="s">
        <v>7</v>
      </c>
      <c r="E445" t="str">
        <f>IF(may[[#This Row],[ShiftCounter]]&gt;0, "Running", "Down")</f>
        <v>Running</v>
      </c>
    </row>
    <row r="446" spans="1:5" x14ac:dyDescent="0.25">
      <c r="A446" s="2">
        <v>44687</v>
      </c>
      <c r="B446" s="4" t="s">
        <v>18</v>
      </c>
      <c r="C446">
        <v>1890</v>
      </c>
      <c r="D446" t="s">
        <v>8</v>
      </c>
      <c r="E446" t="str">
        <f>IF(may[[#This Row],[ShiftCounter]]&gt;0, "Running", "Down")</f>
        <v>Running</v>
      </c>
    </row>
    <row r="447" spans="1:5" x14ac:dyDescent="0.25">
      <c r="A447" s="2">
        <v>44687</v>
      </c>
      <c r="B447" s="4" t="s">
        <v>42</v>
      </c>
      <c r="C447">
        <v>0</v>
      </c>
      <c r="D447" t="s">
        <v>8</v>
      </c>
      <c r="E447" t="str">
        <f>IF(may[[#This Row],[ShiftCounter]]&gt;0, "Running", "Down")</f>
        <v>Down</v>
      </c>
    </row>
    <row r="448" spans="1:5" x14ac:dyDescent="0.25">
      <c r="A448" s="2">
        <v>44687</v>
      </c>
      <c r="B448" s="4" t="s">
        <v>38</v>
      </c>
      <c r="C448">
        <v>1987</v>
      </c>
      <c r="D448" t="s">
        <v>6</v>
      </c>
      <c r="E448" t="str">
        <f>IF(may[[#This Row],[ShiftCounter]]&gt;0, "Running", "Down")</f>
        <v>Running</v>
      </c>
    </row>
    <row r="449" spans="1:5" x14ac:dyDescent="0.25">
      <c r="A449" s="2">
        <v>44687</v>
      </c>
      <c r="B449" s="4" t="s">
        <v>38</v>
      </c>
      <c r="C449">
        <v>2127</v>
      </c>
      <c r="D449" t="s">
        <v>7</v>
      </c>
      <c r="E449" t="str">
        <f>IF(may[[#This Row],[ShiftCounter]]&gt;0, "Running", "Down")</f>
        <v>Running</v>
      </c>
    </row>
    <row r="450" spans="1:5" x14ac:dyDescent="0.25">
      <c r="A450" s="2">
        <v>44687</v>
      </c>
      <c r="B450" s="4" t="s">
        <v>38</v>
      </c>
      <c r="C450">
        <v>1878</v>
      </c>
      <c r="D450" t="s">
        <v>8</v>
      </c>
      <c r="E450" t="str">
        <f>IF(may[[#This Row],[ShiftCounter]]&gt;0, "Running", "Down")</f>
        <v>Running</v>
      </c>
    </row>
    <row r="451" spans="1:5" x14ac:dyDescent="0.25">
      <c r="A451" s="2">
        <v>44687</v>
      </c>
      <c r="B451" s="4" t="s">
        <v>20</v>
      </c>
      <c r="C451">
        <v>2111</v>
      </c>
      <c r="D451" t="s">
        <v>6</v>
      </c>
      <c r="E451" t="str">
        <f>IF(may[[#This Row],[ShiftCounter]]&gt;0, "Running", "Down")</f>
        <v>Running</v>
      </c>
    </row>
    <row r="452" spans="1:5" x14ac:dyDescent="0.25">
      <c r="A452" s="2">
        <v>44687</v>
      </c>
      <c r="B452" s="4" t="s">
        <v>20</v>
      </c>
      <c r="C452">
        <v>2147</v>
      </c>
      <c r="D452" t="s">
        <v>7</v>
      </c>
      <c r="E452" t="str">
        <f>IF(may[[#This Row],[ShiftCounter]]&gt;0, "Running", "Down")</f>
        <v>Running</v>
      </c>
    </row>
    <row r="453" spans="1:5" x14ac:dyDescent="0.25">
      <c r="A453" s="2">
        <v>44687</v>
      </c>
      <c r="B453" s="4" t="s">
        <v>20</v>
      </c>
      <c r="C453">
        <v>1888</v>
      </c>
      <c r="D453" t="s">
        <v>8</v>
      </c>
      <c r="E453" t="str">
        <f>IF(may[[#This Row],[ShiftCounter]]&gt;0, "Running", "Down")</f>
        <v>Running</v>
      </c>
    </row>
    <row r="454" spans="1:5" x14ac:dyDescent="0.25">
      <c r="A454" s="2">
        <v>44687</v>
      </c>
      <c r="B454" s="4" t="s">
        <v>21</v>
      </c>
      <c r="C454">
        <v>1978</v>
      </c>
      <c r="D454" t="s">
        <v>6</v>
      </c>
      <c r="E454" t="str">
        <f>IF(may[[#This Row],[ShiftCounter]]&gt;0, "Running", "Down")</f>
        <v>Running</v>
      </c>
    </row>
    <row r="455" spans="1:5" x14ac:dyDescent="0.25">
      <c r="A455" s="2">
        <v>44687</v>
      </c>
      <c r="B455" s="4" t="s">
        <v>21</v>
      </c>
      <c r="C455">
        <v>2063</v>
      </c>
      <c r="D455" t="s">
        <v>7</v>
      </c>
      <c r="E455" t="str">
        <f>IF(may[[#This Row],[ShiftCounter]]&gt;0, "Running", "Down")</f>
        <v>Running</v>
      </c>
    </row>
    <row r="456" spans="1:5" x14ac:dyDescent="0.25">
      <c r="A456" s="2">
        <v>44687</v>
      </c>
      <c r="B456" s="4" t="s">
        <v>21</v>
      </c>
      <c r="C456">
        <v>1840</v>
      </c>
      <c r="D456" t="s">
        <v>8</v>
      </c>
      <c r="E456" t="str">
        <f>IF(may[[#This Row],[ShiftCounter]]&gt;0, "Running", "Down")</f>
        <v>Running</v>
      </c>
    </row>
    <row r="457" spans="1:5" x14ac:dyDescent="0.25">
      <c r="A457" s="2">
        <v>44687</v>
      </c>
      <c r="B457" s="4" t="s">
        <v>22</v>
      </c>
      <c r="C457">
        <v>2184</v>
      </c>
      <c r="D457" t="s">
        <v>6</v>
      </c>
      <c r="E457" t="str">
        <f>IF(may[[#This Row],[ShiftCounter]]&gt;0, "Running", "Down")</f>
        <v>Running</v>
      </c>
    </row>
    <row r="458" spans="1:5" x14ac:dyDescent="0.25">
      <c r="A458" s="2">
        <v>44687</v>
      </c>
      <c r="B458" s="4" t="s">
        <v>22</v>
      </c>
      <c r="C458">
        <v>2195</v>
      </c>
      <c r="D458" t="s">
        <v>7</v>
      </c>
      <c r="E458" t="str">
        <f>IF(may[[#This Row],[ShiftCounter]]&gt;0, "Running", "Down")</f>
        <v>Running</v>
      </c>
    </row>
    <row r="459" spans="1:5" x14ac:dyDescent="0.25">
      <c r="A459" s="2">
        <v>44687</v>
      </c>
      <c r="B459" s="4" t="s">
        <v>22</v>
      </c>
      <c r="C459">
        <v>1985</v>
      </c>
      <c r="D459" t="s">
        <v>8</v>
      </c>
      <c r="E459" t="str">
        <f>IF(may[[#This Row],[ShiftCounter]]&gt;0, "Running", "Down")</f>
        <v>Running</v>
      </c>
    </row>
    <row r="460" spans="1:5" x14ac:dyDescent="0.25">
      <c r="A460" s="2">
        <v>44687</v>
      </c>
      <c r="B460" s="4" t="s">
        <v>23</v>
      </c>
      <c r="C460">
        <v>2216</v>
      </c>
      <c r="D460" t="s">
        <v>6</v>
      </c>
      <c r="E460" t="str">
        <f>IF(may[[#This Row],[ShiftCounter]]&gt;0, "Running", "Down")</f>
        <v>Running</v>
      </c>
    </row>
    <row r="461" spans="1:5" x14ac:dyDescent="0.25">
      <c r="A461" s="2">
        <v>44687</v>
      </c>
      <c r="B461" s="4" t="s">
        <v>23</v>
      </c>
      <c r="C461">
        <v>2296</v>
      </c>
      <c r="D461" t="s">
        <v>7</v>
      </c>
      <c r="E461" t="str">
        <f>IF(may[[#This Row],[ShiftCounter]]&gt;0, "Running", "Down")</f>
        <v>Running</v>
      </c>
    </row>
    <row r="462" spans="1:5" x14ac:dyDescent="0.25">
      <c r="A462" s="2">
        <v>44687</v>
      </c>
      <c r="B462" s="4" t="s">
        <v>23</v>
      </c>
      <c r="C462">
        <v>2068</v>
      </c>
      <c r="D462" t="s">
        <v>8</v>
      </c>
      <c r="E462" t="str">
        <f>IF(may[[#This Row],[ShiftCounter]]&gt;0, "Running", "Down")</f>
        <v>Running</v>
      </c>
    </row>
    <row r="463" spans="1:5" x14ac:dyDescent="0.25">
      <c r="A463" s="2">
        <v>44687</v>
      </c>
      <c r="B463" s="4" t="s">
        <v>24</v>
      </c>
      <c r="C463">
        <v>2097</v>
      </c>
      <c r="D463" t="s">
        <v>6</v>
      </c>
      <c r="E463" t="str">
        <f>IF(may[[#This Row],[ShiftCounter]]&gt;0, "Running", "Down")</f>
        <v>Running</v>
      </c>
    </row>
    <row r="464" spans="1:5" x14ac:dyDescent="0.25">
      <c r="A464" s="2">
        <v>44687</v>
      </c>
      <c r="B464" s="4" t="s">
        <v>24</v>
      </c>
      <c r="C464">
        <v>2080</v>
      </c>
      <c r="D464" t="s">
        <v>7</v>
      </c>
      <c r="E464" t="str">
        <f>IF(may[[#This Row],[ShiftCounter]]&gt;0, "Running", "Down")</f>
        <v>Running</v>
      </c>
    </row>
    <row r="465" spans="1:5" x14ac:dyDescent="0.25">
      <c r="A465" s="2">
        <v>44687</v>
      </c>
      <c r="B465" s="4" t="s">
        <v>24</v>
      </c>
      <c r="C465">
        <v>1855</v>
      </c>
      <c r="D465" t="s">
        <v>8</v>
      </c>
      <c r="E465" t="str">
        <f>IF(may[[#This Row],[ShiftCounter]]&gt;0, "Running", "Down")</f>
        <v>Running</v>
      </c>
    </row>
    <row r="466" spans="1:5" x14ac:dyDescent="0.25">
      <c r="A466" s="2">
        <v>44687</v>
      </c>
      <c r="B466" s="4" t="s">
        <v>25</v>
      </c>
      <c r="C466">
        <v>2315</v>
      </c>
      <c r="D466" t="s">
        <v>6</v>
      </c>
      <c r="E466" t="str">
        <f>IF(may[[#This Row],[ShiftCounter]]&gt;0, "Running", "Down")</f>
        <v>Running</v>
      </c>
    </row>
    <row r="467" spans="1:5" x14ac:dyDescent="0.25">
      <c r="A467" s="2">
        <v>44687</v>
      </c>
      <c r="B467" s="4" t="s">
        <v>25</v>
      </c>
      <c r="C467">
        <v>2233</v>
      </c>
      <c r="D467" t="s">
        <v>7</v>
      </c>
      <c r="E467" t="str">
        <f>IF(may[[#This Row],[ShiftCounter]]&gt;0, "Running", "Down")</f>
        <v>Running</v>
      </c>
    </row>
    <row r="468" spans="1:5" x14ac:dyDescent="0.25">
      <c r="A468" s="2">
        <v>44687</v>
      </c>
      <c r="B468" s="4" t="s">
        <v>25</v>
      </c>
      <c r="C468">
        <v>1958</v>
      </c>
      <c r="D468" t="s">
        <v>8</v>
      </c>
      <c r="E468" t="str">
        <f>IF(may[[#This Row],[ShiftCounter]]&gt;0, "Running", "Down")</f>
        <v>Running</v>
      </c>
    </row>
    <row r="469" spans="1:5" x14ac:dyDescent="0.25">
      <c r="A469" s="2">
        <v>44687</v>
      </c>
      <c r="B469" s="4" t="s">
        <v>26</v>
      </c>
      <c r="C469">
        <v>2184</v>
      </c>
      <c r="D469" t="s">
        <v>6</v>
      </c>
      <c r="E469" t="str">
        <f>IF(may[[#This Row],[ShiftCounter]]&gt;0, "Running", "Down")</f>
        <v>Running</v>
      </c>
    </row>
    <row r="470" spans="1:5" x14ac:dyDescent="0.25">
      <c r="A470" s="2">
        <v>44687</v>
      </c>
      <c r="B470" s="4" t="s">
        <v>26</v>
      </c>
      <c r="C470">
        <v>2118</v>
      </c>
      <c r="D470" t="s">
        <v>7</v>
      </c>
      <c r="E470" t="str">
        <f>IF(may[[#This Row],[ShiftCounter]]&gt;0, "Running", "Down")</f>
        <v>Running</v>
      </c>
    </row>
    <row r="471" spans="1:5" x14ac:dyDescent="0.25">
      <c r="A471" s="2">
        <v>44687</v>
      </c>
      <c r="B471" s="4" t="s">
        <v>26</v>
      </c>
      <c r="C471">
        <v>1983</v>
      </c>
      <c r="D471" t="s">
        <v>8</v>
      </c>
      <c r="E471" t="str">
        <f>IF(may[[#This Row],[ShiftCounter]]&gt;0, "Running", "Down")</f>
        <v>Running</v>
      </c>
    </row>
    <row r="472" spans="1:5" x14ac:dyDescent="0.25">
      <c r="A472" s="2">
        <v>44687</v>
      </c>
      <c r="B472" s="4" t="s">
        <v>27</v>
      </c>
      <c r="C472">
        <v>2285</v>
      </c>
      <c r="D472" t="s">
        <v>6</v>
      </c>
      <c r="E472" t="str">
        <f>IF(may[[#This Row],[ShiftCounter]]&gt;0, "Running", "Down")</f>
        <v>Running</v>
      </c>
    </row>
    <row r="473" spans="1:5" x14ac:dyDescent="0.25">
      <c r="A473" s="2">
        <v>44687</v>
      </c>
      <c r="B473" s="4" t="s">
        <v>27</v>
      </c>
      <c r="C473">
        <v>2212</v>
      </c>
      <c r="D473" t="s">
        <v>7</v>
      </c>
      <c r="E473" t="str">
        <f>IF(may[[#This Row],[ShiftCounter]]&gt;0, "Running", "Down")</f>
        <v>Running</v>
      </c>
    </row>
    <row r="474" spans="1:5" x14ac:dyDescent="0.25">
      <c r="A474" s="2">
        <v>44687</v>
      </c>
      <c r="B474" s="4" t="s">
        <v>27</v>
      </c>
      <c r="C474">
        <v>2098</v>
      </c>
      <c r="D474" t="s">
        <v>8</v>
      </c>
      <c r="E474" t="str">
        <f>IF(may[[#This Row],[ShiftCounter]]&gt;0, "Running", "Down")</f>
        <v>Running</v>
      </c>
    </row>
    <row r="475" spans="1:5" x14ac:dyDescent="0.25">
      <c r="A475" s="2">
        <v>44687</v>
      </c>
      <c r="B475" s="4" t="s">
        <v>28</v>
      </c>
      <c r="C475">
        <v>2315</v>
      </c>
      <c r="D475" t="s">
        <v>6</v>
      </c>
      <c r="E475" t="str">
        <f>IF(may[[#This Row],[ShiftCounter]]&gt;0, "Running", "Down")</f>
        <v>Running</v>
      </c>
    </row>
    <row r="476" spans="1:5" x14ac:dyDescent="0.25">
      <c r="A476" s="2">
        <v>44687</v>
      </c>
      <c r="B476" s="4" t="s">
        <v>28</v>
      </c>
      <c r="C476">
        <v>2008</v>
      </c>
      <c r="D476" t="s">
        <v>7</v>
      </c>
      <c r="E476" t="str">
        <f>IF(may[[#This Row],[ShiftCounter]]&gt;0, "Running", "Down")</f>
        <v>Running</v>
      </c>
    </row>
    <row r="477" spans="1:5" x14ac:dyDescent="0.25">
      <c r="A477" s="2">
        <v>44687</v>
      </c>
      <c r="B477" s="4" t="s">
        <v>28</v>
      </c>
      <c r="C477">
        <v>1953</v>
      </c>
      <c r="D477" t="s">
        <v>8</v>
      </c>
      <c r="E477" t="str">
        <f>IF(may[[#This Row],[ShiftCounter]]&gt;0, "Running", "Down")</f>
        <v>Running</v>
      </c>
    </row>
    <row r="478" spans="1:5" x14ac:dyDescent="0.25">
      <c r="A478" s="2">
        <v>44687</v>
      </c>
      <c r="B478" s="4" t="s">
        <v>29</v>
      </c>
      <c r="C478">
        <v>2210</v>
      </c>
      <c r="D478" t="s">
        <v>6</v>
      </c>
      <c r="E478" t="str">
        <f>IF(may[[#This Row],[ShiftCounter]]&gt;0, "Running", "Down")</f>
        <v>Running</v>
      </c>
    </row>
    <row r="479" spans="1:5" x14ac:dyDescent="0.25">
      <c r="A479" s="2">
        <v>44687</v>
      </c>
      <c r="B479" s="4" t="s">
        <v>29</v>
      </c>
      <c r="C479">
        <v>1930</v>
      </c>
      <c r="D479" t="s">
        <v>7</v>
      </c>
      <c r="E479" t="str">
        <f>IF(may[[#This Row],[ShiftCounter]]&gt;0, "Running", "Down")</f>
        <v>Running</v>
      </c>
    </row>
    <row r="480" spans="1:5" x14ac:dyDescent="0.25">
      <c r="A480" s="2">
        <v>44687</v>
      </c>
      <c r="B480" s="4" t="s">
        <v>29</v>
      </c>
      <c r="C480">
        <v>1863</v>
      </c>
      <c r="D480" t="s">
        <v>8</v>
      </c>
      <c r="E480" t="str">
        <f>IF(may[[#This Row],[ShiftCounter]]&gt;0, "Running", "Down")</f>
        <v>Running</v>
      </c>
    </row>
    <row r="481" spans="1:5" x14ac:dyDescent="0.25">
      <c r="A481" s="2">
        <v>44687</v>
      </c>
      <c r="B481" s="4" t="s">
        <v>30</v>
      </c>
      <c r="C481">
        <v>2094</v>
      </c>
      <c r="D481" t="s">
        <v>6</v>
      </c>
      <c r="E481" t="str">
        <f>IF(may[[#This Row],[ShiftCounter]]&gt;0, "Running", "Down")</f>
        <v>Running</v>
      </c>
    </row>
    <row r="482" spans="1:5" x14ac:dyDescent="0.25">
      <c r="A482" s="2">
        <v>44687</v>
      </c>
      <c r="B482" s="4" t="s">
        <v>30</v>
      </c>
      <c r="C482">
        <v>2174</v>
      </c>
      <c r="D482" t="s">
        <v>7</v>
      </c>
      <c r="E482" t="str">
        <f>IF(may[[#This Row],[ShiftCounter]]&gt;0, "Running", "Down")</f>
        <v>Running</v>
      </c>
    </row>
    <row r="483" spans="1:5" x14ac:dyDescent="0.25">
      <c r="A483" s="2">
        <v>44687</v>
      </c>
      <c r="B483" s="4" t="s">
        <v>30</v>
      </c>
      <c r="C483">
        <v>2033</v>
      </c>
      <c r="D483" t="s">
        <v>8</v>
      </c>
      <c r="E483" t="str">
        <f>IF(may[[#This Row],[ShiftCounter]]&gt;0, "Running", "Down")</f>
        <v>Running</v>
      </c>
    </row>
    <row r="484" spans="1:5" x14ac:dyDescent="0.25">
      <c r="A484" s="2">
        <v>44687</v>
      </c>
      <c r="B484" s="4" t="s">
        <v>31</v>
      </c>
      <c r="C484">
        <v>2144</v>
      </c>
      <c r="D484" t="s">
        <v>6</v>
      </c>
      <c r="E484" t="str">
        <f>IF(may[[#This Row],[ShiftCounter]]&gt;0, "Running", "Down")</f>
        <v>Running</v>
      </c>
    </row>
    <row r="485" spans="1:5" x14ac:dyDescent="0.25">
      <c r="A485" s="2">
        <v>44687</v>
      </c>
      <c r="B485" s="4" t="s">
        <v>31</v>
      </c>
      <c r="C485">
        <v>2015</v>
      </c>
      <c r="D485" t="s">
        <v>7</v>
      </c>
      <c r="E485" t="str">
        <f>IF(may[[#This Row],[ShiftCounter]]&gt;0, "Running", "Down")</f>
        <v>Running</v>
      </c>
    </row>
    <row r="486" spans="1:5" x14ac:dyDescent="0.25">
      <c r="A486" s="2">
        <v>44687</v>
      </c>
      <c r="B486" s="4" t="s">
        <v>31</v>
      </c>
      <c r="C486">
        <v>1951</v>
      </c>
      <c r="D486" t="s">
        <v>8</v>
      </c>
      <c r="E486" t="str">
        <f>IF(may[[#This Row],[ShiftCounter]]&gt;0, "Running", "Down")</f>
        <v>Running</v>
      </c>
    </row>
    <row r="487" spans="1:5" x14ac:dyDescent="0.25">
      <c r="A487" s="2">
        <v>44687</v>
      </c>
      <c r="B487" s="4" t="s">
        <v>32</v>
      </c>
      <c r="C487">
        <v>2346</v>
      </c>
      <c r="D487" t="s">
        <v>6</v>
      </c>
      <c r="E487" t="str">
        <f>IF(may[[#This Row],[ShiftCounter]]&gt;0, "Running", "Down")</f>
        <v>Running</v>
      </c>
    </row>
    <row r="488" spans="1:5" x14ac:dyDescent="0.25">
      <c r="A488" s="2">
        <v>44687</v>
      </c>
      <c r="B488" s="4" t="s">
        <v>32</v>
      </c>
      <c r="C488">
        <v>2265</v>
      </c>
      <c r="D488" t="s">
        <v>7</v>
      </c>
      <c r="E488" t="str">
        <f>IF(may[[#This Row],[ShiftCounter]]&gt;0, "Running", "Down")</f>
        <v>Running</v>
      </c>
    </row>
    <row r="489" spans="1:5" x14ac:dyDescent="0.25">
      <c r="A489" s="2">
        <v>44687</v>
      </c>
      <c r="B489" s="4" t="s">
        <v>32</v>
      </c>
      <c r="C489">
        <v>1708</v>
      </c>
      <c r="D489" t="s">
        <v>8</v>
      </c>
      <c r="E489" t="str">
        <f>IF(may[[#This Row],[ShiftCounter]]&gt;0, "Running", "Down")</f>
        <v>Running</v>
      </c>
    </row>
    <row r="490" spans="1:5" x14ac:dyDescent="0.25">
      <c r="A490" s="2">
        <v>44687</v>
      </c>
      <c r="B490" s="4" t="s">
        <v>33</v>
      </c>
      <c r="C490">
        <v>2356</v>
      </c>
      <c r="D490" t="s">
        <v>6</v>
      </c>
      <c r="E490" t="str">
        <f>IF(may[[#This Row],[ShiftCounter]]&gt;0, "Running", "Down")</f>
        <v>Running</v>
      </c>
    </row>
    <row r="491" spans="1:5" x14ac:dyDescent="0.25">
      <c r="A491" s="2">
        <v>44687</v>
      </c>
      <c r="B491" s="4" t="s">
        <v>33</v>
      </c>
      <c r="C491">
        <v>2301</v>
      </c>
      <c r="D491" t="s">
        <v>7</v>
      </c>
      <c r="E491" t="str">
        <f>IF(may[[#This Row],[ShiftCounter]]&gt;0, "Running", "Down")</f>
        <v>Running</v>
      </c>
    </row>
    <row r="492" spans="1:5" x14ac:dyDescent="0.25">
      <c r="A492" s="2">
        <v>44687</v>
      </c>
      <c r="B492" s="4" t="s">
        <v>33</v>
      </c>
      <c r="C492">
        <v>2155</v>
      </c>
      <c r="D492" t="s">
        <v>8</v>
      </c>
      <c r="E492" t="str">
        <f>IF(may[[#This Row],[ShiftCounter]]&gt;0, "Running", "Down")</f>
        <v>Running</v>
      </c>
    </row>
    <row r="493" spans="1:5" x14ac:dyDescent="0.25">
      <c r="A493" s="2">
        <v>44687</v>
      </c>
      <c r="B493" s="4" t="s">
        <v>34</v>
      </c>
      <c r="C493">
        <v>2023</v>
      </c>
      <c r="D493" t="s">
        <v>6</v>
      </c>
      <c r="E493" t="str">
        <f>IF(may[[#This Row],[ShiftCounter]]&gt;0, "Running", "Down")</f>
        <v>Running</v>
      </c>
    </row>
    <row r="494" spans="1:5" x14ac:dyDescent="0.25">
      <c r="A494" s="2">
        <v>44687</v>
      </c>
      <c r="B494" s="4" t="s">
        <v>34</v>
      </c>
      <c r="C494">
        <v>1982</v>
      </c>
      <c r="D494" t="s">
        <v>7</v>
      </c>
      <c r="E494" t="str">
        <f>IF(may[[#This Row],[ShiftCounter]]&gt;0, "Running", "Down")</f>
        <v>Running</v>
      </c>
    </row>
    <row r="495" spans="1:5" x14ac:dyDescent="0.25">
      <c r="A495" s="2">
        <v>44687</v>
      </c>
      <c r="B495" s="4" t="s">
        <v>34</v>
      </c>
      <c r="C495">
        <v>1852</v>
      </c>
      <c r="D495" t="s">
        <v>8</v>
      </c>
      <c r="E495" t="str">
        <f>IF(may[[#This Row],[ShiftCounter]]&gt;0, "Running", "Down")</f>
        <v>Running</v>
      </c>
    </row>
    <row r="496" spans="1:5" x14ac:dyDescent="0.25">
      <c r="A496" s="2">
        <v>44687</v>
      </c>
      <c r="B496" s="4" t="s">
        <v>35</v>
      </c>
      <c r="C496">
        <v>1740</v>
      </c>
      <c r="D496" t="s">
        <v>6</v>
      </c>
      <c r="E496" t="str">
        <f>IF(may[[#This Row],[ShiftCounter]]&gt;0, "Running", "Down")</f>
        <v>Running</v>
      </c>
    </row>
    <row r="497" spans="1:5" x14ac:dyDescent="0.25">
      <c r="A497" s="2">
        <v>44687</v>
      </c>
      <c r="B497" s="4" t="s">
        <v>35</v>
      </c>
      <c r="C497">
        <v>2430</v>
      </c>
      <c r="D497" t="s">
        <v>7</v>
      </c>
      <c r="E497" t="str">
        <f>IF(may[[#This Row],[ShiftCounter]]&gt;0, "Running", "Down")</f>
        <v>Running</v>
      </c>
    </row>
    <row r="498" spans="1:5" x14ac:dyDescent="0.25">
      <c r="A498" s="2">
        <v>44687</v>
      </c>
      <c r="B498" s="4" t="s">
        <v>35</v>
      </c>
      <c r="C498">
        <v>2304</v>
      </c>
      <c r="D498" t="s">
        <v>8</v>
      </c>
      <c r="E498" t="str">
        <f>IF(may[[#This Row],[ShiftCounter]]&gt;0, "Running", "Down")</f>
        <v>Running</v>
      </c>
    </row>
    <row r="499" spans="1:5" x14ac:dyDescent="0.25">
      <c r="A499" s="2">
        <v>44687</v>
      </c>
      <c r="B499" s="4" t="s">
        <v>36</v>
      </c>
      <c r="C499">
        <v>2251</v>
      </c>
      <c r="D499" t="s">
        <v>6</v>
      </c>
      <c r="E499" t="str">
        <f>IF(may[[#This Row],[ShiftCounter]]&gt;0, "Running", "Down")</f>
        <v>Running</v>
      </c>
    </row>
    <row r="500" spans="1:5" x14ac:dyDescent="0.25">
      <c r="A500" s="2">
        <v>44687</v>
      </c>
      <c r="B500" s="4" t="s">
        <v>36</v>
      </c>
      <c r="C500">
        <v>2247</v>
      </c>
      <c r="D500" t="s">
        <v>7</v>
      </c>
      <c r="E500" t="str">
        <f>IF(may[[#This Row],[ShiftCounter]]&gt;0, "Running", "Down")</f>
        <v>Running</v>
      </c>
    </row>
    <row r="501" spans="1:5" x14ac:dyDescent="0.25">
      <c r="A501" s="2">
        <v>44687</v>
      </c>
      <c r="B501" s="4" t="s">
        <v>36</v>
      </c>
      <c r="C501">
        <v>2137</v>
      </c>
      <c r="D501" t="s">
        <v>8</v>
      </c>
      <c r="E501" t="str">
        <f>IF(may[[#This Row],[ShiftCounter]]&gt;0, "Running", "Down")</f>
        <v>Running</v>
      </c>
    </row>
    <row r="502" spans="1:5" x14ac:dyDescent="0.25">
      <c r="A502" s="2">
        <v>44687</v>
      </c>
      <c r="B502" s="4" t="s">
        <v>37</v>
      </c>
      <c r="C502">
        <v>2107</v>
      </c>
      <c r="D502" t="s">
        <v>6</v>
      </c>
      <c r="E502" t="str">
        <f>IF(may[[#This Row],[ShiftCounter]]&gt;0, "Running", "Down")</f>
        <v>Running</v>
      </c>
    </row>
    <row r="503" spans="1:5" x14ac:dyDescent="0.25">
      <c r="A503" s="2">
        <v>44687</v>
      </c>
      <c r="B503" s="4" t="s">
        <v>37</v>
      </c>
      <c r="C503">
        <v>2129</v>
      </c>
      <c r="D503" t="s">
        <v>7</v>
      </c>
      <c r="E503" t="str">
        <f>IF(may[[#This Row],[ShiftCounter]]&gt;0, "Running", "Down")</f>
        <v>Running</v>
      </c>
    </row>
    <row r="504" spans="1:5" x14ac:dyDescent="0.25">
      <c r="A504" s="2">
        <v>44687</v>
      </c>
      <c r="B504" s="4" t="s">
        <v>37</v>
      </c>
      <c r="C504">
        <v>2158</v>
      </c>
      <c r="D504" t="s">
        <v>8</v>
      </c>
      <c r="E504" t="str">
        <f>IF(may[[#This Row],[ShiftCounter]]&gt;0, "Running", "Down")</f>
        <v>Running</v>
      </c>
    </row>
    <row r="505" spans="1:5" x14ac:dyDescent="0.25">
      <c r="A505" s="2">
        <v>44685</v>
      </c>
      <c r="B505" s="4" t="s">
        <v>20</v>
      </c>
      <c r="C505">
        <v>1952</v>
      </c>
      <c r="D505" t="s">
        <v>6</v>
      </c>
      <c r="E505" t="str">
        <f>IF(may[[#This Row],[ShiftCounter]]&gt;0, "Running", "Down")</f>
        <v>Running</v>
      </c>
    </row>
    <row r="506" spans="1:5" x14ac:dyDescent="0.25">
      <c r="A506" s="2">
        <v>44685</v>
      </c>
      <c r="B506" s="4" t="s">
        <v>20</v>
      </c>
      <c r="C506">
        <v>2110</v>
      </c>
      <c r="D506" t="s">
        <v>7</v>
      </c>
      <c r="E506" t="str">
        <f>IF(may[[#This Row],[ShiftCounter]]&gt;0, "Running", "Down")</f>
        <v>Running</v>
      </c>
    </row>
    <row r="507" spans="1:5" x14ac:dyDescent="0.25">
      <c r="A507" s="2">
        <v>44685</v>
      </c>
      <c r="B507" s="4" t="s">
        <v>20</v>
      </c>
      <c r="C507">
        <v>4171</v>
      </c>
      <c r="D507" t="s">
        <v>8</v>
      </c>
      <c r="E507" t="str">
        <f>IF(may[[#This Row],[ShiftCounter]]&gt;0, "Running", "Down")</f>
        <v>Running</v>
      </c>
    </row>
    <row r="508" spans="1:5" x14ac:dyDescent="0.25">
      <c r="A508" s="2">
        <v>44685</v>
      </c>
      <c r="B508" s="4" t="s">
        <v>21</v>
      </c>
      <c r="C508">
        <v>2158</v>
      </c>
      <c r="D508" t="s">
        <v>6</v>
      </c>
      <c r="E508" t="str">
        <f>IF(may[[#This Row],[ShiftCounter]]&gt;0, "Running", "Down")</f>
        <v>Running</v>
      </c>
    </row>
    <row r="509" spans="1:5" x14ac:dyDescent="0.25">
      <c r="A509" s="2">
        <v>44685</v>
      </c>
      <c r="B509" s="4" t="s">
        <v>21</v>
      </c>
      <c r="C509">
        <v>2198</v>
      </c>
      <c r="D509" t="s">
        <v>7</v>
      </c>
      <c r="E509" t="str">
        <f>IF(may[[#This Row],[ShiftCounter]]&gt;0, "Running", "Down")</f>
        <v>Running</v>
      </c>
    </row>
    <row r="510" spans="1:5" x14ac:dyDescent="0.25">
      <c r="A510" s="2">
        <v>44685</v>
      </c>
      <c r="B510" s="4" t="s">
        <v>21</v>
      </c>
      <c r="C510">
        <v>1893</v>
      </c>
      <c r="D510" t="s">
        <v>8</v>
      </c>
      <c r="E510" t="str">
        <f>IF(may[[#This Row],[ShiftCounter]]&gt;0, "Running", "Down")</f>
        <v>Running</v>
      </c>
    </row>
    <row r="511" spans="1:5" x14ac:dyDescent="0.25">
      <c r="A511" s="2">
        <v>44685</v>
      </c>
      <c r="B511" s="4" t="s">
        <v>22</v>
      </c>
      <c r="C511">
        <v>2319</v>
      </c>
      <c r="D511" t="s">
        <v>6</v>
      </c>
      <c r="E511" t="str">
        <f>IF(may[[#This Row],[ShiftCounter]]&gt;0, "Running", "Down")</f>
        <v>Running</v>
      </c>
    </row>
    <row r="512" spans="1:5" x14ac:dyDescent="0.25">
      <c r="A512" s="2">
        <v>44685</v>
      </c>
      <c r="B512" s="4" t="s">
        <v>22</v>
      </c>
      <c r="C512">
        <v>2436</v>
      </c>
      <c r="D512" t="s">
        <v>7</v>
      </c>
      <c r="E512" t="str">
        <f>IF(may[[#This Row],[ShiftCounter]]&gt;0, "Running", "Down")</f>
        <v>Running</v>
      </c>
    </row>
    <row r="513" spans="1:5" x14ac:dyDescent="0.25">
      <c r="A513" s="2">
        <v>44685</v>
      </c>
      <c r="B513" s="4" t="s">
        <v>22</v>
      </c>
      <c r="C513">
        <v>2050</v>
      </c>
      <c r="D513" t="s">
        <v>8</v>
      </c>
      <c r="E513" t="str">
        <f>IF(may[[#This Row],[ShiftCounter]]&gt;0, "Running", "Down")</f>
        <v>Running</v>
      </c>
    </row>
    <row r="514" spans="1:5" x14ac:dyDescent="0.25">
      <c r="A514" s="2">
        <v>44685</v>
      </c>
      <c r="B514" s="4" t="s">
        <v>23</v>
      </c>
      <c r="C514">
        <v>2065</v>
      </c>
      <c r="D514" t="s">
        <v>6</v>
      </c>
      <c r="E514" t="str">
        <f>IF(may[[#This Row],[ShiftCounter]]&gt;0, "Running", "Down")</f>
        <v>Running</v>
      </c>
    </row>
    <row r="515" spans="1:5" x14ac:dyDescent="0.25">
      <c r="A515" s="2">
        <v>44685</v>
      </c>
      <c r="B515" s="4" t="s">
        <v>23</v>
      </c>
      <c r="C515">
        <v>2309</v>
      </c>
      <c r="D515" t="s">
        <v>7</v>
      </c>
      <c r="E515" t="str">
        <f>IF(may[[#This Row],[ShiftCounter]]&gt;0, "Running", "Down")</f>
        <v>Running</v>
      </c>
    </row>
    <row r="516" spans="1:5" x14ac:dyDescent="0.25">
      <c r="A516" s="2">
        <v>44685</v>
      </c>
      <c r="B516" s="4" t="s">
        <v>23</v>
      </c>
      <c r="C516">
        <v>2150</v>
      </c>
      <c r="D516" t="s">
        <v>8</v>
      </c>
      <c r="E516" t="str">
        <f>IF(may[[#This Row],[ShiftCounter]]&gt;0, "Running", "Down")</f>
        <v>Running</v>
      </c>
    </row>
    <row r="517" spans="1:5" x14ac:dyDescent="0.25">
      <c r="A517" s="2">
        <v>44685</v>
      </c>
      <c r="B517" s="4" t="s">
        <v>24</v>
      </c>
      <c r="C517">
        <v>1952</v>
      </c>
      <c r="D517" t="s">
        <v>6</v>
      </c>
      <c r="E517" t="str">
        <f>IF(may[[#This Row],[ShiftCounter]]&gt;0, "Running", "Down")</f>
        <v>Running</v>
      </c>
    </row>
    <row r="518" spans="1:5" x14ac:dyDescent="0.25">
      <c r="A518" s="2">
        <v>44685</v>
      </c>
      <c r="B518" s="4" t="s">
        <v>24</v>
      </c>
      <c r="C518">
        <v>2032</v>
      </c>
      <c r="D518" t="s">
        <v>7</v>
      </c>
      <c r="E518" t="str">
        <f>IF(may[[#This Row],[ShiftCounter]]&gt;0, "Running", "Down")</f>
        <v>Running</v>
      </c>
    </row>
    <row r="519" spans="1:5" x14ac:dyDescent="0.25">
      <c r="A519" s="2">
        <v>44685</v>
      </c>
      <c r="B519" s="4" t="s">
        <v>24</v>
      </c>
      <c r="C519">
        <v>1870</v>
      </c>
      <c r="D519" t="s">
        <v>8</v>
      </c>
      <c r="E519" t="str">
        <f>IF(may[[#This Row],[ShiftCounter]]&gt;0, "Running", "Down")</f>
        <v>Running</v>
      </c>
    </row>
    <row r="520" spans="1:5" x14ac:dyDescent="0.25">
      <c r="A520" s="2">
        <v>44685</v>
      </c>
      <c r="B520" s="4" t="s">
        <v>25</v>
      </c>
      <c r="C520">
        <v>2259</v>
      </c>
      <c r="D520" t="s">
        <v>6</v>
      </c>
      <c r="E520" t="str">
        <f>IF(may[[#This Row],[ShiftCounter]]&gt;0, "Running", "Down")</f>
        <v>Running</v>
      </c>
    </row>
    <row r="521" spans="1:5" x14ac:dyDescent="0.25">
      <c r="A521" s="2">
        <v>44685</v>
      </c>
      <c r="B521" s="4" t="s">
        <v>25</v>
      </c>
      <c r="C521">
        <v>2270</v>
      </c>
      <c r="D521" t="s">
        <v>7</v>
      </c>
      <c r="E521" t="str">
        <f>IF(may[[#This Row],[ShiftCounter]]&gt;0, "Running", "Down")</f>
        <v>Running</v>
      </c>
    </row>
    <row r="522" spans="1:5" x14ac:dyDescent="0.25">
      <c r="A522" s="2">
        <v>44685</v>
      </c>
      <c r="B522" s="4" t="s">
        <v>25</v>
      </c>
      <c r="C522">
        <v>1975</v>
      </c>
      <c r="D522" t="s">
        <v>8</v>
      </c>
      <c r="E522" t="str">
        <f>IF(may[[#This Row],[ShiftCounter]]&gt;0, "Running", "Down")</f>
        <v>Running</v>
      </c>
    </row>
    <row r="523" spans="1:5" x14ac:dyDescent="0.25">
      <c r="A523" s="2">
        <v>44685</v>
      </c>
      <c r="B523" s="4" t="s">
        <v>26</v>
      </c>
      <c r="C523">
        <v>2196</v>
      </c>
      <c r="D523" t="s">
        <v>6</v>
      </c>
      <c r="E523" t="str">
        <f>IF(may[[#This Row],[ShiftCounter]]&gt;0, "Running", "Down")</f>
        <v>Running</v>
      </c>
    </row>
    <row r="524" spans="1:5" x14ac:dyDescent="0.25">
      <c r="A524" s="2">
        <v>44685</v>
      </c>
      <c r="B524" s="4" t="s">
        <v>26</v>
      </c>
      <c r="C524">
        <v>2118</v>
      </c>
      <c r="D524" t="s">
        <v>7</v>
      </c>
      <c r="E524" t="str">
        <f>IF(may[[#This Row],[ShiftCounter]]&gt;0, "Running", "Down")</f>
        <v>Running</v>
      </c>
    </row>
    <row r="525" spans="1:5" x14ac:dyDescent="0.25">
      <c r="A525" s="2">
        <v>44685</v>
      </c>
      <c r="B525" s="4" t="s">
        <v>26</v>
      </c>
      <c r="C525">
        <v>332</v>
      </c>
      <c r="D525" t="s">
        <v>8</v>
      </c>
      <c r="E525" t="str">
        <f>IF(may[[#This Row],[ShiftCounter]]&gt;0, "Running", "Down")</f>
        <v>Running</v>
      </c>
    </row>
    <row r="526" spans="1:5" x14ac:dyDescent="0.25">
      <c r="A526" s="2">
        <v>44685</v>
      </c>
      <c r="B526" s="4" t="s">
        <v>14</v>
      </c>
      <c r="C526">
        <v>1974</v>
      </c>
      <c r="D526" t="s">
        <v>6</v>
      </c>
      <c r="E526" t="str">
        <f>IF(may[[#This Row],[ShiftCounter]]&gt;0, "Running", "Down")</f>
        <v>Running</v>
      </c>
    </row>
    <row r="527" spans="1:5" x14ac:dyDescent="0.25">
      <c r="A527" s="2">
        <v>44685</v>
      </c>
      <c r="B527" s="4" t="s">
        <v>14</v>
      </c>
      <c r="C527">
        <v>1776</v>
      </c>
      <c r="D527" t="s">
        <v>7</v>
      </c>
      <c r="E527" t="str">
        <f>IF(may[[#This Row],[ShiftCounter]]&gt;0, "Running", "Down")</f>
        <v>Running</v>
      </c>
    </row>
    <row r="528" spans="1:5" x14ac:dyDescent="0.25">
      <c r="A528" s="2">
        <v>44685</v>
      </c>
      <c r="B528" s="4" t="s">
        <v>14</v>
      </c>
      <c r="C528">
        <v>1742</v>
      </c>
      <c r="D528" t="s">
        <v>8</v>
      </c>
      <c r="E528" t="str">
        <f>IF(may[[#This Row],[ShiftCounter]]&gt;0, "Running", "Down")</f>
        <v>Running</v>
      </c>
    </row>
    <row r="529" spans="1:5" x14ac:dyDescent="0.25">
      <c r="A529" s="2">
        <v>44685</v>
      </c>
      <c r="B529" s="4" t="s">
        <v>15</v>
      </c>
      <c r="C529">
        <v>2216</v>
      </c>
      <c r="D529" t="s">
        <v>6</v>
      </c>
      <c r="E529" t="str">
        <f>IF(may[[#This Row],[ShiftCounter]]&gt;0, "Running", "Down")</f>
        <v>Running</v>
      </c>
    </row>
    <row r="530" spans="1:5" x14ac:dyDescent="0.25">
      <c r="A530" s="2">
        <v>44685</v>
      </c>
      <c r="B530" s="4" t="s">
        <v>15</v>
      </c>
      <c r="C530">
        <v>2067</v>
      </c>
      <c r="D530" t="s">
        <v>7</v>
      </c>
      <c r="E530" t="str">
        <f>IF(may[[#This Row],[ShiftCounter]]&gt;0, "Running", "Down")</f>
        <v>Running</v>
      </c>
    </row>
    <row r="531" spans="1:5" x14ac:dyDescent="0.25">
      <c r="A531" s="2">
        <v>44685</v>
      </c>
      <c r="B531" s="4" t="s">
        <v>15</v>
      </c>
      <c r="C531">
        <v>2064</v>
      </c>
      <c r="D531" t="s">
        <v>8</v>
      </c>
      <c r="E531" t="str">
        <f>IF(may[[#This Row],[ShiftCounter]]&gt;0, "Running", "Down")</f>
        <v>Running</v>
      </c>
    </row>
    <row r="532" spans="1:5" x14ac:dyDescent="0.25">
      <c r="A532" s="2">
        <v>44685</v>
      </c>
      <c r="B532" s="4" t="s">
        <v>16</v>
      </c>
      <c r="C532">
        <v>2467</v>
      </c>
      <c r="D532" t="s">
        <v>6</v>
      </c>
      <c r="E532" t="str">
        <f>IF(may[[#This Row],[ShiftCounter]]&gt;0, "Running", "Down")</f>
        <v>Running</v>
      </c>
    </row>
    <row r="533" spans="1:5" x14ac:dyDescent="0.25">
      <c r="A533" s="2">
        <v>44685</v>
      </c>
      <c r="B533" s="4" t="s">
        <v>16</v>
      </c>
      <c r="C533">
        <v>2291</v>
      </c>
      <c r="D533" t="s">
        <v>7</v>
      </c>
      <c r="E533" t="str">
        <f>IF(may[[#This Row],[ShiftCounter]]&gt;0, "Running", "Down")</f>
        <v>Running</v>
      </c>
    </row>
    <row r="534" spans="1:5" x14ac:dyDescent="0.25">
      <c r="A534" s="2">
        <v>44685</v>
      </c>
      <c r="B534" s="4" t="s">
        <v>16</v>
      </c>
      <c r="C534">
        <v>2242</v>
      </c>
      <c r="D534" t="s">
        <v>8</v>
      </c>
      <c r="E534" t="str">
        <f>IF(may[[#This Row],[ShiftCounter]]&gt;0, "Running", "Down")</f>
        <v>Running</v>
      </c>
    </row>
    <row r="535" spans="1:5" x14ac:dyDescent="0.25">
      <c r="A535" s="2">
        <v>44685</v>
      </c>
      <c r="B535" s="4" t="s">
        <v>17</v>
      </c>
      <c r="C535">
        <v>2317</v>
      </c>
      <c r="D535" t="s">
        <v>6</v>
      </c>
      <c r="E535" t="str">
        <f>IF(may[[#This Row],[ShiftCounter]]&gt;0, "Running", "Down")</f>
        <v>Running</v>
      </c>
    </row>
    <row r="536" spans="1:5" x14ac:dyDescent="0.25">
      <c r="A536" s="2">
        <v>44685</v>
      </c>
      <c r="B536" s="4" t="s">
        <v>17</v>
      </c>
      <c r="C536">
        <v>2365</v>
      </c>
      <c r="D536" t="s">
        <v>7</v>
      </c>
      <c r="E536" t="str">
        <f>IF(may[[#This Row],[ShiftCounter]]&gt;0, "Running", "Down")</f>
        <v>Running</v>
      </c>
    </row>
    <row r="537" spans="1:5" x14ac:dyDescent="0.25">
      <c r="A537" s="2">
        <v>44685</v>
      </c>
      <c r="B537" s="4" t="s">
        <v>17</v>
      </c>
      <c r="C537">
        <v>2479</v>
      </c>
      <c r="D537" t="s">
        <v>8</v>
      </c>
      <c r="E537" t="str">
        <f>IF(may[[#This Row],[ShiftCounter]]&gt;0, "Running", "Down")</f>
        <v>Running</v>
      </c>
    </row>
    <row r="538" spans="1:5" x14ac:dyDescent="0.25">
      <c r="A538" s="2">
        <v>44685</v>
      </c>
      <c r="B538" s="4" t="s">
        <v>19</v>
      </c>
      <c r="C538">
        <v>3606</v>
      </c>
      <c r="D538" t="s">
        <v>6</v>
      </c>
      <c r="E538" t="str">
        <f>IF(may[[#This Row],[ShiftCounter]]&gt;0, "Running", "Down")</f>
        <v>Running</v>
      </c>
    </row>
    <row r="539" spans="1:5" x14ac:dyDescent="0.25">
      <c r="A539" s="2">
        <v>44685</v>
      </c>
      <c r="B539" s="4" t="s">
        <v>19</v>
      </c>
      <c r="C539">
        <v>1887</v>
      </c>
      <c r="D539" t="s">
        <v>7</v>
      </c>
      <c r="E539" t="str">
        <f>IF(may[[#This Row],[ShiftCounter]]&gt;0, "Running", "Down")</f>
        <v>Running</v>
      </c>
    </row>
    <row r="540" spans="1:5" x14ac:dyDescent="0.25">
      <c r="A540" s="2">
        <v>44685</v>
      </c>
      <c r="B540" s="4" t="s">
        <v>19</v>
      </c>
      <c r="C540">
        <v>1842</v>
      </c>
      <c r="D540" t="s">
        <v>8</v>
      </c>
      <c r="E540" t="str">
        <f>IF(may[[#This Row],[ShiftCounter]]&gt;0, "Running", "Down")</f>
        <v>Running</v>
      </c>
    </row>
    <row r="541" spans="1:5" x14ac:dyDescent="0.25">
      <c r="A541" s="2">
        <v>44685</v>
      </c>
      <c r="B541" s="4" t="s">
        <v>18</v>
      </c>
      <c r="C541">
        <v>2404</v>
      </c>
      <c r="D541" t="s">
        <v>6</v>
      </c>
      <c r="E541" t="str">
        <f>IF(may[[#This Row],[ShiftCounter]]&gt;0, "Running", "Down")</f>
        <v>Running</v>
      </c>
    </row>
    <row r="542" spans="1:5" x14ac:dyDescent="0.25">
      <c r="A542" s="2">
        <v>44685</v>
      </c>
      <c r="B542" s="4" t="s">
        <v>18</v>
      </c>
      <c r="C542">
        <v>2300</v>
      </c>
      <c r="D542" t="s">
        <v>7</v>
      </c>
      <c r="E542" t="str">
        <f>IF(may[[#This Row],[ShiftCounter]]&gt;0, "Running", "Down")</f>
        <v>Running</v>
      </c>
    </row>
    <row r="543" spans="1:5" x14ac:dyDescent="0.25">
      <c r="A543" s="2">
        <v>44685</v>
      </c>
      <c r="B543" s="4" t="s">
        <v>18</v>
      </c>
      <c r="C543">
        <v>2228</v>
      </c>
      <c r="D543" t="s">
        <v>8</v>
      </c>
      <c r="E543" t="str">
        <f>IF(may[[#This Row],[ShiftCounter]]&gt;0, "Running", "Down")</f>
        <v>Running</v>
      </c>
    </row>
    <row r="544" spans="1:5" x14ac:dyDescent="0.25">
      <c r="A544" s="2">
        <v>44685</v>
      </c>
      <c r="B544" s="4" t="s">
        <v>42</v>
      </c>
      <c r="C544">
        <v>2240</v>
      </c>
      <c r="D544" t="s">
        <v>6</v>
      </c>
      <c r="E544" t="str">
        <f>IF(may[[#This Row],[ShiftCounter]]&gt;0, "Running", "Down")</f>
        <v>Running</v>
      </c>
    </row>
    <row r="545" spans="1:5" x14ac:dyDescent="0.25">
      <c r="A545" s="2">
        <v>44685</v>
      </c>
      <c r="B545" s="4" t="s">
        <v>42</v>
      </c>
      <c r="C545">
        <v>2132</v>
      </c>
      <c r="D545" t="s">
        <v>7</v>
      </c>
      <c r="E545" t="str">
        <f>IF(may[[#This Row],[ShiftCounter]]&gt;0, "Running", "Down")</f>
        <v>Running</v>
      </c>
    </row>
    <row r="546" spans="1:5" x14ac:dyDescent="0.25">
      <c r="A546" s="2">
        <v>44685</v>
      </c>
      <c r="B546" s="4" t="s">
        <v>42</v>
      </c>
      <c r="C546">
        <v>1986</v>
      </c>
      <c r="D546" t="s">
        <v>8</v>
      </c>
      <c r="E546" t="str">
        <f>IF(may[[#This Row],[ShiftCounter]]&gt;0, "Running", "Down")</f>
        <v>Running</v>
      </c>
    </row>
    <row r="547" spans="1:5" x14ac:dyDescent="0.25">
      <c r="A547" s="2">
        <v>44685</v>
      </c>
      <c r="B547" s="4" t="s">
        <v>38</v>
      </c>
      <c r="C547">
        <v>2185</v>
      </c>
      <c r="D547" t="s">
        <v>6</v>
      </c>
      <c r="E547" t="str">
        <f>IF(may[[#This Row],[ShiftCounter]]&gt;0, "Running", "Down")</f>
        <v>Running</v>
      </c>
    </row>
    <row r="548" spans="1:5" x14ac:dyDescent="0.25">
      <c r="A548" s="2">
        <v>44685</v>
      </c>
      <c r="B548" s="4" t="s">
        <v>38</v>
      </c>
      <c r="C548">
        <v>2230</v>
      </c>
      <c r="D548" t="s">
        <v>7</v>
      </c>
      <c r="E548" t="str">
        <f>IF(may[[#This Row],[ShiftCounter]]&gt;0, "Running", "Down")</f>
        <v>Running</v>
      </c>
    </row>
    <row r="549" spans="1:5" x14ac:dyDescent="0.25">
      <c r="A549" s="2">
        <v>44685</v>
      </c>
      <c r="B549" s="4" t="s">
        <v>38</v>
      </c>
      <c r="C549">
        <v>1903</v>
      </c>
      <c r="D549" t="s">
        <v>8</v>
      </c>
      <c r="E549" t="str">
        <f>IF(may[[#This Row],[ShiftCounter]]&gt;0, "Running", "Down")</f>
        <v>Running</v>
      </c>
    </row>
    <row r="550" spans="1:5" x14ac:dyDescent="0.25">
      <c r="A550" s="2">
        <v>44685</v>
      </c>
      <c r="B550" s="4" t="s">
        <v>40</v>
      </c>
      <c r="C550">
        <v>2288</v>
      </c>
      <c r="D550" t="s">
        <v>6</v>
      </c>
      <c r="E550" t="str">
        <f>IF(may[[#This Row],[ShiftCounter]]&gt;0, "Running", "Down")</f>
        <v>Running</v>
      </c>
    </row>
    <row r="551" spans="1:5" x14ac:dyDescent="0.25">
      <c r="A551" s="2">
        <v>44685</v>
      </c>
      <c r="B551" s="4" t="s">
        <v>40</v>
      </c>
      <c r="C551">
        <v>2199</v>
      </c>
      <c r="D551" t="s">
        <v>7</v>
      </c>
      <c r="E551" t="str">
        <f>IF(may[[#This Row],[ShiftCounter]]&gt;0, "Running", "Down")</f>
        <v>Running</v>
      </c>
    </row>
    <row r="552" spans="1:5" x14ac:dyDescent="0.25">
      <c r="A552" s="2">
        <v>44685</v>
      </c>
      <c r="B552" s="4" t="s">
        <v>40</v>
      </c>
      <c r="C552">
        <v>2090</v>
      </c>
      <c r="D552" t="s">
        <v>8</v>
      </c>
      <c r="E552" t="str">
        <f>IF(may[[#This Row],[ShiftCounter]]&gt;0, "Running", "Down")</f>
        <v>Running</v>
      </c>
    </row>
    <row r="553" spans="1:5" x14ac:dyDescent="0.25">
      <c r="A553" s="2">
        <v>44685</v>
      </c>
      <c r="B553" s="4" t="s">
        <v>39</v>
      </c>
      <c r="C553">
        <v>1500</v>
      </c>
      <c r="D553" t="s">
        <v>6</v>
      </c>
      <c r="E553" t="str">
        <f>IF(may[[#This Row],[ShiftCounter]]&gt;0, "Running", "Down")</f>
        <v>Running</v>
      </c>
    </row>
    <row r="554" spans="1:5" x14ac:dyDescent="0.25">
      <c r="A554" s="2">
        <v>44685</v>
      </c>
      <c r="B554" s="4" t="s">
        <v>39</v>
      </c>
      <c r="C554">
        <v>2063</v>
      </c>
      <c r="D554" t="s">
        <v>7</v>
      </c>
      <c r="E554" t="str">
        <f>IF(may[[#This Row],[ShiftCounter]]&gt;0, "Running", "Down")</f>
        <v>Running</v>
      </c>
    </row>
    <row r="555" spans="1:5" x14ac:dyDescent="0.25">
      <c r="A555" s="2">
        <v>44685</v>
      </c>
      <c r="B555" s="4" t="s">
        <v>39</v>
      </c>
      <c r="C555">
        <v>1899</v>
      </c>
      <c r="D555" t="s">
        <v>8</v>
      </c>
      <c r="E555" t="str">
        <f>IF(may[[#This Row],[ShiftCounter]]&gt;0, "Running", "Down")</f>
        <v>Running</v>
      </c>
    </row>
    <row r="556" spans="1:5" x14ac:dyDescent="0.25">
      <c r="A556" s="2">
        <v>44685</v>
      </c>
      <c r="B556" s="4" t="s">
        <v>41</v>
      </c>
      <c r="C556">
        <v>2424</v>
      </c>
      <c r="D556" t="s">
        <v>6</v>
      </c>
      <c r="E556" t="str">
        <f>IF(may[[#This Row],[ShiftCounter]]&gt;0, "Running", "Down")</f>
        <v>Running</v>
      </c>
    </row>
    <row r="557" spans="1:5" x14ac:dyDescent="0.25">
      <c r="A557" s="2">
        <v>44685</v>
      </c>
      <c r="B557" s="4" t="s">
        <v>41</v>
      </c>
      <c r="C557">
        <v>2488</v>
      </c>
      <c r="D557" t="s">
        <v>7</v>
      </c>
      <c r="E557" t="str">
        <f>IF(may[[#This Row],[ShiftCounter]]&gt;0, "Running", "Down")</f>
        <v>Running</v>
      </c>
    </row>
    <row r="558" spans="1:5" x14ac:dyDescent="0.25">
      <c r="A558" s="2">
        <v>44685</v>
      </c>
      <c r="B558" s="4" t="s">
        <v>41</v>
      </c>
      <c r="C558">
        <v>2238</v>
      </c>
      <c r="D558" t="s">
        <v>8</v>
      </c>
      <c r="E558" t="str">
        <f>IF(may[[#This Row],[ShiftCounter]]&gt;0, "Running", "Down")</f>
        <v>Running</v>
      </c>
    </row>
    <row r="559" spans="1:5" x14ac:dyDescent="0.25">
      <c r="A559" s="2">
        <v>44685</v>
      </c>
      <c r="B559" s="4" t="s">
        <v>5</v>
      </c>
      <c r="C559">
        <v>2377</v>
      </c>
      <c r="D559" t="s">
        <v>6</v>
      </c>
      <c r="E559" t="str">
        <f>IF(may[[#This Row],[ShiftCounter]]&gt;0, "Running", "Down")</f>
        <v>Running</v>
      </c>
    </row>
    <row r="560" spans="1:5" x14ac:dyDescent="0.25">
      <c r="A560" s="2">
        <v>44685</v>
      </c>
      <c r="B560" s="4" t="s">
        <v>5</v>
      </c>
      <c r="C560">
        <v>2389</v>
      </c>
      <c r="D560" t="s">
        <v>7</v>
      </c>
      <c r="E560" t="str">
        <f>IF(may[[#This Row],[ShiftCounter]]&gt;0, "Running", "Down")</f>
        <v>Running</v>
      </c>
    </row>
    <row r="561" spans="1:5" x14ac:dyDescent="0.25">
      <c r="A561" s="2">
        <v>44685</v>
      </c>
      <c r="B561" s="4" t="s">
        <v>5</v>
      </c>
      <c r="C561">
        <v>2046</v>
      </c>
      <c r="D561" t="s">
        <v>8</v>
      </c>
      <c r="E561" t="str">
        <f>IF(may[[#This Row],[ShiftCounter]]&gt;0, "Running", "Down")</f>
        <v>Running</v>
      </c>
    </row>
    <row r="562" spans="1:5" x14ac:dyDescent="0.25">
      <c r="A562" s="2">
        <v>44685</v>
      </c>
      <c r="B562" s="4" t="s">
        <v>9</v>
      </c>
      <c r="C562">
        <v>2314</v>
      </c>
      <c r="D562" t="s">
        <v>6</v>
      </c>
      <c r="E562" t="str">
        <f>IF(may[[#This Row],[ShiftCounter]]&gt;0, "Running", "Down")</f>
        <v>Running</v>
      </c>
    </row>
    <row r="563" spans="1:5" x14ac:dyDescent="0.25">
      <c r="A563" s="2">
        <v>44685</v>
      </c>
      <c r="B563" s="4" t="s">
        <v>9</v>
      </c>
      <c r="C563">
        <v>2298</v>
      </c>
      <c r="D563" t="s">
        <v>7</v>
      </c>
      <c r="E563" t="str">
        <f>IF(may[[#This Row],[ShiftCounter]]&gt;0, "Running", "Down")</f>
        <v>Running</v>
      </c>
    </row>
    <row r="564" spans="1:5" x14ac:dyDescent="0.25">
      <c r="A564" s="2">
        <v>44685</v>
      </c>
      <c r="B564" s="4" t="s">
        <v>9</v>
      </c>
      <c r="C564">
        <v>2140</v>
      </c>
      <c r="D564" t="s">
        <v>8</v>
      </c>
      <c r="E564" t="str">
        <f>IF(may[[#This Row],[ShiftCounter]]&gt;0, "Running", "Down")</f>
        <v>Running</v>
      </c>
    </row>
    <row r="565" spans="1:5" x14ac:dyDescent="0.25">
      <c r="A565" s="2">
        <v>44685</v>
      </c>
      <c r="B565" s="4" t="s">
        <v>10</v>
      </c>
      <c r="C565">
        <v>2228</v>
      </c>
      <c r="D565" t="s">
        <v>6</v>
      </c>
      <c r="E565" t="str">
        <f>IF(may[[#This Row],[ShiftCounter]]&gt;0, "Running", "Down")</f>
        <v>Running</v>
      </c>
    </row>
    <row r="566" spans="1:5" x14ac:dyDescent="0.25">
      <c r="A566" s="2">
        <v>44685</v>
      </c>
      <c r="B566" s="4" t="s">
        <v>10</v>
      </c>
      <c r="C566">
        <v>2275</v>
      </c>
      <c r="D566" t="s">
        <v>7</v>
      </c>
      <c r="E566" t="str">
        <f>IF(may[[#This Row],[ShiftCounter]]&gt;0, "Running", "Down")</f>
        <v>Running</v>
      </c>
    </row>
    <row r="567" spans="1:5" x14ac:dyDescent="0.25">
      <c r="A567" s="2">
        <v>44685</v>
      </c>
      <c r="B567" s="4" t="s">
        <v>10</v>
      </c>
      <c r="C567">
        <v>2157</v>
      </c>
      <c r="D567" t="s">
        <v>8</v>
      </c>
      <c r="E567" t="str">
        <f>IF(may[[#This Row],[ShiftCounter]]&gt;0, "Running", "Down")</f>
        <v>Running</v>
      </c>
    </row>
    <row r="568" spans="1:5" x14ac:dyDescent="0.25">
      <c r="A568" s="2">
        <v>44685</v>
      </c>
      <c r="B568" s="4" t="s">
        <v>11</v>
      </c>
      <c r="C568">
        <v>2448</v>
      </c>
      <c r="D568" t="s">
        <v>6</v>
      </c>
      <c r="E568" t="str">
        <f>IF(may[[#This Row],[ShiftCounter]]&gt;0, "Running", "Down")</f>
        <v>Running</v>
      </c>
    </row>
    <row r="569" spans="1:5" x14ac:dyDescent="0.25">
      <c r="A569" s="2">
        <v>44685</v>
      </c>
      <c r="B569" s="4" t="s">
        <v>11</v>
      </c>
      <c r="C569">
        <v>2398</v>
      </c>
      <c r="D569" t="s">
        <v>7</v>
      </c>
      <c r="E569" t="str">
        <f>IF(may[[#This Row],[ShiftCounter]]&gt;0, "Running", "Down")</f>
        <v>Running</v>
      </c>
    </row>
    <row r="570" spans="1:5" x14ac:dyDescent="0.25">
      <c r="A570" s="2">
        <v>44685</v>
      </c>
      <c r="B570" s="4" t="s">
        <v>11</v>
      </c>
      <c r="C570">
        <v>2251</v>
      </c>
      <c r="D570" t="s">
        <v>8</v>
      </c>
      <c r="E570" t="str">
        <f>IF(may[[#This Row],[ShiftCounter]]&gt;0, "Running", "Down")</f>
        <v>Running</v>
      </c>
    </row>
    <row r="571" spans="1:5" x14ac:dyDescent="0.25">
      <c r="A571" s="2">
        <v>44685</v>
      </c>
      <c r="B571" s="4" t="s">
        <v>12</v>
      </c>
      <c r="C571">
        <v>2174</v>
      </c>
      <c r="D571" t="s">
        <v>6</v>
      </c>
      <c r="E571" t="str">
        <f>IF(may[[#This Row],[ShiftCounter]]&gt;0, "Running", "Down")</f>
        <v>Running</v>
      </c>
    </row>
    <row r="572" spans="1:5" x14ac:dyDescent="0.25">
      <c r="A572" s="2">
        <v>44685</v>
      </c>
      <c r="B572" s="4" t="s">
        <v>12</v>
      </c>
      <c r="C572">
        <v>2197</v>
      </c>
      <c r="D572" t="s">
        <v>7</v>
      </c>
      <c r="E572" t="str">
        <f>IF(may[[#This Row],[ShiftCounter]]&gt;0, "Running", "Down")</f>
        <v>Running</v>
      </c>
    </row>
    <row r="573" spans="1:5" x14ac:dyDescent="0.25">
      <c r="A573" s="2">
        <v>44685</v>
      </c>
      <c r="B573" s="4" t="s">
        <v>12</v>
      </c>
      <c r="C573">
        <v>2094</v>
      </c>
      <c r="D573" t="s">
        <v>8</v>
      </c>
      <c r="E573" t="str">
        <f>IF(may[[#This Row],[ShiftCounter]]&gt;0, "Running", "Down")</f>
        <v>Running</v>
      </c>
    </row>
    <row r="574" spans="1:5" x14ac:dyDescent="0.25">
      <c r="A574" s="2">
        <v>44685</v>
      </c>
      <c r="B574" s="4" t="s">
        <v>13</v>
      </c>
      <c r="C574">
        <v>2364</v>
      </c>
      <c r="D574" t="s">
        <v>6</v>
      </c>
      <c r="E574" t="str">
        <f>IF(may[[#This Row],[ShiftCounter]]&gt;0, "Running", "Down")</f>
        <v>Running</v>
      </c>
    </row>
    <row r="575" spans="1:5" x14ac:dyDescent="0.25">
      <c r="A575" s="2">
        <v>44685</v>
      </c>
      <c r="B575" s="4" t="s">
        <v>13</v>
      </c>
      <c r="C575">
        <v>2286</v>
      </c>
      <c r="D575" t="s">
        <v>7</v>
      </c>
      <c r="E575" t="str">
        <f>IF(may[[#This Row],[ShiftCounter]]&gt;0, "Running", "Down")</f>
        <v>Running</v>
      </c>
    </row>
    <row r="576" spans="1:5" x14ac:dyDescent="0.25">
      <c r="A576" s="2">
        <v>44685</v>
      </c>
      <c r="B576" s="4" t="s">
        <v>13</v>
      </c>
      <c r="C576">
        <v>2148</v>
      </c>
      <c r="D576" t="s">
        <v>8</v>
      </c>
      <c r="E576" t="str">
        <f>IF(may[[#This Row],[ShiftCounter]]&gt;0, "Running", "Down")</f>
        <v>Running</v>
      </c>
    </row>
    <row r="577" spans="1:5" x14ac:dyDescent="0.25">
      <c r="A577" s="2">
        <v>44685</v>
      </c>
      <c r="B577" s="4" t="s">
        <v>27</v>
      </c>
      <c r="C577">
        <v>1092</v>
      </c>
      <c r="D577" t="s">
        <v>6</v>
      </c>
      <c r="E577" t="str">
        <f>IF(may[[#This Row],[ShiftCounter]]&gt;0, "Running", "Down")</f>
        <v>Running</v>
      </c>
    </row>
    <row r="578" spans="1:5" x14ac:dyDescent="0.25">
      <c r="A578" s="2">
        <v>44685</v>
      </c>
      <c r="B578" s="4" t="s">
        <v>27</v>
      </c>
      <c r="C578">
        <v>1383</v>
      </c>
      <c r="D578" t="s">
        <v>7</v>
      </c>
      <c r="E578" t="str">
        <f>IF(may[[#This Row],[ShiftCounter]]&gt;0, "Running", "Down")</f>
        <v>Running</v>
      </c>
    </row>
    <row r="579" spans="1:5" x14ac:dyDescent="0.25">
      <c r="A579" s="2">
        <v>44685</v>
      </c>
      <c r="B579" s="4" t="s">
        <v>27</v>
      </c>
      <c r="C579">
        <v>1930</v>
      </c>
      <c r="D579" t="s">
        <v>8</v>
      </c>
      <c r="E579" t="str">
        <f>IF(may[[#This Row],[ShiftCounter]]&gt;0, "Running", "Down")</f>
        <v>Running</v>
      </c>
    </row>
    <row r="580" spans="1:5" x14ac:dyDescent="0.25">
      <c r="A580" s="2">
        <v>44685</v>
      </c>
      <c r="B580" s="4" t="s">
        <v>28</v>
      </c>
      <c r="C580">
        <v>2109</v>
      </c>
      <c r="D580" t="s">
        <v>6</v>
      </c>
      <c r="E580" t="str">
        <f>IF(may[[#This Row],[ShiftCounter]]&gt;0, "Running", "Down")</f>
        <v>Running</v>
      </c>
    </row>
    <row r="581" spans="1:5" x14ac:dyDescent="0.25">
      <c r="A581" s="2">
        <v>44685</v>
      </c>
      <c r="B581" s="4" t="s">
        <v>28</v>
      </c>
      <c r="C581">
        <v>2109</v>
      </c>
      <c r="D581" t="s">
        <v>7</v>
      </c>
      <c r="E581" t="str">
        <f>IF(may[[#This Row],[ShiftCounter]]&gt;0, "Running", "Down")</f>
        <v>Running</v>
      </c>
    </row>
    <row r="582" spans="1:5" x14ac:dyDescent="0.25">
      <c r="A582" s="2">
        <v>44685</v>
      </c>
      <c r="B582" s="4" t="s">
        <v>28</v>
      </c>
      <c r="C582">
        <v>1887</v>
      </c>
      <c r="D582" t="s">
        <v>8</v>
      </c>
      <c r="E582" t="str">
        <f>IF(may[[#This Row],[ShiftCounter]]&gt;0, "Running", "Down")</f>
        <v>Running</v>
      </c>
    </row>
    <row r="583" spans="1:5" x14ac:dyDescent="0.25">
      <c r="A583" s="2">
        <v>44685</v>
      </c>
      <c r="B583" s="4" t="s">
        <v>29</v>
      </c>
      <c r="C583">
        <v>2052</v>
      </c>
      <c r="D583" t="s">
        <v>6</v>
      </c>
      <c r="E583" t="str">
        <f>IF(may[[#This Row],[ShiftCounter]]&gt;0, "Running", "Down")</f>
        <v>Running</v>
      </c>
    </row>
    <row r="584" spans="1:5" x14ac:dyDescent="0.25">
      <c r="A584" s="2">
        <v>44685</v>
      </c>
      <c r="B584" s="4" t="s">
        <v>29</v>
      </c>
      <c r="C584">
        <v>2009</v>
      </c>
      <c r="D584" t="s">
        <v>7</v>
      </c>
      <c r="E584" t="str">
        <f>IF(may[[#This Row],[ShiftCounter]]&gt;0, "Running", "Down")</f>
        <v>Running</v>
      </c>
    </row>
    <row r="585" spans="1:5" x14ac:dyDescent="0.25">
      <c r="A585" s="2">
        <v>44685</v>
      </c>
      <c r="B585" s="4" t="s">
        <v>29</v>
      </c>
      <c r="C585">
        <v>1812</v>
      </c>
      <c r="D585" t="s">
        <v>8</v>
      </c>
      <c r="E585" t="str">
        <f>IF(may[[#This Row],[ShiftCounter]]&gt;0, "Running", "Down")</f>
        <v>Running</v>
      </c>
    </row>
    <row r="586" spans="1:5" x14ac:dyDescent="0.25">
      <c r="A586" s="2">
        <v>44685</v>
      </c>
      <c r="B586" s="4" t="s">
        <v>30</v>
      </c>
      <c r="C586">
        <v>1987</v>
      </c>
      <c r="D586" t="s">
        <v>6</v>
      </c>
      <c r="E586" t="str">
        <f>IF(may[[#This Row],[ShiftCounter]]&gt;0, "Running", "Down")</f>
        <v>Running</v>
      </c>
    </row>
    <row r="587" spans="1:5" x14ac:dyDescent="0.25">
      <c r="A587" s="2">
        <v>44685</v>
      </c>
      <c r="B587" s="4" t="s">
        <v>30</v>
      </c>
      <c r="C587">
        <v>2122</v>
      </c>
      <c r="D587" t="s">
        <v>7</v>
      </c>
      <c r="E587" t="str">
        <f>IF(may[[#This Row],[ShiftCounter]]&gt;0, "Running", "Down")</f>
        <v>Running</v>
      </c>
    </row>
    <row r="588" spans="1:5" x14ac:dyDescent="0.25">
      <c r="A588" s="2">
        <v>44685</v>
      </c>
      <c r="B588" s="4" t="s">
        <v>30</v>
      </c>
      <c r="C588">
        <v>2025</v>
      </c>
      <c r="D588" t="s">
        <v>8</v>
      </c>
      <c r="E588" t="str">
        <f>IF(may[[#This Row],[ShiftCounter]]&gt;0, "Running", "Down")</f>
        <v>Running</v>
      </c>
    </row>
    <row r="589" spans="1:5" x14ac:dyDescent="0.25">
      <c r="A589" s="2">
        <v>44685</v>
      </c>
      <c r="B589" s="4" t="s">
        <v>31</v>
      </c>
      <c r="C589">
        <v>1516</v>
      </c>
      <c r="D589" t="s">
        <v>6</v>
      </c>
      <c r="E589" t="str">
        <f>IF(may[[#This Row],[ShiftCounter]]&gt;0, "Running", "Down")</f>
        <v>Running</v>
      </c>
    </row>
    <row r="590" spans="1:5" x14ac:dyDescent="0.25">
      <c r="A590" s="2">
        <v>44685</v>
      </c>
      <c r="B590" s="4" t="s">
        <v>31</v>
      </c>
      <c r="C590">
        <v>2095</v>
      </c>
      <c r="D590" t="s">
        <v>7</v>
      </c>
      <c r="E590" t="str">
        <f>IF(may[[#This Row],[ShiftCounter]]&gt;0, "Running", "Down")</f>
        <v>Running</v>
      </c>
    </row>
    <row r="591" spans="1:5" x14ac:dyDescent="0.25">
      <c r="A591" s="2">
        <v>44685</v>
      </c>
      <c r="B591" s="4" t="s">
        <v>31</v>
      </c>
      <c r="C591">
        <v>1953</v>
      </c>
      <c r="D591" t="s">
        <v>8</v>
      </c>
      <c r="E591" t="str">
        <f>IF(may[[#This Row],[ShiftCounter]]&gt;0, "Running", "Down")</f>
        <v>Running</v>
      </c>
    </row>
    <row r="592" spans="1:5" x14ac:dyDescent="0.25">
      <c r="A592" s="2">
        <v>44685</v>
      </c>
      <c r="B592" s="4" t="s">
        <v>32</v>
      </c>
      <c r="C592">
        <v>2014</v>
      </c>
      <c r="D592" t="s">
        <v>6</v>
      </c>
      <c r="E592" t="str">
        <f>IF(may[[#This Row],[ShiftCounter]]&gt;0, "Running", "Down")</f>
        <v>Running</v>
      </c>
    </row>
    <row r="593" spans="1:5" x14ac:dyDescent="0.25">
      <c r="A593" s="2">
        <v>44685</v>
      </c>
      <c r="B593" s="4" t="s">
        <v>32</v>
      </c>
      <c r="C593">
        <v>2247</v>
      </c>
      <c r="D593" t="s">
        <v>7</v>
      </c>
      <c r="E593" t="str">
        <f>IF(may[[#This Row],[ShiftCounter]]&gt;0, "Running", "Down")</f>
        <v>Running</v>
      </c>
    </row>
    <row r="594" spans="1:5" x14ac:dyDescent="0.25">
      <c r="A594" s="2">
        <v>44685</v>
      </c>
      <c r="B594" s="4" t="s">
        <v>32</v>
      </c>
      <c r="C594">
        <v>2088</v>
      </c>
      <c r="D594" t="s">
        <v>8</v>
      </c>
      <c r="E594" t="str">
        <f>IF(may[[#This Row],[ShiftCounter]]&gt;0, "Running", "Down")</f>
        <v>Running</v>
      </c>
    </row>
    <row r="595" spans="1:5" x14ac:dyDescent="0.25">
      <c r="A595" s="2">
        <v>44685</v>
      </c>
      <c r="B595" s="4" t="s">
        <v>33</v>
      </c>
      <c r="C595">
        <v>2486</v>
      </c>
      <c r="D595" t="s">
        <v>6</v>
      </c>
      <c r="E595" t="str">
        <f>IF(may[[#This Row],[ShiftCounter]]&gt;0, "Running", "Down")</f>
        <v>Running</v>
      </c>
    </row>
    <row r="596" spans="1:5" x14ac:dyDescent="0.25">
      <c r="A596" s="2">
        <v>44685</v>
      </c>
      <c r="B596" s="4" t="s">
        <v>33</v>
      </c>
      <c r="C596">
        <v>2567</v>
      </c>
      <c r="D596" t="s">
        <v>7</v>
      </c>
      <c r="E596" t="str">
        <f>IF(may[[#This Row],[ShiftCounter]]&gt;0, "Running", "Down")</f>
        <v>Running</v>
      </c>
    </row>
    <row r="597" spans="1:5" x14ac:dyDescent="0.25">
      <c r="A597" s="2">
        <v>44685</v>
      </c>
      <c r="B597" s="4" t="s">
        <v>33</v>
      </c>
      <c r="C597">
        <v>2275</v>
      </c>
      <c r="D597" t="s">
        <v>8</v>
      </c>
      <c r="E597" t="str">
        <f>IF(may[[#This Row],[ShiftCounter]]&gt;0, "Running", "Down")</f>
        <v>Running</v>
      </c>
    </row>
    <row r="598" spans="1:5" x14ac:dyDescent="0.25">
      <c r="A598" s="2">
        <v>44685</v>
      </c>
      <c r="B598" s="4" t="s">
        <v>34</v>
      </c>
      <c r="C598">
        <v>1994</v>
      </c>
      <c r="D598" t="s">
        <v>6</v>
      </c>
      <c r="E598" t="str">
        <f>IF(may[[#This Row],[ShiftCounter]]&gt;0, "Running", "Down")</f>
        <v>Running</v>
      </c>
    </row>
    <row r="599" spans="1:5" x14ac:dyDescent="0.25">
      <c r="A599" s="2">
        <v>44685</v>
      </c>
      <c r="B599" s="4" t="s">
        <v>34</v>
      </c>
      <c r="C599">
        <v>2637</v>
      </c>
      <c r="D599" t="s">
        <v>7</v>
      </c>
      <c r="E599" t="str">
        <f>IF(may[[#This Row],[ShiftCounter]]&gt;0, "Running", "Down")</f>
        <v>Running</v>
      </c>
    </row>
    <row r="600" spans="1:5" x14ac:dyDescent="0.25">
      <c r="A600" s="2">
        <v>44685</v>
      </c>
      <c r="B600" s="4" t="s">
        <v>34</v>
      </c>
      <c r="C600">
        <v>1861</v>
      </c>
      <c r="D600" t="s">
        <v>8</v>
      </c>
      <c r="E600" t="str">
        <f>IF(may[[#This Row],[ShiftCounter]]&gt;0, "Running", "Down")</f>
        <v>Running</v>
      </c>
    </row>
    <row r="601" spans="1:5" x14ac:dyDescent="0.25">
      <c r="A601" s="2">
        <v>44685</v>
      </c>
      <c r="B601" s="4" t="s">
        <v>35</v>
      </c>
      <c r="C601">
        <v>2223</v>
      </c>
      <c r="D601" t="s">
        <v>6</v>
      </c>
      <c r="E601" t="str">
        <f>IF(may[[#This Row],[ShiftCounter]]&gt;0, "Running", "Down")</f>
        <v>Running</v>
      </c>
    </row>
    <row r="602" spans="1:5" x14ac:dyDescent="0.25">
      <c r="A602" s="2">
        <v>44685</v>
      </c>
      <c r="B602" s="4" t="s">
        <v>35</v>
      </c>
      <c r="C602">
        <v>2076</v>
      </c>
      <c r="D602" t="s">
        <v>7</v>
      </c>
      <c r="E602" t="str">
        <f>IF(may[[#This Row],[ShiftCounter]]&gt;0, "Running", "Down")</f>
        <v>Running</v>
      </c>
    </row>
    <row r="603" spans="1:5" x14ac:dyDescent="0.25">
      <c r="A603" s="2">
        <v>44685</v>
      </c>
      <c r="B603" s="4" t="s">
        <v>35</v>
      </c>
      <c r="C603">
        <v>1855</v>
      </c>
      <c r="D603" t="s">
        <v>8</v>
      </c>
      <c r="E603" t="str">
        <f>IF(may[[#This Row],[ShiftCounter]]&gt;0, "Running", "Down")</f>
        <v>Running</v>
      </c>
    </row>
    <row r="604" spans="1:5" x14ac:dyDescent="0.25">
      <c r="A604" s="2">
        <v>44685</v>
      </c>
      <c r="B604" s="4" t="s">
        <v>36</v>
      </c>
      <c r="C604">
        <v>2424</v>
      </c>
      <c r="D604" t="s">
        <v>6</v>
      </c>
      <c r="E604" t="str">
        <f>IF(may[[#This Row],[ShiftCounter]]&gt;0, "Running", "Down")</f>
        <v>Running</v>
      </c>
    </row>
    <row r="605" spans="1:5" x14ac:dyDescent="0.25">
      <c r="A605" s="2">
        <v>44685</v>
      </c>
      <c r="B605" s="4" t="s">
        <v>36</v>
      </c>
      <c r="C605">
        <v>2457</v>
      </c>
      <c r="D605" t="s">
        <v>7</v>
      </c>
      <c r="E605" t="str">
        <f>IF(may[[#This Row],[ShiftCounter]]&gt;0, "Running", "Down")</f>
        <v>Running</v>
      </c>
    </row>
    <row r="606" spans="1:5" x14ac:dyDescent="0.25">
      <c r="A606" s="2">
        <v>44685</v>
      </c>
      <c r="B606" s="4" t="s">
        <v>36</v>
      </c>
      <c r="C606">
        <v>2202</v>
      </c>
      <c r="D606" t="s">
        <v>8</v>
      </c>
      <c r="E606" t="str">
        <f>IF(may[[#This Row],[ShiftCounter]]&gt;0, "Running", "Down")</f>
        <v>Running</v>
      </c>
    </row>
    <row r="607" spans="1:5" x14ac:dyDescent="0.25">
      <c r="A607" s="2">
        <v>44685</v>
      </c>
      <c r="B607" s="4" t="s">
        <v>37</v>
      </c>
      <c r="C607">
        <v>1927</v>
      </c>
      <c r="D607" t="s">
        <v>6</v>
      </c>
      <c r="E607" t="str">
        <f>IF(may[[#This Row],[ShiftCounter]]&gt;0, "Running", "Down")</f>
        <v>Running</v>
      </c>
    </row>
    <row r="608" spans="1:5" x14ac:dyDescent="0.25">
      <c r="A608" s="2">
        <v>44685</v>
      </c>
      <c r="B608" s="4" t="s">
        <v>37</v>
      </c>
      <c r="C608">
        <v>2191</v>
      </c>
      <c r="D608" t="s">
        <v>7</v>
      </c>
      <c r="E608" t="str">
        <f>IF(may[[#This Row],[ShiftCounter]]&gt;0, "Running", "Down")</f>
        <v>Running</v>
      </c>
    </row>
    <row r="609" spans="1:5" x14ac:dyDescent="0.25">
      <c r="A609" s="2">
        <v>44685</v>
      </c>
      <c r="B609" s="4" t="s">
        <v>37</v>
      </c>
      <c r="C609">
        <v>2122</v>
      </c>
      <c r="D609" t="s">
        <v>8</v>
      </c>
      <c r="E609" t="str">
        <f>IF(may[[#This Row],[ShiftCounter]]&gt;0, "Running", "Down")</f>
        <v>Running</v>
      </c>
    </row>
    <row r="610" spans="1:5" x14ac:dyDescent="0.25">
      <c r="A610" s="2">
        <v>44686</v>
      </c>
      <c r="B610" s="4" t="s">
        <v>40</v>
      </c>
      <c r="C610">
        <v>2241</v>
      </c>
      <c r="D610" t="s">
        <v>6</v>
      </c>
      <c r="E610" t="str">
        <f>IF(may[[#This Row],[ShiftCounter]]&gt;0, "Running", "Down")</f>
        <v>Running</v>
      </c>
    </row>
    <row r="611" spans="1:5" x14ac:dyDescent="0.25">
      <c r="A611" s="2">
        <v>44686</v>
      </c>
      <c r="B611" s="4" t="s">
        <v>40</v>
      </c>
      <c r="C611">
        <v>2360</v>
      </c>
      <c r="D611" t="s">
        <v>7</v>
      </c>
      <c r="E611" t="str">
        <f>IF(may[[#This Row],[ShiftCounter]]&gt;0, "Running", "Down")</f>
        <v>Running</v>
      </c>
    </row>
    <row r="612" spans="1:5" x14ac:dyDescent="0.25">
      <c r="A612" s="2">
        <v>44686</v>
      </c>
      <c r="B612" s="4" t="s">
        <v>40</v>
      </c>
      <c r="C612">
        <v>2065</v>
      </c>
      <c r="D612" t="s">
        <v>8</v>
      </c>
      <c r="E612" t="str">
        <f>IF(may[[#This Row],[ShiftCounter]]&gt;0, "Running", "Down")</f>
        <v>Running</v>
      </c>
    </row>
    <row r="613" spans="1:5" x14ac:dyDescent="0.25">
      <c r="A613" s="2">
        <v>44686</v>
      </c>
      <c r="B613" s="4" t="s">
        <v>41</v>
      </c>
      <c r="C613">
        <v>2355</v>
      </c>
      <c r="D613" t="s">
        <v>6</v>
      </c>
      <c r="E613" t="str">
        <f>IF(may[[#This Row],[ShiftCounter]]&gt;0, "Running", "Down")</f>
        <v>Running</v>
      </c>
    </row>
    <row r="614" spans="1:5" x14ac:dyDescent="0.25">
      <c r="A614" s="2">
        <v>44686</v>
      </c>
      <c r="B614" s="4" t="s">
        <v>41</v>
      </c>
      <c r="C614">
        <v>2460</v>
      </c>
      <c r="D614" t="s">
        <v>7</v>
      </c>
      <c r="E614" t="str">
        <f>IF(may[[#This Row],[ShiftCounter]]&gt;0, "Running", "Down")</f>
        <v>Running</v>
      </c>
    </row>
    <row r="615" spans="1:5" x14ac:dyDescent="0.25">
      <c r="A615" s="2">
        <v>44686</v>
      </c>
      <c r="B615" s="4" t="s">
        <v>41</v>
      </c>
      <c r="C615">
        <v>2175</v>
      </c>
      <c r="D615" t="s">
        <v>8</v>
      </c>
      <c r="E615" t="str">
        <f>IF(may[[#This Row],[ShiftCounter]]&gt;0, "Running", "Down")</f>
        <v>Running</v>
      </c>
    </row>
    <row r="616" spans="1:5" x14ac:dyDescent="0.25">
      <c r="A616" s="2">
        <v>44686</v>
      </c>
      <c r="B616" s="4" t="s">
        <v>5</v>
      </c>
      <c r="C616">
        <v>2175</v>
      </c>
      <c r="D616" t="s">
        <v>6</v>
      </c>
      <c r="E616" t="str">
        <f>IF(may[[#This Row],[ShiftCounter]]&gt;0, "Running", "Down")</f>
        <v>Running</v>
      </c>
    </row>
    <row r="617" spans="1:5" x14ac:dyDescent="0.25">
      <c r="A617" s="2">
        <v>44686</v>
      </c>
      <c r="B617" s="4" t="s">
        <v>5</v>
      </c>
      <c r="C617">
        <v>2382</v>
      </c>
      <c r="D617" t="s">
        <v>7</v>
      </c>
      <c r="E617" t="str">
        <f>IF(may[[#This Row],[ShiftCounter]]&gt;0, "Running", "Down")</f>
        <v>Running</v>
      </c>
    </row>
    <row r="618" spans="1:5" x14ac:dyDescent="0.25">
      <c r="A618" s="2">
        <v>44686</v>
      </c>
      <c r="B618" s="4" t="s">
        <v>5</v>
      </c>
      <c r="C618">
        <v>2045</v>
      </c>
      <c r="D618" t="s">
        <v>8</v>
      </c>
      <c r="E618" t="str">
        <f>IF(may[[#This Row],[ShiftCounter]]&gt;0, "Running", "Down")</f>
        <v>Running</v>
      </c>
    </row>
    <row r="619" spans="1:5" x14ac:dyDescent="0.25">
      <c r="A619" s="2">
        <v>44686</v>
      </c>
      <c r="B619" s="4" t="s">
        <v>9</v>
      </c>
      <c r="C619">
        <v>1798</v>
      </c>
      <c r="D619" t="s">
        <v>6</v>
      </c>
      <c r="E619" t="str">
        <f>IF(may[[#This Row],[ShiftCounter]]&gt;0, "Running", "Down")</f>
        <v>Running</v>
      </c>
    </row>
    <row r="620" spans="1:5" x14ac:dyDescent="0.25">
      <c r="A620" s="2">
        <v>44686</v>
      </c>
      <c r="B620" s="4" t="s">
        <v>9</v>
      </c>
      <c r="C620">
        <v>2317</v>
      </c>
      <c r="D620" t="s">
        <v>7</v>
      </c>
      <c r="E620" t="str">
        <f>IF(may[[#This Row],[ShiftCounter]]&gt;0, "Running", "Down")</f>
        <v>Running</v>
      </c>
    </row>
    <row r="621" spans="1:5" x14ac:dyDescent="0.25">
      <c r="A621" s="2">
        <v>44686</v>
      </c>
      <c r="B621" s="4" t="s">
        <v>9</v>
      </c>
      <c r="C621">
        <v>2055</v>
      </c>
      <c r="D621" t="s">
        <v>8</v>
      </c>
      <c r="E621" t="str">
        <f>IF(may[[#This Row],[ShiftCounter]]&gt;0, "Running", "Down")</f>
        <v>Running</v>
      </c>
    </row>
    <row r="622" spans="1:5" x14ac:dyDescent="0.25">
      <c r="A622" s="2">
        <v>44686</v>
      </c>
      <c r="B622" s="4" t="s">
        <v>11</v>
      </c>
      <c r="C622">
        <v>2391</v>
      </c>
      <c r="D622" t="s">
        <v>6</v>
      </c>
      <c r="E622" t="str">
        <f>IF(may[[#This Row],[ShiftCounter]]&gt;0, "Running", "Down")</f>
        <v>Running</v>
      </c>
    </row>
    <row r="623" spans="1:5" x14ac:dyDescent="0.25">
      <c r="A623" s="2">
        <v>44686</v>
      </c>
      <c r="B623" s="4" t="s">
        <v>11</v>
      </c>
      <c r="C623">
        <v>2418</v>
      </c>
      <c r="D623" t="s">
        <v>7</v>
      </c>
      <c r="E623" t="str">
        <f>IF(may[[#This Row],[ShiftCounter]]&gt;0, "Running", "Down")</f>
        <v>Running</v>
      </c>
    </row>
    <row r="624" spans="1:5" x14ac:dyDescent="0.25">
      <c r="A624" s="2">
        <v>44686</v>
      </c>
      <c r="B624" s="4" t="s">
        <v>11</v>
      </c>
      <c r="C624">
        <v>2120</v>
      </c>
      <c r="D624" t="s">
        <v>8</v>
      </c>
      <c r="E624" t="str">
        <f>IF(may[[#This Row],[ShiftCounter]]&gt;0, "Running", "Down")</f>
        <v>Running</v>
      </c>
    </row>
    <row r="625" spans="1:5" x14ac:dyDescent="0.25">
      <c r="A625" s="2">
        <v>44686</v>
      </c>
      <c r="B625" s="4" t="s">
        <v>10</v>
      </c>
      <c r="C625">
        <v>1933</v>
      </c>
      <c r="D625" t="s">
        <v>6</v>
      </c>
      <c r="E625" t="str">
        <f>IF(may[[#This Row],[ShiftCounter]]&gt;0, "Running", "Down")</f>
        <v>Running</v>
      </c>
    </row>
    <row r="626" spans="1:5" x14ac:dyDescent="0.25">
      <c r="A626" s="2">
        <v>44686</v>
      </c>
      <c r="B626" s="4" t="s">
        <v>10</v>
      </c>
      <c r="C626">
        <v>2283</v>
      </c>
      <c r="D626" t="s">
        <v>7</v>
      </c>
      <c r="E626" t="str">
        <f>IF(may[[#This Row],[ShiftCounter]]&gt;0, "Running", "Down")</f>
        <v>Running</v>
      </c>
    </row>
    <row r="627" spans="1:5" x14ac:dyDescent="0.25">
      <c r="A627" s="2">
        <v>44686</v>
      </c>
      <c r="B627" s="4" t="s">
        <v>10</v>
      </c>
      <c r="C627">
        <v>2045</v>
      </c>
      <c r="D627" t="s">
        <v>8</v>
      </c>
      <c r="E627" t="str">
        <f>IF(may[[#This Row],[ShiftCounter]]&gt;0, "Running", "Down")</f>
        <v>Running</v>
      </c>
    </row>
    <row r="628" spans="1:5" x14ac:dyDescent="0.25">
      <c r="A628" s="2">
        <v>44686</v>
      </c>
      <c r="B628" s="4" t="s">
        <v>12</v>
      </c>
      <c r="C628">
        <v>1880</v>
      </c>
      <c r="D628" t="s">
        <v>6</v>
      </c>
      <c r="E628" t="str">
        <f>IF(may[[#This Row],[ShiftCounter]]&gt;0, "Running", "Down")</f>
        <v>Running</v>
      </c>
    </row>
    <row r="629" spans="1:5" x14ac:dyDescent="0.25">
      <c r="A629" s="2">
        <v>44686</v>
      </c>
      <c r="B629" s="4" t="s">
        <v>12</v>
      </c>
      <c r="C629">
        <v>2195</v>
      </c>
      <c r="D629" t="s">
        <v>7</v>
      </c>
      <c r="E629" t="str">
        <f>IF(may[[#This Row],[ShiftCounter]]&gt;0, "Running", "Down")</f>
        <v>Running</v>
      </c>
    </row>
    <row r="630" spans="1:5" x14ac:dyDescent="0.25">
      <c r="A630" s="2">
        <v>44686</v>
      </c>
      <c r="B630" s="4" t="s">
        <v>12</v>
      </c>
      <c r="C630">
        <v>1935</v>
      </c>
      <c r="D630" t="s">
        <v>8</v>
      </c>
      <c r="E630" t="str">
        <f>IF(may[[#This Row],[ShiftCounter]]&gt;0, "Running", "Down")</f>
        <v>Running</v>
      </c>
    </row>
    <row r="631" spans="1:5" x14ac:dyDescent="0.25">
      <c r="A631" s="2">
        <v>44686</v>
      </c>
      <c r="B631" s="4" t="s">
        <v>13</v>
      </c>
      <c r="C631">
        <v>2248</v>
      </c>
      <c r="D631" t="s">
        <v>6</v>
      </c>
      <c r="E631" t="str">
        <f>IF(may[[#This Row],[ShiftCounter]]&gt;0, "Running", "Down")</f>
        <v>Running</v>
      </c>
    </row>
    <row r="632" spans="1:5" x14ac:dyDescent="0.25">
      <c r="A632" s="2">
        <v>44686</v>
      </c>
      <c r="B632" s="4" t="s">
        <v>13</v>
      </c>
      <c r="C632">
        <v>2304</v>
      </c>
      <c r="D632" t="s">
        <v>7</v>
      </c>
      <c r="E632" t="str">
        <f>IF(may[[#This Row],[ShiftCounter]]&gt;0, "Running", "Down")</f>
        <v>Running</v>
      </c>
    </row>
    <row r="633" spans="1:5" x14ac:dyDescent="0.25">
      <c r="A633" s="2">
        <v>44686</v>
      </c>
      <c r="B633" s="4" t="s">
        <v>13</v>
      </c>
      <c r="C633">
        <v>2075</v>
      </c>
      <c r="D633" t="s">
        <v>8</v>
      </c>
      <c r="E633" t="str">
        <f>IF(may[[#This Row],[ShiftCounter]]&gt;0, "Running", "Down")</f>
        <v>Running</v>
      </c>
    </row>
    <row r="634" spans="1:5" x14ac:dyDescent="0.25">
      <c r="A634" s="2">
        <v>44686</v>
      </c>
      <c r="B634" s="4" t="s">
        <v>14</v>
      </c>
      <c r="C634">
        <v>1770</v>
      </c>
      <c r="D634" t="s">
        <v>6</v>
      </c>
      <c r="E634" t="str">
        <f>IF(may[[#This Row],[ShiftCounter]]&gt;0, "Running", "Down")</f>
        <v>Running</v>
      </c>
    </row>
    <row r="635" spans="1:5" x14ac:dyDescent="0.25">
      <c r="A635" s="2">
        <v>44686</v>
      </c>
      <c r="B635" s="4" t="s">
        <v>14</v>
      </c>
      <c r="C635">
        <v>1812</v>
      </c>
      <c r="D635" t="s">
        <v>7</v>
      </c>
      <c r="E635" t="str">
        <f>IF(may[[#This Row],[ShiftCounter]]&gt;0, "Running", "Down")</f>
        <v>Running</v>
      </c>
    </row>
    <row r="636" spans="1:5" x14ac:dyDescent="0.25">
      <c r="A636" s="2">
        <v>44686</v>
      </c>
      <c r="B636" s="4" t="s">
        <v>14</v>
      </c>
      <c r="C636">
        <v>1588</v>
      </c>
      <c r="D636" t="s">
        <v>8</v>
      </c>
      <c r="E636" t="str">
        <f>IF(may[[#This Row],[ShiftCounter]]&gt;0, "Running", "Down")</f>
        <v>Running</v>
      </c>
    </row>
    <row r="637" spans="1:5" x14ac:dyDescent="0.25">
      <c r="A637" s="2">
        <v>44686</v>
      </c>
      <c r="B637" s="4" t="s">
        <v>15</v>
      </c>
      <c r="C637">
        <v>995</v>
      </c>
      <c r="D637" t="s">
        <v>6</v>
      </c>
      <c r="E637" t="str">
        <f>IF(may[[#This Row],[ShiftCounter]]&gt;0, "Running", "Down")</f>
        <v>Running</v>
      </c>
    </row>
    <row r="638" spans="1:5" x14ac:dyDescent="0.25">
      <c r="A638" s="2">
        <v>44686</v>
      </c>
      <c r="B638" s="4" t="s">
        <v>15</v>
      </c>
      <c r="C638">
        <v>2163</v>
      </c>
      <c r="D638" t="s">
        <v>7</v>
      </c>
      <c r="E638" t="str">
        <f>IF(may[[#This Row],[ShiftCounter]]&gt;0, "Running", "Down")</f>
        <v>Running</v>
      </c>
    </row>
    <row r="639" spans="1:5" x14ac:dyDescent="0.25">
      <c r="A639" s="2">
        <v>44686</v>
      </c>
      <c r="B639" s="4" t="s">
        <v>15</v>
      </c>
      <c r="C639">
        <v>1911</v>
      </c>
      <c r="D639" t="s">
        <v>8</v>
      </c>
      <c r="E639" t="str">
        <f>IF(may[[#This Row],[ShiftCounter]]&gt;0, "Running", "Down")</f>
        <v>Running</v>
      </c>
    </row>
    <row r="640" spans="1:5" x14ac:dyDescent="0.25">
      <c r="A640" s="2">
        <v>44686</v>
      </c>
      <c r="B640" s="4" t="s">
        <v>16</v>
      </c>
      <c r="C640">
        <v>2335</v>
      </c>
      <c r="D640" t="s">
        <v>6</v>
      </c>
      <c r="E640" t="str">
        <f>IF(may[[#This Row],[ShiftCounter]]&gt;0, "Running", "Down")</f>
        <v>Running</v>
      </c>
    </row>
    <row r="641" spans="1:5" x14ac:dyDescent="0.25">
      <c r="A641" s="2">
        <v>44686</v>
      </c>
      <c r="B641" s="4" t="s">
        <v>16</v>
      </c>
      <c r="C641">
        <v>2230</v>
      </c>
      <c r="D641" t="s">
        <v>7</v>
      </c>
      <c r="E641" t="str">
        <f>IF(may[[#This Row],[ShiftCounter]]&gt;0, "Running", "Down")</f>
        <v>Running</v>
      </c>
    </row>
    <row r="642" spans="1:5" x14ac:dyDescent="0.25">
      <c r="A642" s="2">
        <v>44686</v>
      </c>
      <c r="B642" s="4" t="s">
        <v>16</v>
      </c>
      <c r="C642">
        <v>2070</v>
      </c>
      <c r="D642" t="s">
        <v>8</v>
      </c>
      <c r="E642" t="str">
        <f>IF(may[[#This Row],[ShiftCounter]]&gt;0, "Running", "Down")</f>
        <v>Running</v>
      </c>
    </row>
    <row r="643" spans="1:5" x14ac:dyDescent="0.25">
      <c r="A643" s="2">
        <v>44686</v>
      </c>
      <c r="B643" s="4" t="s">
        <v>17</v>
      </c>
      <c r="C643">
        <v>2027</v>
      </c>
      <c r="D643" t="s">
        <v>6</v>
      </c>
      <c r="E643" t="str">
        <f>IF(may[[#This Row],[ShiftCounter]]&gt;0, "Running", "Down")</f>
        <v>Running</v>
      </c>
    </row>
    <row r="644" spans="1:5" x14ac:dyDescent="0.25">
      <c r="A644" s="2">
        <v>44686</v>
      </c>
      <c r="B644" s="4" t="s">
        <v>17</v>
      </c>
      <c r="C644">
        <v>2323</v>
      </c>
      <c r="D644" t="s">
        <v>7</v>
      </c>
      <c r="E644" t="str">
        <f>IF(may[[#This Row],[ShiftCounter]]&gt;0, "Running", "Down")</f>
        <v>Running</v>
      </c>
    </row>
    <row r="645" spans="1:5" x14ac:dyDescent="0.25">
      <c r="A645" s="2">
        <v>44686</v>
      </c>
      <c r="B645" s="4" t="s">
        <v>17</v>
      </c>
      <c r="C645">
        <v>2166</v>
      </c>
      <c r="D645" t="s">
        <v>8</v>
      </c>
      <c r="E645" t="str">
        <f>IF(may[[#This Row],[ShiftCounter]]&gt;0, "Running", "Down")</f>
        <v>Running</v>
      </c>
    </row>
    <row r="646" spans="1:5" x14ac:dyDescent="0.25">
      <c r="A646" s="2">
        <v>44686</v>
      </c>
      <c r="B646" s="4" t="s">
        <v>19</v>
      </c>
      <c r="C646">
        <v>2183</v>
      </c>
      <c r="D646" t="s">
        <v>6</v>
      </c>
      <c r="E646" t="str">
        <f>IF(may[[#This Row],[ShiftCounter]]&gt;0, "Running", "Down")</f>
        <v>Running</v>
      </c>
    </row>
    <row r="647" spans="1:5" x14ac:dyDescent="0.25">
      <c r="A647" s="2">
        <v>44686</v>
      </c>
      <c r="B647" s="4" t="s">
        <v>19</v>
      </c>
      <c r="C647">
        <v>1959</v>
      </c>
      <c r="D647" t="s">
        <v>7</v>
      </c>
      <c r="E647" t="str">
        <f>IF(may[[#This Row],[ShiftCounter]]&gt;0, "Running", "Down")</f>
        <v>Running</v>
      </c>
    </row>
    <row r="648" spans="1:5" x14ac:dyDescent="0.25">
      <c r="A648" s="2">
        <v>44686</v>
      </c>
      <c r="B648" s="4" t="s">
        <v>19</v>
      </c>
      <c r="C648">
        <v>1815</v>
      </c>
      <c r="D648" t="s">
        <v>8</v>
      </c>
      <c r="E648" t="str">
        <f>IF(may[[#This Row],[ShiftCounter]]&gt;0, "Running", "Down")</f>
        <v>Running</v>
      </c>
    </row>
    <row r="649" spans="1:5" x14ac:dyDescent="0.25">
      <c r="A649" s="2">
        <v>44686</v>
      </c>
      <c r="B649" s="4" t="s">
        <v>18</v>
      </c>
      <c r="C649">
        <v>2274</v>
      </c>
      <c r="D649" t="s">
        <v>6</v>
      </c>
      <c r="E649" t="str">
        <f>IF(may[[#This Row],[ShiftCounter]]&gt;0, "Running", "Down")</f>
        <v>Running</v>
      </c>
    </row>
    <row r="650" spans="1:5" x14ac:dyDescent="0.25">
      <c r="A650" s="2">
        <v>44686</v>
      </c>
      <c r="B650" s="4" t="s">
        <v>18</v>
      </c>
      <c r="C650">
        <v>2366</v>
      </c>
      <c r="D650" t="s">
        <v>7</v>
      </c>
      <c r="E650" t="str">
        <f>IF(may[[#This Row],[ShiftCounter]]&gt;0, "Running", "Down")</f>
        <v>Running</v>
      </c>
    </row>
    <row r="651" spans="1:5" x14ac:dyDescent="0.25">
      <c r="A651" s="2">
        <v>44686</v>
      </c>
      <c r="B651" s="4" t="s">
        <v>18</v>
      </c>
      <c r="C651">
        <v>2109</v>
      </c>
      <c r="D651" t="s">
        <v>8</v>
      </c>
      <c r="E651" t="str">
        <f>IF(may[[#This Row],[ShiftCounter]]&gt;0, "Running", "Down")</f>
        <v>Running</v>
      </c>
    </row>
    <row r="652" spans="1:5" x14ac:dyDescent="0.25">
      <c r="A652" s="2">
        <v>44686</v>
      </c>
      <c r="B652" s="4" t="s">
        <v>42</v>
      </c>
      <c r="C652">
        <v>2218</v>
      </c>
      <c r="D652" t="s">
        <v>6</v>
      </c>
      <c r="E652" t="str">
        <f>IF(may[[#This Row],[ShiftCounter]]&gt;0, "Running", "Down")</f>
        <v>Running</v>
      </c>
    </row>
    <row r="653" spans="1:5" x14ac:dyDescent="0.25">
      <c r="A653" s="2">
        <v>44686</v>
      </c>
      <c r="B653" s="4" t="s">
        <v>42</v>
      </c>
      <c r="C653">
        <v>2095</v>
      </c>
      <c r="D653" t="s">
        <v>7</v>
      </c>
      <c r="E653" t="str">
        <f>IF(may[[#This Row],[ShiftCounter]]&gt;0, "Running", "Down")</f>
        <v>Running</v>
      </c>
    </row>
    <row r="654" spans="1:5" x14ac:dyDescent="0.25">
      <c r="A654" s="2">
        <v>44686</v>
      </c>
      <c r="B654" s="4" t="s">
        <v>42</v>
      </c>
      <c r="C654">
        <v>1877</v>
      </c>
      <c r="D654" t="s">
        <v>8</v>
      </c>
      <c r="E654" t="str">
        <f>IF(may[[#This Row],[ShiftCounter]]&gt;0, "Running", "Down")</f>
        <v>Running</v>
      </c>
    </row>
    <row r="655" spans="1:5" x14ac:dyDescent="0.25">
      <c r="A655" s="2">
        <v>44686</v>
      </c>
      <c r="B655" s="4" t="s">
        <v>38</v>
      </c>
      <c r="C655">
        <v>2195</v>
      </c>
      <c r="D655" t="s">
        <v>6</v>
      </c>
      <c r="E655" t="str">
        <f>IF(may[[#This Row],[ShiftCounter]]&gt;0, "Running", "Down")</f>
        <v>Running</v>
      </c>
    </row>
    <row r="656" spans="1:5" x14ac:dyDescent="0.25">
      <c r="A656" s="2">
        <v>44686</v>
      </c>
      <c r="B656" s="4" t="s">
        <v>38</v>
      </c>
      <c r="C656">
        <v>2124</v>
      </c>
      <c r="D656" t="s">
        <v>7</v>
      </c>
      <c r="E656" t="str">
        <f>IF(may[[#This Row],[ShiftCounter]]&gt;0, "Running", "Down")</f>
        <v>Running</v>
      </c>
    </row>
    <row r="657" spans="1:5" x14ac:dyDescent="0.25">
      <c r="A657" s="2">
        <v>44686</v>
      </c>
      <c r="B657" s="4" t="s">
        <v>38</v>
      </c>
      <c r="C657">
        <v>1966</v>
      </c>
      <c r="D657" t="s">
        <v>8</v>
      </c>
      <c r="E657" t="str">
        <f>IF(may[[#This Row],[ShiftCounter]]&gt;0, "Running", "Down")</f>
        <v>Running</v>
      </c>
    </row>
    <row r="658" spans="1:5" x14ac:dyDescent="0.25">
      <c r="A658" s="2">
        <v>44686</v>
      </c>
      <c r="B658" s="4" t="s">
        <v>20</v>
      </c>
      <c r="C658">
        <v>2164</v>
      </c>
      <c r="D658" t="s">
        <v>6</v>
      </c>
      <c r="E658" t="str">
        <f>IF(may[[#This Row],[ShiftCounter]]&gt;0, "Running", "Down")</f>
        <v>Running</v>
      </c>
    </row>
    <row r="659" spans="1:5" x14ac:dyDescent="0.25">
      <c r="A659" s="2">
        <v>44686</v>
      </c>
      <c r="B659" s="4" t="s">
        <v>20</v>
      </c>
      <c r="C659">
        <v>2144</v>
      </c>
      <c r="D659" t="s">
        <v>7</v>
      </c>
      <c r="E659" t="str">
        <f>IF(may[[#This Row],[ShiftCounter]]&gt;0, "Running", "Down")</f>
        <v>Running</v>
      </c>
    </row>
    <row r="660" spans="1:5" x14ac:dyDescent="0.25">
      <c r="A660" s="2">
        <v>44686</v>
      </c>
      <c r="B660" s="4" t="s">
        <v>20</v>
      </c>
      <c r="C660">
        <v>1969</v>
      </c>
      <c r="D660" t="s">
        <v>8</v>
      </c>
      <c r="E660" t="str">
        <f>IF(may[[#This Row],[ShiftCounter]]&gt;0, "Running", "Down")</f>
        <v>Running</v>
      </c>
    </row>
    <row r="661" spans="1:5" x14ac:dyDescent="0.25">
      <c r="A661" s="2">
        <v>44686</v>
      </c>
      <c r="B661" s="4" t="s">
        <v>21</v>
      </c>
      <c r="C661">
        <v>2236</v>
      </c>
      <c r="D661" t="s">
        <v>6</v>
      </c>
      <c r="E661" t="str">
        <f>IF(may[[#This Row],[ShiftCounter]]&gt;0, "Running", "Down")</f>
        <v>Running</v>
      </c>
    </row>
    <row r="662" spans="1:5" x14ac:dyDescent="0.25">
      <c r="A662" s="2">
        <v>44686</v>
      </c>
      <c r="B662" s="4" t="s">
        <v>21</v>
      </c>
      <c r="C662">
        <v>2155</v>
      </c>
      <c r="D662" t="s">
        <v>7</v>
      </c>
      <c r="E662" t="str">
        <f>IF(may[[#This Row],[ShiftCounter]]&gt;0, "Running", "Down")</f>
        <v>Running</v>
      </c>
    </row>
    <row r="663" spans="1:5" x14ac:dyDescent="0.25">
      <c r="A663" s="2">
        <v>44686</v>
      </c>
      <c r="B663" s="4" t="s">
        <v>21</v>
      </c>
      <c r="C663">
        <v>1907</v>
      </c>
      <c r="D663" t="s">
        <v>8</v>
      </c>
      <c r="E663" t="str">
        <f>IF(may[[#This Row],[ShiftCounter]]&gt;0, "Running", "Down")</f>
        <v>Running</v>
      </c>
    </row>
    <row r="664" spans="1:5" x14ac:dyDescent="0.25">
      <c r="A664" s="2">
        <v>44686</v>
      </c>
      <c r="B664" s="4" t="s">
        <v>22</v>
      </c>
      <c r="C664">
        <v>2264</v>
      </c>
      <c r="D664" t="s">
        <v>6</v>
      </c>
      <c r="E664" t="str">
        <f>IF(may[[#This Row],[ShiftCounter]]&gt;0, "Running", "Down")</f>
        <v>Running</v>
      </c>
    </row>
    <row r="665" spans="1:5" x14ac:dyDescent="0.25">
      <c r="A665" s="2">
        <v>44686</v>
      </c>
      <c r="B665" s="4" t="s">
        <v>22</v>
      </c>
      <c r="C665">
        <v>1943</v>
      </c>
      <c r="D665" t="s">
        <v>7</v>
      </c>
      <c r="E665" t="str">
        <f>IF(may[[#This Row],[ShiftCounter]]&gt;0, "Running", "Down")</f>
        <v>Running</v>
      </c>
    </row>
    <row r="666" spans="1:5" x14ac:dyDescent="0.25">
      <c r="A666" s="2">
        <v>44686</v>
      </c>
      <c r="B666" s="4" t="s">
        <v>22</v>
      </c>
      <c r="C666">
        <v>2074</v>
      </c>
      <c r="D666" t="s">
        <v>8</v>
      </c>
      <c r="E666" t="str">
        <f>IF(may[[#This Row],[ShiftCounter]]&gt;0, "Running", "Down")</f>
        <v>Running</v>
      </c>
    </row>
    <row r="667" spans="1:5" x14ac:dyDescent="0.25">
      <c r="A667" s="2">
        <v>44686</v>
      </c>
      <c r="B667" s="4" t="s">
        <v>23</v>
      </c>
      <c r="C667">
        <v>2387</v>
      </c>
      <c r="D667" t="s">
        <v>6</v>
      </c>
      <c r="E667" t="str">
        <f>IF(may[[#This Row],[ShiftCounter]]&gt;0, "Running", "Down")</f>
        <v>Running</v>
      </c>
    </row>
    <row r="668" spans="1:5" x14ac:dyDescent="0.25">
      <c r="A668" s="2">
        <v>44686</v>
      </c>
      <c r="B668" s="4" t="s">
        <v>23</v>
      </c>
      <c r="C668">
        <v>2285</v>
      </c>
      <c r="D668" t="s">
        <v>7</v>
      </c>
      <c r="E668" t="str">
        <f>IF(may[[#This Row],[ShiftCounter]]&gt;0, "Running", "Down")</f>
        <v>Running</v>
      </c>
    </row>
    <row r="669" spans="1:5" x14ac:dyDescent="0.25">
      <c r="A669" s="2">
        <v>44686</v>
      </c>
      <c r="B669" s="4" t="s">
        <v>23</v>
      </c>
      <c r="C669">
        <v>2181</v>
      </c>
      <c r="D669" t="s">
        <v>8</v>
      </c>
      <c r="E669" t="str">
        <f>IF(may[[#This Row],[ShiftCounter]]&gt;0, "Running", "Down")</f>
        <v>Running</v>
      </c>
    </row>
    <row r="670" spans="1:5" x14ac:dyDescent="0.25">
      <c r="A670" s="2">
        <v>44686</v>
      </c>
      <c r="B670" s="4" t="s">
        <v>24</v>
      </c>
      <c r="C670">
        <v>2174</v>
      </c>
      <c r="D670" t="s">
        <v>6</v>
      </c>
      <c r="E670" t="str">
        <f>IF(may[[#This Row],[ShiftCounter]]&gt;0, "Running", "Down")</f>
        <v>Running</v>
      </c>
    </row>
    <row r="671" spans="1:5" x14ac:dyDescent="0.25">
      <c r="A671" s="2">
        <v>44686</v>
      </c>
      <c r="B671" s="4" t="s">
        <v>24</v>
      </c>
      <c r="C671">
        <v>1983</v>
      </c>
      <c r="D671" t="s">
        <v>7</v>
      </c>
      <c r="E671" t="str">
        <f>IF(may[[#This Row],[ShiftCounter]]&gt;0, "Running", "Down")</f>
        <v>Running</v>
      </c>
    </row>
    <row r="672" spans="1:5" x14ac:dyDescent="0.25">
      <c r="A672" s="2">
        <v>44686</v>
      </c>
      <c r="B672" s="4" t="s">
        <v>24</v>
      </c>
      <c r="C672">
        <v>1884</v>
      </c>
      <c r="D672" t="s">
        <v>8</v>
      </c>
      <c r="E672" t="str">
        <f>IF(may[[#This Row],[ShiftCounter]]&gt;0, "Running", "Down")</f>
        <v>Running</v>
      </c>
    </row>
    <row r="673" spans="1:5" x14ac:dyDescent="0.25">
      <c r="A673" s="2">
        <v>44686</v>
      </c>
      <c r="B673" s="4" t="s">
        <v>25</v>
      </c>
      <c r="C673">
        <v>2358</v>
      </c>
      <c r="D673" t="s">
        <v>6</v>
      </c>
      <c r="E673" t="str">
        <f>IF(may[[#This Row],[ShiftCounter]]&gt;0, "Running", "Down")</f>
        <v>Running</v>
      </c>
    </row>
    <row r="674" spans="1:5" x14ac:dyDescent="0.25">
      <c r="A674" s="2">
        <v>44686</v>
      </c>
      <c r="B674" s="4" t="s">
        <v>25</v>
      </c>
      <c r="C674">
        <v>2233</v>
      </c>
      <c r="D674" t="s">
        <v>7</v>
      </c>
      <c r="E674" t="str">
        <f>IF(may[[#This Row],[ShiftCounter]]&gt;0, "Running", "Down")</f>
        <v>Running</v>
      </c>
    </row>
    <row r="675" spans="1:5" x14ac:dyDescent="0.25">
      <c r="A675" s="2">
        <v>44686</v>
      </c>
      <c r="B675" s="4" t="s">
        <v>25</v>
      </c>
      <c r="C675">
        <v>2025</v>
      </c>
      <c r="D675" t="s">
        <v>8</v>
      </c>
      <c r="E675" t="str">
        <f>IF(may[[#This Row],[ShiftCounter]]&gt;0, "Running", "Down")</f>
        <v>Running</v>
      </c>
    </row>
    <row r="676" spans="1:5" x14ac:dyDescent="0.25">
      <c r="A676" s="2">
        <v>44686</v>
      </c>
      <c r="B676" s="4" t="s">
        <v>26</v>
      </c>
      <c r="C676">
        <v>1597</v>
      </c>
      <c r="D676" t="s">
        <v>6</v>
      </c>
      <c r="E676" t="str">
        <f>IF(may[[#This Row],[ShiftCounter]]&gt;0, "Running", "Down")</f>
        <v>Running</v>
      </c>
    </row>
    <row r="677" spans="1:5" x14ac:dyDescent="0.25">
      <c r="A677" s="2">
        <v>44686</v>
      </c>
      <c r="B677" s="4" t="s">
        <v>26</v>
      </c>
      <c r="C677">
        <v>2116</v>
      </c>
      <c r="D677" t="s">
        <v>7</v>
      </c>
      <c r="E677" t="str">
        <f>IF(may[[#This Row],[ShiftCounter]]&gt;0, "Running", "Down")</f>
        <v>Running</v>
      </c>
    </row>
    <row r="678" spans="1:5" x14ac:dyDescent="0.25">
      <c r="A678" s="2">
        <v>44686</v>
      </c>
      <c r="B678" s="4" t="s">
        <v>26</v>
      </c>
      <c r="C678">
        <v>2010</v>
      </c>
      <c r="D678" t="s">
        <v>8</v>
      </c>
      <c r="E678" t="str">
        <f>IF(may[[#This Row],[ShiftCounter]]&gt;0, "Running", "Down")</f>
        <v>Running</v>
      </c>
    </row>
    <row r="679" spans="1:5" x14ac:dyDescent="0.25">
      <c r="A679" s="2">
        <v>44686</v>
      </c>
      <c r="B679" s="4" t="s">
        <v>27</v>
      </c>
      <c r="C679">
        <v>2149</v>
      </c>
      <c r="D679" t="s">
        <v>6</v>
      </c>
      <c r="E679" t="str">
        <f>IF(may[[#This Row],[ShiftCounter]]&gt;0, "Running", "Down")</f>
        <v>Running</v>
      </c>
    </row>
    <row r="680" spans="1:5" x14ac:dyDescent="0.25">
      <c r="A680" s="2">
        <v>44686</v>
      </c>
      <c r="B680" s="4" t="s">
        <v>27</v>
      </c>
      <c r="C680">
        <v>2167</v>
      </c>
      <c r="D680" t="s">
        <v>7</v>
      </c>
      <c r="E680" t="str">
        <f>IF(may[[#This Row],[ShiftCounter]]&gt;0, "Running", "Down")</f>
        <v>Running</v>
      </c>
    </row>
    <row r="681" spans="1:5" x14ac:dyDescent="0.25">
      <c r="A681" s="2">
        <v>44686</v>
      </c>
      <c r="B681" s="4" t="s">
        <v>27</v>
      </c>
      <c r="C681">
        <v>2057</v>
      </c>
      <c r="D681" t="s">
        <v>8</v>
      </c>
      <c r="E681" t="str">
        <f>IF(may[[#This Row],[ShiftCounter]]&gt;0, "Running", "Down")</f>
        <v>Running</v>
      </c>
    </row>
    <row r="682" spans="1:5" x14ac:dyDescent="0.25">
      <c r="A682" s="2">
        <v>44686</v>
      </c>
      <c r="B682" s="4" t="s">
        <v>28</v>
      </c>
      <c r="C682">
        <v>2240</v>
      </c>
      <c r="D682" t="s">
        <v>6</v>
      </c>
      <c r="E682" t="str">
        <f>IF(may[[#This Row],[ShiftCounter]]&gt;0, "Running", "Down")</f>
        <v>Running</v>
      </c>
    </row>
    <row r="683" spans="1:5" x14ac:dyDescent="0.25">
      <c r="A683" s="2">
        <v>44686</v>
      </c>
      <c r="B683" s="4" t="s">
        <v>28</v>
      </c>
      <c r="C683">
        <v>2259</v>
      </c>
      <c r="D683" t="s">
        <v>7</v>
      </c>
      <c r="E683" t="str">
        <f>IF(may[[#This Row],[ShiftCounter]]&gt;0, "Running", "Down")</f>
        <v>Running</v>
      </c>
    </row>
    <row r="684" spans="1:5" x14ac:dyDescent="0.25">
      <c r="A684" s="2">
        <v>44686</v>
      </c>
      <c r="B684" s="4" t="s">
        <v>28</v>
      </c>
      <c r="C684">
        <v>1935</v>
      </c>
      <c r="D684" t="s">
        <v>8</v>
      </c>
      <c r="E684" t="str">
        <f>IF(may[[#This Row],[ShiftCounter]]&gt;0, "Running", "Down")</f>
        <v>Running</v>
      </c>
    </row>
    <row r="685" spans="1:5" x14ac:dyDescent="0.25">
      <c r="A685" s="2">
        <v>44686</v>
      </c>
      <c r="B685" s="4" t="s">
        <v>29</v>
      </c>
      <c r="C685">
        <v>2136</v>
      </c>
      <c r="D685" t="s">
        <v>6</v>
      </c>
      <c r="E685" t="str">
        <f>IF(may[[#This Row],[ShiftCounter]]&gt;0, "Running", "Down")</f>
        <v>Running</v>
      </c>
    </row>
    <row r="686" spans="1:5" x14ac:dyDescent="0.25">
      <c r="A686" s="2">
        <v>44686</v>
      </c>
      <c r="B686" s="4" t="s">
        <v>29</v>
      </c>
      <c r="C686">
        <v>2271</v>
      </c>
      <c r="D686" t="s">
        <v>7</v>
      </c>
      <c r="E686" t="str">
        <f>IF(may[[#This Row],[ShiftCounter]]&gt;0, "Running", "Down")</f>
        <v>Running</v>
      </c>
    </row>
    <row r="687" spans="1:5" x14ac:dyDescent="0.25">
      <c r="A687" s="2">
        <v>44686</v>
      </c>
      <c r="B687" s="4" t="s">
        <v>29</v>
      </c>
      <c r="C687">
        <v>1858</v>
      </c>
      <c r="D687" t="s">
        <v>8</v>
      </c>
      <c r="E687" t="str">
        <f>IF(may[[#This Row],[ShiftCounter]]&gt;0, "Running", "Down")</f>
        <v>Running</v>
      </c>
    </row>
    <row r="688" spans="1:5" x14ac:dyDescent="0.25">
      <c r="A688" s="2">
        <v>44686</v>
      </c>
      <c r="B688" s="4" t="s">
        <v>30</v>
      </c>
      <c r="C688">
        <v>2234</v>
      </c>
      <c r="D688" t="s">
        <v>6</v>
      </c>
      <c r="E688" t="str">
        <f>IF(may[[#This Row],[ShiftCounter]]&gt;0, "Running", "Down")</f>
        <v>Running</v>
      </c>
    </row>
    <row r="689" spans="1:5" x14ac:dyDescent="0.25">
      <c r="A689" s="2">
        <v>44686</v>
      </c>
      <c r="B689" s="4" t="s">
        <v>30</v>
      </c>
      <c r="C689">
        <v>2292</v>
      </c>
      <c r="D689" t="s">
        <v>7</v>
      </c>
      <c r="E689" t="str">
        <f>IF(may[[#This Row],[ShiftCounter]]&gt;0, "Running", "Down")</f>
        <v>Running</v>
      </c>
    </row>
    <row r="690" spans="1:5" x14ac:dyDescent="0.25">
      <c r="A690" s="2">
        <v>44686</v>
      </c>
      <c r="B690" s="4" t="s">
        <v>30</v>
      </c>
      <c r="C690">
        <v>2033</v>
      </c>
      <c r="D690" t="s">
        <v>8</v>
      </c>
      <c r="E690" t="str">
        <f>IF(may[[#This Row],[ShiftCounter]]&gt;0, "Running", "Down")</f>
        <v>Running</v>
      </c>
    </row>
    <row r="691" spans="1:5" x14ac:dyDescent="0.25">
      <c r="A691" s="2">
        <v>44686</v>
      </c>
      <c r="B691" s="4" t="s">
        <v>31</v>
      </c>
      <c r="C691">
        <v>1169</v>
      </c>
      <c r="D691" t="s">
        <v>6</v>
      </c>
      <c r="E691" t="str">
        <f>IF(may[[#This Row],[ShiftCounter]]&gt;0, "Running", "Down")</f>
        <v>Running</v>
      </c>
    </row>
    <row r="692" spans="1:5" x14ac:dyDescent="0.25">
      <c r="A692" s="2">
        <v>44686</v>
      </c>
      <c r="B692" s="4" t="s">
        <v>31</v>
      </c>
      <c r="C692">
        <v>1991</v>
      </c>
      <c r="D692" t="s">
        <v>8</v>
      </c>
      <c r="E692" t="str">
        <f>IF(may[[#This Row],[ShiftCounter]]&gt;0, "Running", "Down")</f>
        <v>Running</v>
      </c>
    </row>
    <row r="693" spans="1:5" x14ac:dyDescent="0.25">
      <c r="A693" s="2">
        <v>44686</v>
      </c>
      <c r="B693" s="4" t="s">
        <v>32</v>
      </c>
      <c r="C693">
        <v>2218</v>
      </c>
      <c r="D693" t="s">
        <v>6</v>
      </c>
      <c r="E693" t="str">
        <f>IF(may[[#This Row],[ShiftCounter]]&gt;0, "Running", "Down")</f>
        <v>Running</v>
      </c>
    </row>
    <row r="694" spans="1:5" x14ac:dyDescent="0.25">
      <c r="A694" s="2">
        <v>44686</v>
      </c>
      <c r="B694" s="4" t="s">
        <v>32</v>
      </c>
      <c r="C694">
        <v>2295</v>
      </c>
      <c r="D694" t="s">
        <v>7</v>
      </c>
      <c r="E694" t="str">
        <f>IF(may[[#This Row],[ShiftCounter]]&gt;0, "Running", "Down")</f>
        <v>Running</v>
      </c>
    </row>
    <row r="695" spans="1:5" x14ac:dyDescent="0.25">
      <c r="A695" s="2">
        <v>44686</v>
      </c>
      <c r="B695" s="4" t="s">
        <v>32</v>
      </c>
      <c r="C695">
        <v>2230</v>
      </c>
      <c r="D695" t="s">
        <v>8</v>
      </c>
      <c r="E695" t="str">
        <f>IF(may[[#This Row],[ShiftCounter]]&gt;0, "Running", "Down")</f>
        <v>Running</v>
      </c>
    </row>
    <row r="696" spans="1:5" x14ac:dyDescent="0.25">
      <c r="A696" s="2">
        <v>44686</v>
      </c>
      <c r="B696" s="4" t="s">
        <v>33</v>
      </c>
      <c r="C696">
        <v>553</v>
      </c>
      <c r="D696" t="s">
        <v>6</v>
      </c>
      <c r="E696" t="str">
        <f>IF(may[[#This Row],[ShiftCounter]]&gt;0, "Running", "Down")</f>
        <v>Running</v>
      </c>
    </row>
    <row r="697" spans="1:5" x14ac:dyDescent="0.25">
      <c r="A697" s="2">
        <v>44686</v>
      </c>
      <c r="B697" s="4" t="s">
        <v>33</v>
      </c>
      <c r="C697">
        <v>2252</v>
      </c>
      <c r="D697" t="s">
        <v>7</v>
      </c>
      <c r="E697" t="str">
        <f>IF(may[[#This Row],[ShiftCounter]]&gt;0, "Running", "Down")</f>
        <v>Running</v>
      </c>
    </row>
    <row r="698" spans="1:5" x14ac:dyDescent="0.25">
      <c r="A698" s="2">
        <v>44686</v>
      </c>
      <c r="B698" s="4" t="s">
        <v>33</v>
      </c>
      <c r="C698">
        <v>2155</v>
      </c>
      <c r="D698" t="s">
        <v>8</v>
      </c>
      <c r="E698" t="str">
        <f>IF(may[[#This Row],[ShiftCounter]]&gt;0, "Running", "Down")</f>
        <v>Running</v>
      </c>
    </row>
    <row r="699" spans="1:5" x14ac:dyDescent="0.25">
      <c r="A699" s="2">
        <v>44686</v>
      </c>
      <c r="B699" s="4" t="s">
        <v>34</v>
      </c>
      <c r="C699">
        <v>1802</v>
      </c>
      <c r="D699" t="s">
        <v>6</v>
      </c>
      <c r="E699" t="str">
        <f>IF(may[[#This Row],[ShiftCounter]]&gt;0, "Running", "Down")</f>
        <v>Running</v>
      </c>
    </row>
    <row r="700" spans="1:5" x14ac:dyDescent="0.25">
      <c r="A700" s="2">
        <v>44686</v>
      </c>
      <c r="B700" s="4" t="s">
        <v>34</v>
      </c>
      <c r="C700">
        <v>1764</v>
      </c>
      <c r="D700" t="s">
        <v>7</v>
      </c>
      <c r="E700" t="str">
        <f>IF(may[[#This Row],[ShiftCounter]]&gt;0, "Running", "Down")</f>
        <v>Running</v>
      </c>
    </row>
    <row r="701" spans="1:5" x14ac:dyDescent="0.25">
      <c r="A701" s="2">
        <v>44686</v>
      </c>
      <c r="B701" s="4" t="s">
        <v>34</v>
      </c>
      <c r="C701">
        <v>1884</v>
      </c>
      <c r="D701" t="s">
        <v>8</v>
      </c>
      <c r="E701" t="str">
        <f>IF(may[[#This Row],[ShiftCounter]]&gt;0, "Running", "Down")</f>
        <v>Running</v>
      </c>
    </row>
    <row r="702" spans="1:5" x14ac:dyDescent="0.25">
      <c r="A702" s="2">
        <v>44686</v>
      </c>
      <c r="B702" s="4" t="s">
        <v>35</v>
      </c>
      <c r="C702">
        <v>2098</v>
      </c>
      <c r="D702" t="s">
        <v>6</v>
      </c>
      <c r="E702" t="str">
        <f>IF(may[[#This Row],[ShiftCounter]]&gt;0, "Running", "Down")</f>
        <v>Running</v>
      </c>
    </row>
    <row r="703" spans="1:5" x14ac:dyDescent="0.25">
      <c r="A703" s="2">
        <v>44686</v>
      </c>
      <c r="B703" s="4" t="s">
        <v>35</v>
      </c>
      <c r="C703">
        <v>2041</v>
      </c>
      <c r="D703" t="s">
        <v>7</v>
      </c>
      <c r="E703" t="str">
        <f>IF(may[[#This Row],[ShiftCounter]]&gt;0, "Running", "Down")</f>
        <v>Running</v>
      </c>
    </row>
    <row r="704" spans="1:5" x14ac:dyDescent="0.25">
      <c r="A704" s="2">
        <v>44686</v>
      </c>
      <c r="B704" s="4" t="s">
        <v>35</v>
      </c>
      <c r="C704">
        <v>1947</v>
      </c>
      <c r="D704" t="s">
        <v>8</v>
      </c>
      <c r="E704" t="str">
        <f>IF(may[[#This Row],[ShiftCounter]]&gt;0, "Running", "Down")</f>
        <v>Running</v>
      </c>
    </row>
    <row r="705" spans="1:5" x14ac:dyDescent="0.25">
      <c r="A705" s="2">
        <v>44686</v>
      </c>
      <c r="B705" s="4" t="s">
        <v>36</v>
      </c>
      <c r="C705">
        <v>626</v>
      </c>
      <c r="D705" t="s">
        <v>6</v>
      </c>
      <c r="E705" t="str">
        <f>IF(may[[#This Row],[ShiftCounter]]&gt;0, "Running", "Down")</f>
        <v>Running</v>
      </c>
    </row>
    <row r="706" spans="1:5" x14ac:dyDescent="0.25">
      <c r="A706" s="2">
        <v>44686</v>
      </c>
      <c r="B706" s="4" t="s">
        <v>36</v>
      </c>
      <c r="C706">
        <v>2058</v>
      </c>
      <c r="D706" t="s">
        <v>7</v>
      </c>
      <c r="E706" t="str">
        <f>IF(may[[#This Row],[ShiftCounter]]&gt;0, "Running", "Down")</f>
        <v>Running</v>
      </c>
    </row>
    <row r="707" spans="1:5" x14ac:dyDescent="0.25">
      <c r="A707" s="2">
        <v>44686</v>
      </c>
      <c r="B707" s="4" t="s">
        <v>36</v>
      </c>
      <c r="C707">
        <v>2171</v>
      </c>
      <c r="D707" t="s">
        <v>8</v>
      </c>
      <c r="E707" t="str">
        <f>IF(may[[#This Row],[ShiftCounter]]&gt;0, "Running", "Down")</f>
        <v>Running</v>
      </c>
    </row>
    <row r="708" spans="1:5" x14ac:dyDescent="0.25">
      <c r="A708" s="2">
        <v>44686</v>
      </c>
      <c r="B708" s="4" t="s">
        <v>37</v>
      </c>
      <c r="C708">
        <v>2368</v>
      </c>
      <c r="D708" t="s">
        <v>6</v>
      </c>
      <c r="E708" t="str">
        <f>IF(may[[#This Row],[ShiftCounter]]&gt;0, "Running", "Down")</f>
        <v>Running</v>
      </c>
    </row>
    <row r="709" spans="1:5" x14ac:dyDescent="0.25">
      <c r="A709" s="2">
        <v>44686</v>
      </c>
      <c r="B709" s="4" t="s">
        <v>37</v>
      </c>
      <c r="C709">
        <v>2115</v>
      </c>
      <c r="D709" t="s">
        <v>7</v>
      </c>
      <c r="E709" t="str">
        <f>IF(may[[#This Row],[ShiftCounter]]&gt;0, "Running", "Down")</f>
        <v>Running</v>
      </c>
    </row>
    <row r="710" spans="1:5" x14ac:dyDescent="0.25">
      <c r="A710" s="2">
        <v>44686</v>
      </c>
      <c r="B710" s="4" t="s">
        <v>37</v>
      </c>
      <c r="C710">
        <v>2190</v>
      </c>
      <c r="D710" t="s">
        <v>8</v>
      </c>
      <c r="E710" t="str">
        <f>IF(may[[#This Row],[ShiftCounter]]&gt;0, "Running", "Down")</f>
        <v>Running</v>
      </c>
    </row>
    <row r="711" spans="1:5" x14ac:dyDescent="0.25">
      <c r="A711" s="2">
        <v>44684</v>
      </c>
      <c r="B711" s="4" t="s">
        <v>42</v>
      </c>
      <c r="C711">
        <v>1469</v>
      </c>
      <c r="D711" t="s">
        <v>6</v>
      </c>
      <c r="E711" t="str">
        <f>IF(may[[#This Row],[ShiftCounter]]&gt;0, "Running", "Down")</f>
        <v>Running</v>
      </c>
    </row>
    <row r="712" spans="1:5" x14ac:dyDescent="0.25">
      <c r="A712" s="2">
        <v>44684</v>
      </c>
      <c r="B712" s="4" t="s">
        <v>42</v>
      </c>
      <c r="C712">
        <v>2093</v>
      </c>
      <c r="D712" t="s">
        <v>7</v>
      </c>
      <c r="E712" t="str">
        <f>IF(may[[#This Row],[ShiftCounter]]&gt;0, "Running", "Down")</f>
        <v>Running</v>
      </c>
    </row>
    <row r="713" spans="1:5" x14ac:dyDescent="0.25">
      <c r="A713" s="2">
        <v>44684</v>
      </c>
      <c r="B713" s="4" t="s">
        <v>42</v>
      </c>
      <c r="C713">
        <v>1889</v>
      </c>
      <c r="D713" t="s">
        <v>8</v>
      </c>
      <c r="E713" t="str">
        <f>IF(may[[#This Row],[ShiftCounter]]&gt;0, "Running", "Down")</f>
        <v>Running</v>
      </c>
    </row>
    <row r="714" spans="1:5" x14ac:dyDescent="0.25">
      <c r="A714" s="2">
        <v>44684</v>
      </c>
      <c r="B714" s="4" t="s">
        <v>38</v>
      </c>
      <c r="C714">
        <v>1622</v>
      </c>
      <c r="D714" t="s">
        <v>6</v>
      </c>
      <c r="E714" t="str">
        <f>IF(may[[#This Row],[ShiftCounter]]&gt;0, "Running", "Down")</f>
        <v>Running</v>
      </c>
    </row>
    <row r="715" spans="1:5" x14ac:dyDescent="0.25">
      <c r="A715" s="2">
        <v>44684</v>
      </c>
      <c r="B715" s="4" t="s">
        <v>38</v>
      </c>
      <c r="C715">
        <v>2072</v>
      </c>
      <c r="D715" t="s">
        <v>7</v>
      </c>
      <c r="E715" t="str">
        <f>IF(may[[#This Row],[ShiftCounter]]&gt;0, "Running", "Down")</f>
        <v>Running</v>
      </c>
    </row>
    <row r="716" spans="1:5" x14ac:dyDescent="0.25">
      <c r="A716" s="2">
        <v>44684</v>
      </c>
      <c r="B716" s="4" t="s">
        <v>38</v>
      </c>
      <c r="C716">
        <v>1845</v>
      </c>
      <c r="D716" t="s">
        <v>8</v>
      </c>
      <c r="E716" t="str">
        <f>IF(may[[#This Row],[ShiftCounter]]&gt;0, "Running", "Down")</f>
        <v>Running</v>
      </c>
    </row>
    <row r="717" spans="1:5" x14ac:dyDescent="0.25">
      <c r="A717" s="2">
        <v>44684</v>
      </c>
      <c r="B717" s="4" t="s">
        <v>20</v>
      </c>
      <c r="C717">
        <v>1130</v>
      </c>
      <c r="D717" t="s">
        <v>6</v>
      </c>
      <c r="E717" t="str">
        <f>IF(may[[#This Row],[ShiftCounter]]&gt;0, "Running", "Down")</f>
        <v>Running</v>
      </c>
    </row>
    <row r="718" spans="1:5" x14ac:dyDescent="0.25">
      <c r="A718" s="2">
        <v>44684</v>
      </c>
      <c r="B718" s="4" t="s">
        <v>20</v>
      </c>
      <c r="C718">
        <v>1770</v>
      </c>
      <c r="D718" t="s">
        <v>7</v>
      </c>
      <c r="E718" t="str">
        <f>IF(may[[#This Row],[ShiftCounter]]&gt;0, "Running", "Down")</f>
        <v>Running</v>
      </c>
    </row>
    <row r="719" spans="1:5" x14ac:dyDescent="0.25">
      <c r="A719" s="2">
        <v>44684</v>
      </c>
      <c r="B719" s="4" t="s">
        <v>20</v>
      </c>
      <c r="C719">
        <v>1898</v>
      </c>
      <c r="D719" t="s">
        <v>8</v>
      </c>
      <c r="E719" t="str">
        <f>IF(may[[#This Row],[ShiftCounter]]&gt;0, "Running", "Down")</f>
        <v>Running</v>
      </c>
    </row>
    <row r="720" spans="1:5" x14ac:dyDescent="0.25">
      <c r="A720" s="2">
        <v>44684</v>
      </c>
      <c r="B720" s="4" t="s">
        <v>21</v>
      </c>
      <c r="C720">
        <v>2155</v>
      </c>
      <c r="D720" t="s">
        <v>6</v>
      </c>
      <c r="E720" t="str">
        <f>IF(may[[#This Row],[ShiftCounter]]&gt;0, "Running", "Down")</f>
        <v>Running</v>
      </c>
    </row>
    <row r="721" spans="1:5" x14ac:dyDescent="0.25">
      <c r="A721" s="2">
        <v>44684</v>
      </c>
      <c r="B721" s="4" t="s">
        <v>21</v>
      </c>
      <c r="C721">
        <v>2111</v>
      </c>
      <c r="D721" t="s">
        <v>7</v>
      </c>
      <c r="E721" t="str">
        <f>IF(may[[#This Row],[ShiftCounter]]&gt;0, "Running", "Down")</f>
        <v>Running</v>
      </c>
    </row>
    <row r="722" spans="1:5" x14ac:dyDescent="0.25">
      <c r="A722" s="2">
        <v>44684</v>
      </c>
      <c r="B722" s="4" t="s">
        <v>21</v>
      </c>
      <c r="C722">
        <v>1792</v>
      </c>
      <c r="D722" t="s">
        <v>8</v>
      </c>
      <c r="E722" t="str">
        <f>IF(may[[#This Row],[ShiftCounter]]&gt;0, "Running", "Down")</f>
        <v>Running</v>
      </c>
    </row>
    <row r="723" spans="1:5" x14ac:dyDescent="0.25">
      <c r="A723" s="2">
        <v>44684</v>
      </c>
      <c r="B723" s="4" t="s">
        <v>22</v>
      </c>
      <c r="C723">
        <v>1881</v>
      </c>
      <c r="D723" t="s">
        <v>6</v>
      </c>
      <c r="E723" t="str">
        <f>IF(may[[#This Row],[ShiftCounter]]&gt;0, "Running", "Down")</f>
        <v>Running</v>
      </c>
    </row>
    <row r="724" spans="1:5" x14ac:dyDescent="0.25">
      <c r="A724" s="2">
        <v>44684</v>
      </c>
      <c r="B724" s="4" t="s">
        <v>22</v>
      </c>
      <c r="C724">
        <v>2252</v>
      </c>
      <c r="D724" t="s">
        <v>7</v>
      </c>
      <c r="E724" t="str">
        <f>IF(may[[#This Row],[ShiftCounter]]&gt;0, "Running", "Down")</f>
        <v>Running</v>
      </c>
    </row>
    <row r="725" spans="1:5" x14ac:dyDescent="0.25">
      <c r="A725" s="2">
        <v>44684</v>
      </c>
      <c r="B725" s="4" t="s">
        <v>22</v>
      </c>
      <c r="C725">
        <v>1937</v>
      </c>
      <c r="D725" t="s">
        <v>8</v>
      </c>
      <c r="E725" t="str">
        <f>IF(may[[#This Row],[ShiftCounter]]&gt;0, "Running", "Down")</f>
        <v>Running</v>
      </c>
    </row>
    <row r="726" spans="1:5" x14ac:dyDescent="0.25">
      <c r="A726" s="2">
        <v>44684</v>
      </c>
      <c r="B726" s="4" t="s">
        <v>23</v>
      </c>
      <c r="C726">
        <v>2052</v>
      </c>
      <c r="D726" t="s">
        <v>6</v>
      </c>
      <c r="E726" t="str">
        <f>IF(may[[#This Row],[ShiftCounter]]&gt;0, "Running", "Down")</f>
        <v>Running</v>
      </c>
    </row>
    <row r="727" spans="1:5" x14ac:dyDescent="0.25">
      <c r="A727" s="2">
        <v>44684</v>
      </c>
      <c r="B727" s="4" t="s">
        <v>23</v>
      </c>
      <c r="C727">
        <v>2366</v>
      </c>
      <c r="D727" t="s">
        <v>7</v>
      </c>
      <c r="E727" t="str">
        <f>IF(may[[#This Row],[ShiftCounter]]&gt;0, "Running", "Down")</f>
        <v>Running</v>
      </c>
    </row>
    <row r="728" spans="1:5" x14ac:dyDescent="0.25">
      <c r="A728" s="2">
        <v>44684</v>
      </c>
      <c r="B728" s="4" t="s">
        <v>23</v>
      </c>
      <c r="C728">
        <v>2105</v>
      </c>
      <c r="D728" t="s">
        <v>8</v>
      </c>
      <c r="E728" t="str">
        <f>IF(may[[#This Row],[ShiftCounter]]&gt;0, "Running", "Down")</f>
        <v>Running</v>
      </c>
    </row>
    <row r="729" spans="1:5" x14ac:dyDescent="0.25">
      <c r="A729" s="2">
        <v>44684</v>
      </c>
      <c r="B729" s="4" t="s">
        <v>24</v>
      </c>
      <c r="C729">
        <v>2103</v>
      </c>
      <c r="D729" t="s">
        <v>6</v>
      </c>
      <c r="E729" t="str">
        <f>IF(may[[#This Row],[ShiftCounter]]&gt;0, "Running", "Down")</f>
        <v>Running</v>
      </c>
    </row>
    <row r="730" spans="1:5" x14ac:dyDescent="0.25">
      <c r="A730" s="2">
        <v>44684</v>
      </c>
      <c r="B730" s="4" t="s">
        <v>24</v>
      </c>
      <c r="C730">
        <v>2042</v>
      </c>
      <c r="D730" t="s">
        <v>7</v>
      </c>
      <c r="E730" t="str">
        <f>IF(may[[#This Row],[ShiftCounter]]&gt;0, "Running", "Down")</f>
        <v>Running</v>
      </c>
    </row>
    <row r="731" spans="1:5" x14ac:dyDescent="0.25">
      <c r="A731" s="2">
        <v>44684</v>
      </c>
      <c r="B731" s="4" t="s">
        <v>24</v>
      </c>
      <c r="C731">
        <v>1873</v>
      </c>
      <c r="D731" t="s">
        <v>8</v>
      </c>
      <c r="E731" t="str">
        <f>IF(may[[#This Row],[ShiftCounter]]&gt;0, "Running", "Down")</f>
        <v>Running</v>
      </c>
    </row>
    <row r="732" spans="1:5" x14ac:dyDescent="0.25">
      <c r="A732" s="2">
        <v>44684</v>
      </c>
      <c r="B732" s="4" t="s">
        <v>25</v>
      </c>
      <c r="C732">
        <v>2264</v>
      </c>
      <c r="D732" t="s">
        <v>6</v>
      </c>
      <c r="E732" t="str">
        <f>IF(may[[#This Row],[ShiftCounter]]&gt;0, "Running", "Down")</f>
        <v>Running</v>
      </c>
    </row>
    <row r="733" spans="1:5" x14ac:dyDescent="0.25">
      <c r="A733" s="2">
        <v>44684</v>
      </c>
      <c r="B733" s="4" t="s">
        <v>25</v>
      </c>
      <c r="C733">
        <v>2225</v>
      </c>
      <c r="D733" t="s">
        <v>7</v>
      </c>
      <c r="E733" t="str">
        <f>IF(may[[#This Row],[ShiftCounter]]&gt;0, "Running", "Down")</f>
        <v>Running</v>
      </c>
    </row>
    <row r="734" spans="1:5" x14ac:dyDescent="0.25">
      <c r="A734" s="2">
        <v>44684</v>
      </c>
      <c r="B734" s="4" t="s">
        <v>25</v>
      </c>
      <c r="C734">
        <v>2033</v>
      </c>
      <c r="D734" t="s">
        <v>8</v>
      </c>
      <c r="E734" t="str">
        <f>IF(may[[#This Row],[ShiftCounter]]&gt;0, "Running", "Down")</f>
        <v>Running</v>
      </c>
    </row>
    <row r="735" spans="1:5" x14ac:dyDescent="0.25">
      <c r="A735" s="2">
        <v>44684</v>
      </c>
      <c r="B735" s="4" t="s">
        <v>26</v>
      </c>
      <c r="C735">
        <v>2214</v>
      </c>
      <c r="D735" t="s">
        <v>6</v>
      </c>
      <c r="E735" t="str">
        <f>IF(may[[#This Row],[ShiftCounter]]&gt;0, "Running", "Down")</f>
        <v>Running</v>
      </c>
    </row>
    <row r="736" spans="1:5" x14ac:dyDescent="0.25">
      <c r="A736" s="2">
        <v>44684</v>
      </c>
      <c r="B736" s="4" t="s">
        <v>26</v>
      </c>
      <c r="C736">
        <v>2110</v>
      </c>
      <c r="D736" t="s">
        <v>7</v>
      </c>
      <c r="E736" t="str">
        <f>IF(may[[#This Row],[ShiftCounter]]&gt;0, "Running", "Down")</f>
        <v>Running</v>
      </c>
    </row>
    <row r="737" spans="1:5" x14ac:dyDescent="0.25">
      <c r="A737" s="2">
        <v>44684</v>
      </c>
      <c r="B737" s="4" t="s">
        <v>26</v>
      </c>
      <c r="C737">
        <v>2046</v>
      </c>
      <c r="D737" t="s">
        <v>8</v>
      </c>
      <c r="E737" t="str">
        <f>IF(may[[#This Row],[ShiftCounter]]&gt;0, "Running", "Down")</f>
        <v>Running</v>
      </c>
    </row>
    <row r="738" spans="1:5" x14ac:dyDescent="0.25">
      <c r="A738" s="2">
        <v>44684</v>
      </c>
      <c r="B738" s="4" t="s">
        <v>27</v>
      </c>
      <c r="C738">
        <v>2711</v>
      </c>
      <c r="D738" t="s">
        <v>7</v>
      </c>
      <c r="E738" t="str">
        <f>IF(may[[#This Row],[ShiftCounter]]&gt;0, "Running", "Down")</f>
        <v>Running</v>
      </c>
    </row>
    <row r="739" spans="1:5" x14ac:dyDescent="0.25">
      <c r="A739" s="2">
        <v>44684</v>
      </c>
      <c r="B739" s="4" t="s">
        <v>27</v>
      </c>
      <c r="C739">
        <v>2181</v>
      </c>
      <c r="D739" t="s">
        <v>8</v>
      </c>
      <c r="E739" t="str">
        <f>IF(may[[#This Row],[ShiftCounter]]&gt;0, "Running", "Down")</f>
        <v>Running</v>
      </c>
    </row>
    <row r="740" spans="1:5" x14ac:dyDescent="0.25">
      <c r="A740" s="2">
        <v>44684</v>
      </c>
      <c r="B740" s="4" t="s">
        <v>28</v>
      </c>
      <c r="C740">
        <v>2240</v>
      </c>
      <c r="D740" t="s">
        <v>6</v>
      </c>
      <c r="E740" t="str">
        <f>IF(may[[#This Row],[ShiftCounter]]&gt;0, "Running", "Down")</f>
        <v>Running</v>
      </c>
    </row>
    <row r="741" spans="1:5" x14ac:dyDescent="0.25">
      <c r="A741" s="2">
        <v>44684</v>
      </c>
      <c r="B741" s="4" t="s">
        <v>28</v>
      </c>
      <c r="C741">
        <v>2169</v>
      </c>
      <c r="D741" t="s">
        <v>7</v>
      </c>
      <c r="E741" t="str">
        <f>IF(may[[#This Row],[ShiftCounter]]&gt;0, "Running", "Down")</f>
        <v>Running</v>
      </c>
    </row>
    <row r="742" spans="1:5" x14ac:dyDescent="0.25">
      <c r="A742" s="2">
        <v>44684</v>
      </c>
      <c r="B742" s="4" t="s">
        <v>28</v>
      </c>
      <c r="C742">
        <v>2064</v>
      </c>
      <c r="D742" t="s">
        <v>8</v>
      </c>
      <c r="E742" t="str">
        <f>IF(may[[#This Row],[ShiftCounter]]&gt;0, "Running", "Down")</f>
        <v>Running</v>
      </c>
    </row>
    <row r="743" spans="1:5" x14ac:dyDescent="0.25">
      <c r="A743" s="2">
        <v>44684</v>
      </c>
      <c r="B743" s="4" t="s">
        <v>29</v>
      </c>
      <c r="C743">
        <v>2087</v>
      </c>
      <c r="D743" t="s">
        <v>6</v>
      </c>
      <c r="E743" t="str">
        <f>IF(may[[#This Row],[ShiftCounter]]&gt;0, "Running", "Down")</f>
        <v>Running</v>
      </c>
    </row>
    <row r="744" spans="1:5" x14ac:dyDescent="0.25">
      <c r="A744" s="2">
        <v>44684</v>
      </c>
      <c r="B744" s="4" t="s">
        <v>29</v>
      </c>
      <c r="C744">
        <v>2018</v>
      </c>
      <c r="D744" t="s">
        <v>7</v>
      </c>
      <c r="E744" t="str">
        <f>IF(may[[#This Row],[ShiftCounter]]&gt;0, "Running", "Down")</f>
        <v>Running</v>
      </c>
    </row>
    <row r="745" spans="1:5" x14ac:dyDescent="0.25">
      <c r="A745" s="2">
        <v>44684</v>
      </c>
      <c r="B745" s="4" t="s">
        <v>29</v>
      </c>
      <c r="C745">
        <v>1842</v>
      </c>
      <c r="D745" t="s">
        <v>8</v>
      </c>
      <c r="E745" t="str">
        <f>IF(may[[#This Row],[ShiftCounter]]&gt;0, "Running", "Down")</f>
        <v>Running</v>
      </c>
    </row>
    <row r="746" spans="1:5" x14ac:dyDescent="0.25">
      <c r="A746" s="2">
        <v>44684</v>
      </c>
      <c r="B746" s="4" t="s">
        <v>32</v>
      </c>
      <c r="C746">
        <v>1339</v>
      </c>
      <c r="D746" t="s">
        <v>6</v>
      </c>
      <c r="E746" t="str">
        <f>IF(may[[#This Row],[ShiftCounter]]&gt;0, "Running", "Down")</f>
        <v>Running</v>
      </c>
    </row>
    <row r="747" spans="1:5" x14ac:dyDescent="0.25">
      <c r="A747" s="2">
        <v>44684</v>
      </c>
      <c r="B747" s="4" t="s">
        <v>32</v>
      </c>
      <c r="C747">
        <v>2273</v>
      </c>
      <c r="D747" t="s">
        <v>7</v>
      </c>
      <c r="E747" t="str">
        <f>IF(may[[#This Row],[ShiftCounter]]&gt;0, "Running", "Down")</f>
        <v>Running</v>
      </c>
    </row>
    <row r="748" spans="1:5" x14ac:dyDescent="0.25">
      <c r="A748" s="2">
        <v>44684</v>
      </c>
      <c r="B748" s="4" t="s">
        <v>32</v>
      </c>
      <c r="C748">
        <v>2195</v>
      </c>
      <c r="D748" t="s">
        <v>8</v>
      </c>
      <c r="E748" t="str">
        <f>IF(may[[#This Row],[ShiftCounter]]&gt;0, "Running", "Down")</f>
        <v>Running</v>
      </c>
    </row>
    <row r="749" spans="1:5" x14ac:dyDescent="0.25">
      <c r="A749" s="2">
        <v>44684</v>
      </c>
      <c r="B749" s="4" t="s">
        <v>31</v>
      </c>
      <c r="C749">
        <v>2115</v>
      </c>
      <c r="D749" t="s">
        <v>6</v>
      </c>
      <c r="E749" t="str">
        <f>IF(may[[#This Row],[ShiftCounter]]&gt;0, "Running", "Down")</f>
        <v>Running</v>
      </c>
    </row>
    <row r="750" spans="1:5" x14ac:dyDescent="0.25">
      <c r="A750" s="2">
        <v>44684</v>
      </c>
      <c r="B750" s="4" t="s">
        <v>31</v>
      </c>
      <c r="C750">
        <v>2150</v>
      </c>
      <c r="D750" t="s">
        <v>7</v>
      </c>
      <c r="E750" t="str">
        <f>IF(may[[#This Row],[ShiftCounter]]&gt;0, "Running", "Down")</f>
        <v>Running</v>
      </c>
    </row>
    <row r="751" spans="1:5" x14ac:dyDescent="0.25">
      <c r="A751" s="2">
        <v>44684</v>
      </c>
      <c r="B751" s="4" t="s">
        <v>31</v>
      </c>
      <c r="C751">
        <v>2034</v>
      </c>
      <c r="D751" t="s">
        <v>8</v>
      </c>
      <c r="E751" t="str">
        <f>IF(may[[#This Row],[ShiftCounter]]&gt;0, "Running", "Down")</f>
        <v>Running</v>
      </c>
    </row>
    <row r="752" spans="1:5" x14ac:dyDescent="0.25">
      <c r="A752" s="2">
        <v>44684</v>
      </c>
      <c r="B752" s="4" t="s">
        <v>34</v>
      </c>
      <c r="C752">
        <v>2008</v>
      </c>
      <c r="D752" t="s">
        <v>6</v>
      </c>
      <c r="E752" t="str">
        <f>IF(may[[#This Row],[ShiftCounter]]&gt;0, "Running", "Down")</f>
        <v>Running</v>
      </c>
    </row>
    <row r="753" spans="1:5" x14ac:dyDescent="0.25">
      <c r="A753" s="2">
        <v>44684</v>
      </c>
      <c r="B753" s="4" t="s">
        <v>34</v>
      </c>
      <c r="C753">
        <v>2031</v>
      </c>
      <c r="D753" t="s">
        <v>7</v>
      </c>
      <c r="E753" t="str">
        <f>IF(may[[#This Row],[ShiftCounter]]&gt;0, "Running", "Down")</f>
        <v>Running</v>
      </c>
    </row>
    <row r="754" spans="1:5" x14ac:dyDescent="0.25">
      <c r="A754" s="2">
        <v>44684</v>
      </c>
      <c r="B754" s="4" t="s">
        <v>34</v>
      </c>
      <c r="C754">
        <v>1801</v>
      </c>
      <c r="D754" t="s">
        <v>8</v>
      </c>
      <c r="E754" t="str">
        <f>IF(may[[#This Row],[ShiftCounter]]&gt;0, "Running", "Down")</f>
        <v>Running</v>
      </c>
    </row>
    <row r="755" spans="1:5" x14ac:dyDescent="0.25">
      <c r="A755" s="2">
        <v>44684</v>
      </c>
      <c r="B755" s="4" t="s">
        <v>33</v>
      </c>
      <c r="C755">
        <v>565</v>
      </c>
      <c r="D755" t="s">
        <v>6</v>
      </c>
      <c r="E755" t="str">
        <f>IF(may[[#This Row],[ShiftCounter]]&gt;0, "Running", "Down")</f>
        <v>Running</v>
      </c>
    </row>
    <row r="756" spans="1:5" x14ac:dyDescent="0.25">
      <c r="A756" s="2">
        <v>44684</v>
      </c>
      <c r="B756" s="4" t="s">
        <v>33</v>
      </c>
      <c r="C756">
        <v>2551</v>
      </c>
      <c r="D756" t="s">
        <v>7</v>
      </c>
      <c r="E756" t="str">
        <f>IF(may[[#This Row],[ShiftCounter]]&gt;0, "Running", "Down")</f>
        <v>Running</v>
      </c>
    </row>
    <row r="757" spans="1:5" x14ac:dyDescent="0.25">
      <c r="A757" s="2">
        <v>44684</v>
      </c>
      <c r="B757" s="4" t="s">
        <v>33</v>
      </c>
      <c r="C757">
        <v>2226</v>
      </c>
      <c r="D757" t="s">
        <v>8</v>
      </c>
      <c r="E757" t="str">
        <f>IF(may[[#This Row],[ShiftCounter]]&gt;0, "Running", "Down")</f>
        <v>Running</v>
      </c>
    </row>
    <row r="758" spans="1:5" x14ac:dyDescent="0.25">
      <c r="A758" s="2">
        <v>44684</v>
      </c>
      <c r="B758" s="4" t="s">
        <v>30</v>
      </c>
      <c r="C758">
        <v>2272</v>
      </c>
      <c r="D758" t="s">
        <v>6</v>
      </c>
      <c r="E758" t="str">
        <f>IF(may[[#This Row],[ShiftCounter]]&gt;0, "Running", "Down")</f>
        <v>Running</v>
      </c>
    </row>
    <row r="759" spans="1:5" x14ac:dyDescent="0.25">
      <c r="A759" s="2">
        <v>44684</v>
      </c>
      <c r="B759" s="4" t="s">
        <v>30</v>
      </c>
      <c r="C759">
        <v>2185</v>
      </c>
      <c r="D759" t="s">
        <v>7</v>
      </c>
      <c r="E759" t="str">
        <f>IF(may[[#This Row],[ShiftCounter]]&gt;0, "Running", "Down")</f>
        <v>Running</v>
      </c>
    </row>
    <row r="760" spans="1:5" x14ac:dyDescent="0.25">
      <c r="A760" s="2">
        <v>44684</v>
      </c>
      <c r="B760" s="4" t="s">
        <v>30</v>
      </c>
      <c r="C760">
        <v>2030</v>
      </c>
      <c r="D760" t="s">
        <v>8</v>
      </c>
      <c r="E760" t="str">
        <f>IF(may[[#This Row],[ShiftCounter]]&gt;0, "Running", "Down")</f>
        <v>Running</v>
      </c>
    </row>
    <row r="761" spans="1:5" x14ac:dyDescent="0.25">
      <c r="A761" s="2">
        <v>44684</v>
      </c>
      <c r="B761" s="4" t="s">
        <v>35</v>
      </c>
      <c r="C761">
        <v>1605</v>
      </c>
      <c r="D761" t="s">
        <v>6</v>
      </c>
      <c r="E761" t="str">
        <f>IF(may[[#This Row],[ShiftCounter]]&gt;0, "Running", "Down")</f>
        <v>Running</v>
      </c>
    </row>
    <row r="762" spans="1:5" x14ac:dyDescent="0.25">
      <c r="A762" s="2">
        <v>44684</v>
      </c>
      <c r="B762" s="4" t="s">
        <v>35</v>
      </c>
      <c r="C762">
        <v>2458</v>
      </c>
      <c r="D762" t="s">
        <v>7</v>
      </c>
      <c r="E762" t="str">
        <f>IF(may[[#This Row],[ShiftCounter]]&gt;0, "Running", "Down")</f>
        <v>Running</v>
      </c>
    </row>
    <row r="763" spans="1:5" x14ac:dyDescent="0.25">
      <c r="A763" s="2">
        <v>44684</v>
      </c>
      <c r="B763" s="4" t="s">
        <v>35</v>
      </c>
      <c r="C763">
        <v>2036</v>
      </c>
      <c r="D763" t="s">
        <v>8</v>
      </c>
      <c r="E763" t="str">
        <f>IF(may[[#This Row],[ShiftCounter]]&gt;0, "Running", "Down")</f>
        <v>Running</v>
      </c>
    </row>
    <row r="764" spans="1:5" x14ac:dyDescent="0.25">
      <c r="A764" s="2">
        <v>44684</v>
      </c>
      <c r="B764" s="4" t="s">
        <v>36</v>
      </c>
      <c r="C764">
        <v>2440</v>
      </c>
      <c r="D764" t="s">
        <v>6</v>
      </c>
      <c r="E764" t="str">
        <f>IF(may[[#This Row],[ShiftCounter]]&gt;0, "Running", "Down")</f>
        <v>Running</v>
      </c>
    </row>
    <row r="765" spans="1:5" x14ac:dyDescent="0.25">
      <c r="A765" s="2">
        <v>44684</v>
      </c>
      <c r="B765" s="4" t="s">
        <v>36</v>
      </c>
      <c r="C765">
        <v>2398</v>
      </c>
      <c r="D765" t="s">
        <v>7</v>
      </c>
      <c r="E765" t="str">
        <f>IF(may[[#This Row],[ShiftCounter]]&gt;0, "Running", "Down")</f>
        <v>Running</v>
      </c>
    </row>
    <row r="766" spans="1:5" x14ac:dyDescent="0.25">
      <c r="A766" s="2">
        <v>44684</v>
      </c>
      <c r="B766" s="4" t="s">
        <v>36</v>
      </c>
      <c r="C766">
        <v>2223</v>
      </c>
      <c r="D766" t="s">
        <v>8</v>
      </c>
      <c r="E766" t="str">
        <f>IF(may[[#This Row],[ShiftCounter]]&gt;0, "Running", "Down")</f>
        <v>Running</v>
      </c>
    </row>
    <row r="767" spans="1:5" x14ac:dyDescent="0.25">
      <c r="A767" s="2">
        <v>44684</v>
      </c>
      <c r="B767" s="4" t="s">
        <v>37</v>
      </c>
      <c r="C767">
        <v>2352</v>
      </c>
      <c r="D767" t="s">
        <v>6</v>
      </c>
      <c r="E767" t="str">
        <f>IF(may[[#This Row],[ShiftCounter]]&gt;0, "Running", "Down")</f>
        <v>Running</v>
      </c>
    </row>
    <row r="768" spans="1:5" x14ac:dyDescent="0.25">
      <c r="A768" s="2">
        <v>44684</v>
      </c>
      <c r="B768" s="4" t="s">
        <v>37</v>
      </c>
      <c r="C768">
        <v>2335</v>
      </c>
      <c r="D768" t="s">
        <v>7</v>
      </c>
      <c r="E768" t="str">
        <f>IF(may[[#This Row],[ShiftCounter]]&gt;0, "Running", "Down")</f>
        <v>Running</v>
      </c>
    </row>
    <row r="769" spans="1:5" x14ac:dyDescent="0.25">
      <c r="A769" s="2">
        <v>44684</v>
      </c>
      <c r="B769" s="4" t="s">
        <v>37</v>
      </c>
      <c r="C769">
        <v>2188</v>
      </c>
      <c r="D769" t="s">
        <v>8</v>
      </c>
      <c r="E769" t="str">
        <f>IF(may[[#This Row],[ShiftCounter]]&gt;0, "Running", "Down")</f>
        <v>Running</v>
      </c>
    </row>
    <row r="770" spans="1:5" x14ac:dyDescent="0.25">
      <c r="A770" s="2">
        <v>44684</v>
      </c>
      <c r="B770" s="4" t="s">
        <v>40</v>
      </c>
      <c r="C770">
        <v>2074</v>
      </c>
      <c r="D770" t="s">
        <v>7</v>
      </c>
      <c r="E770" t="str">
        <f>IF(may[[#This Row],[ShiftCounter]]&gt;0, "Running", "Down")</f>
        <v>Running</v>
      </c>
    </row>
    <row r="771" spans="1:5" x14ac:dyDescent="0.25">
      <c r="A771" s="2">
        <v>44684</v>
      </c>
      <c r="B771" s="4" t="s">
        <v>40</v>
      </c>
      <c r="C771">
        <v>2152</v>
      </c>
      <c r="D771" t="s">
        <v>8</v>
      </c>
      <c r="E771" t="str">
        <f>IF(may[[#This Row],[ShiftCounter]]&gt;0, "Running", "Down")</f>
        <v>Running</v>
      </c>
    </row>
    <row r="772" spans="1:5" x14ac:dyDescent="0.25">
      <c r="A772" s="2">
        <v>44684</v>
      </c>
      <c r="B772" s="4" t="s">
        <v>39</v>
      </c>
      <c r="C772">
        <v>2231</v>
      </c>
      <c r="D772" t="s">
        <v>6</v>
      </c>
      <c r="E772" t="str">
        <f>IF(may[[#This Row],[ShiftCounter]]&gt;0, "Running", "Down")</f>
        <v>Running</v>
      </c>
    </row>
    <row r="773" spans="1:5" x14ac:dyDescent="0.25">
      <c r="A773" s="2">
        <v>44684</v>
      </c>
      <c r="B773" s="4" t="s">
        <v>39</v>
      </c>
      <c r="C773">
        <v>2080</v>
      </c>
      <c r="D773" t="s">
        <v>7</v>
      </c>
      <c r="E773" t="str">
        <f>IF(may[[#This Row],[ShiftCounter]]&gt;0, "Running", "Down")</f>
        <v>Running</v>
      </c>
    </row>
    <row r="774" spans="1:5" x14ac:dyDescent="0.25">
      <c r="A774" s="2">
        <v>44684</v>
      </c>
      <c r="B774" s="4" t="s">
        <v>39</v>
      </c>
      <c r="C774">
        <v>1975</v>
      </c>
      <c r="D774" t="s">
        <v>8</v>
      </c>
      <c r="E774" t="str">
        <f>IF(may[[#This Row],[ShiftCounter]]&gt;0, "Running", "Down")</f>
        <v>Running</v>
      </c>
    </row>
    <row r="775" spans="1:5" x14ac:dyDescent="0.25">
      <c r="A775" s="2">
        <v>44684</v>
      </c>
      <c r="B775" s="4" t="s">
        <v>41</v>
      </c>
      <c r="C775" s="1">
        <v>2066</v>
      </c>
      <c r="D775" t="s">
        <v>6</v>
      </c>
      <c r="E775" t="str">
        <f>IF(may[[#This Row],[ShiftCounter]]&gt;0, "Running", "Down")</f>
        <v>Running</v>
      </c>
    </row>
    <row r="776" spans="1:5" x14ac:dyDescent="0.25">
      <c r="A776" s="2">
        <v>44684</v>
      </c>
      <c r="B776" s="4" t="s">
        <v>41</v>
      </c>
      <c r="C776">
        <v>2374</v>
      </c>
      <c r="D776" t="s">
        <v>7</v>
      </c>
      <c r="E776" t="str">
        <f>IF(may[[#This Row],[ShiftCounter]]&gt;0, "Running", "Down")</f>
        <v>Running</v>
      </c>
    </row>
    <row r="777" spans="1:5" x14ac:dyDescent="0.25">
      <c r="A777" s="2">
        <v>44684</v>
      </c>
      <c r="B777" s="4" t="s">
        <v>41</v>
      </c>
      <c r="C777">
        <v>2275</v>
      </c>
      <c r="D777" t="s">
        <v>8</v>
      </c>
      <c r="E777" t="str">
        <f>IF(may[[#This Row],[ShiftCounter]]&gt;0, "Running", "Down")</f>
        <v>Running</v>
      </c>
    </row>
    <row r="778" spans="1:5" x14ac:dyDescent="0.25">
      <c r="A778" s="2">
        <v>44684</v>
      </c>
      <c r="B778" s="4" t="s">
        <v>43</v>
      </c>
      <c r="C778">
        <v>2036</v>
      </c>
      <c r="D778" t="s">
        <v>6</v>
      </c>
      <c r="E778" t="str">
        <f>IF(may[[#This Row],[ShiftCounter]]&gt;0, "Running", "Down")</f>
        <v>Running</v>
      </c>
    </row>
    <row r="779" spans="1:5" x14ac:dyDescent="0.25">
      <c r="A779" s="2">
        <v>44684</v>
      </c>
      <c r="B779" s="4" t="s">
        <v>43</v>
      </c>
      <c r="C779">
        <v>2078</v>
      </c>
      <c r="D779" t="s">
        <v>7</v>
      </c>
      <c r="E779" t="str">
        <f>IF(may[[#This Row],[ShiftCounter]]&gt;0, "Running", "Down")</f>
        <v>Running</v>
      </c>
    </row>
    <row r="780" spans="1:5" x14ac:dyDescent="0.25">
      <c r="A780" s="2">
        <v>44684</v>
      </c>
      <c r="B780" s="4" t="s">
        <v>43</v>
      </c>
      <c r="C780">
        <v>1960</v>
      </c>
      <c r="D780" t="s">
        <v>8</v>
      </c>
      <c r="E780" t="str">
        <f>IF(may[[#This Row],[ShiftCounter]]&gt;0, "Running", "Down")</f>
        <v>Running</v>
      </c>
    </row>
    <row r="781" spans="1:5" x14ac:dyDescent="0.25">
      <c r="A781" s="2">
        <v>44684</v>
      </c>
      <c r="B781" s="4" t="s">
        <v>5</v>
      </c>
      <c r="C781">
        <v>2514</v>
      </c>
      <c r="D781" t="s">
        <v>6</v>
      </c>
      <c r="E781" t="str">
        <f>IF(may[[#This Row],[ShiftCounter]]&gt;0, "Running", "Down")</f>
        <v>Running</v>
      </c>
    </row>
    <row r="782" spans="1:5" x14ac:dyDescent="0.25">
      <c r="A782" s="2">
        <v>44684</v>
      </c>
      <c r="B782" s="4" t="s">
        <v>5</v>
      </c>
      <c r="C782">
        <v>2324</v>
      </c>
      <c r="D782" t="s">
        <v>7</v>
      </c>
      <c r="E782" t="str">
        <f>IF(may[[#This Row],[ShiftCounter]]&gt;0, "Running", "Down")</f>
        <v>Running</v>
      </c>
    </row>
    <row r="783" spans="1:5" x14ac:dyDescent="0.25">
      <c r="A783" s="2">
        <v>44684</v>
      </c>
      <c r="B783" s="4" t="s">
        <v>5</v>
      </c>
      <c r="C783">
        <v>2212</v>
      </c>
      <c r="D783" t="s">
        <v>8</v>
      </c>
      <c r="E783" t="str">
        <f>IF(may[[#This Row],[ShiftCounter]]&gt;0, "Running", "Down")</f>
        <v>Running</v>
      </c>
    </row>
    <row r="784" spans="1:5" x14ac:dyDescent="0.25">
      <c r="A784" s="2">
        <v>44684</v>
      </c>
      <c r="B784" s="4" t="s">
        <v>9</v>
      </c>
      <c r="C784">
        <v>2440</v>
      </c>
      <c r="D784" t="s">
        <v>6</v>
      </c>
      <c r="E784" t="str">
        <f>IF(may[[#This Row],[ShiftCounter]]&gt;0, "Running", "Down")</f>
        <v>Running</v>
      </c>
    </row>
    <row r="785" spans="1:5" x14ac:dyDescent="0.25">
      <c r="A785" s="2">
        <v>44684</v>
      </c>
      <c r="B785" s="4" t="s">
        <v>9</v>
      </c>
      <c r="C785">
        <v>2274</v>
      </c>
      <c r="D785" t="s">
        <v>7</v>
      </c>
      <c r="E785" t="str">
        <f>IF(may[[#This Row],[ShiftCounter]]&gt;0, "Running", "Down")</f>
        <v>Running</v>
      </c>
    </row>
    <row r="786" spans="1:5" x14ac:dyDescent="0.25">
      <c r="A786" s="2">
        <v>44684</v>
      </c>
      <c r="B786" s="4" t="s">
        <v>9</v>
      </c>
      <c r="C786">
        <v>2170</v>
      </c>
      <c r="D786" t="s">
        <v>8</v>
      </c>
      <c r="E786" t="str">
        <f>IF(may[[#This Row],[ShiftCounter]]&gt;0, "Running", "Down")</f>
        <v>Running</v>
      </c>
    </row>
    <row r="787" spans="1:5" x14ac:dyDescent="0.25">
      <c r="A787" s="2">
        <v>44684</v>
      </c>
      <c r="B787" s="4" t="s">
        <v>10</v>
      </c>
      <c r="C787">
        <v>1965</v>
      </c>
      <c r="D787" t="s">
        <v>6</v>
      </c>
      <c r="E787" t="str">
        <f>IF(may[[#This Row],[ShiftCounter]]&gt;0, "Running", "Down")</f>
        <v>Running</v>
      </c>
    </row>
    <row r="788" spans="1:5" x14ac:dyDescent="0.25">
      <c r="A788" s="2">
        <v>44684</v>
      </c>
      <c r="B788" s="4" t="s">
        <v>10</v>
      </c>
      <c r="C788">
        <v>1934</v>
      </c>
      <c r="D788" t="s">
        <v>7</v>
      </c>
      <c r="E788" t="str">
        <f>IF(may[[#This Row],[ShiftCounter]]&gt;0, "Running", "Down")</f>
        <v>Running</v>
      </c>
    </row>
    <row r="789" spans="1:5" x14ac:dyDescent="0.25">
      <c r="A789" s="2">
        <v>44684</v>
      </c>
      <c r="B789" s="4" t="s">
        <v>10</v>
      </c>
      <c r="C789">
        <v>2327</v>
      </c>
      <c r="D789" t="s">
        <v>8</v>
      </c>
      <c r="E789" t="str">
        <f>IF(may[[#This Row],[ShiftCounter]]&gt;0, "Running", "Down")</f>
        <v>Running</v>
      </c>
    </row>
    <row r="790" spans="1:5" x14ac:dyDescent="0.25">
      <c r="A790" s="2">
        <v>44684</v>
      </c>
      <c r="B790" s="4" t="s">
        <v>11</v>
      </c>
      <c r="C790">
        <v>2502</v>
      </c>
      <c r="D790" t="s">
        <v>6</v>
      </c>
      <c r="E790" t="str">
        <f>IF(may[[#This Row],[ShiftCounter]]&gt;0, "Running", "Down")</f>
        <v>Running</v>
      </c>
    </row>
    <row r="791" spans="1:5" x14ac:dyDescent="0.25">
      <c r="A791" s="2">
        <v>44684</v>
      </c>
      <c r="B791" s="4" t="s">
        <v>11</v>
      </c>
      <c r="C791">
        <v>2384</v>
      </c>
      <c r="D791" t="s">
        <v>7</v>
      </c>
      <c r="E791" t="str">
        <f>IF(may[[#This Row],[ShiftCounter]]&gt;0, "Running", "Down")</f>
        <v>Running</v>
      </c>
    </row>
    <row r="792" spans="1:5" x14ac:dyDescent="0.25">
      <c r="A792" s="2">
        <v>44684</v>
      </c>
      <c r="B792" s="4" t="s">
        <v>11</v>
      </c>
      <c r="C792">
        <v>2260</v>
      </c>
      <c r="D792" t="s">
        <v>8</v>
      </c>
      <c r="E792" t="str">
        <f>IF(may[[#This Row],[ShiftCounter]]&gt;0, "Running", "Down")</f>
        <v>Running</v>
      </c>
    </row>
    <row r="793" spans="1:5" x14ac:dyDescent="0.25">
      <c r="A793" s="2">
        <v>44684</v>
      </c>
      <c r="B793" s="4" t="s">
        <v>12</v>
      </c>
      <c r="C793">
        <v>2283</v>
      </c>
      <c r="D793" t="s">
        <v>6</v>
      </c>
      <c r="E793" t="str">
        <f>IF(may[[#This Row],[ShiftCounter]]&gt;0, "Running", "Down")</f>
        <v>Running</v>
      </c>
    </row>
    <row r="794" spans="1:5" x14ac:dyDescent="0.25">
      <c r="A794" s="2">
        <v>44684</v>
      </c>
      <c r="B794" s="4" t="s">
        <v>12</v>
      </c>
      <c r="C794">
        <v>2189</v>
      </c>
      <c r="D794" t="s">
        <v>7</v>
      </c>
      <c r="E794" t="str">
        <f>IF(may[[#This Row],[ShiftCounter]]&gt;0, "Running", "Down")</f>
        <v>Running</v>
      </c>
    </row>
    <row r="795" spans="1:5" x14ac:dyDescent="0.25">
      <c r="A795" s="2">
        <v>44684</v>
      </c>
      <c r="B795" s="4" t="s">
        <v>12</v>
      </c>
      <c r="C795">
        <v>2039</v>
      </c>
      <c r="D795" t="s">
        <v>8</v>
      </c>
      <c r="E795" t="str">
        <f>IF(may[[#This Row],[ShiftCounter]]&gt;0, "Running", "Down")</f>
        <v>Running</v>
      </c>
    </row>
    <row r="796" spans="1:5" x14ac:dyDescent="0.25">
      <c r="A796" s="2">
        <v>44684</v>
      </c>
      <c r="B796" s="4" t="s">
        <v>13</v>
      </c>
      <c r="C796">
        <v>2308</v>
      </c>
      <c r="D796" t="s">
        <v>6</v>
      </c>
      <c r="E796" t="str">
        <f>IF(may[[#This Row],[ShiftCounter]]&gt;0, "Running", "Down")</f>
        <v>Running</v>
      </c>
    </row>
    <row r="797" spans="1:5" x14ac:dyDescent="0.25">
      <c r="A797" s="2">
        <v>44684</v>
      </c>
      <c r="B797" s="4" t="s">
        <v>13</v>
      </c>
      <c r="C797">
        <v>2264</v>
      </c>
      <c r="D797" t="s">
        <v>7</v>
      </c>
      <c r="E797" t="str">
        <f>IF(may[[#This Row],[ShiftCounter]]&gt;0, "Running", "Down")</f>
        <v>Running</v>
      </c>
    </row>
    <row r="798" spans="1:5" x14ac:dyDescent="0.25">
      <c r="A798" s="2">
        <v>44684</v>
      </c>
      <c r="B798" s="4" t="s">
        <v>13</v>
      </c>
      <c r="C798">
        <v>2075</v>
      </c>
      <c r="D798" t="s">
        <v>8</v>
      </c>
      <c r="E798" t="str">
        <f>IF(may[[#This Row],[ShiftCounter]]&gt;0, "Running", "Down")</f>
        <v>Running</v>
      </c>
    </row>
    <row r="799" spans="1:5" x14ac:dyDescent="0.25">
      <c r="A799" s="2">
        <v>44684</v>
      </c>
      <c r="B799" s="4" t="s">
        <v>14</v>
      </c>
      <c r="C799">
        <v>2167</v>
      </c>
      <c r="D799" t="s">
        <v>6</v>
      </c>
      <c r="E799" t="str">
        <f>IF(may[[#This Row],[ShiftCounter]]&gt;0, "Running", "Down")</f>
        <v>Running</v>
      </c>
    </row>
    <row r="800" spans="1:5" x14ac:dyDescent="0.25">
      <c r="A800" s="2">
        <v>44684</v>
      </c>
      <c r="B800" s="4" t="s">
        <v>14</v>
      </c>
      <c r="C800">
        <v>2196</v>
      </c>
      <c r="D800" t="s">
        <v>7</v>
      </c>
      <c r="E800" t="str">
        <f>IF(may[[#This Row],[ShiftCounter]]&gt;0, "Running", "Down")</f>
        <v>Running</v>
      </c>
    </row>
    <row r="801" spans="1:5" x14ac:dyDescent="0.25">
      <c r="A801" s="2">
        <v>44684</v>
      </c>
      <c r="B801" s="4" t="s">
        <v>14</v>
      </c>
      <c r="C801">
        <v>1927</v>
      </c>
      <c r="D801" t="s">
        <v>8</v>
      </c>
      <c r="E801" t="str">
        <f>IF(may[[#This Row],[ShiftCounter]]&gt;0, "Running", "Down")</f>
        <v>Running</v>
      </c>
    </row>
    <row r="802" spans="1:5" x14ac:dyDescent="0.25">
      <c r="A802" s="2">
        <v>44684</v>
      </c>
      <c r="B802" s="4" t="s">
        <v>15</v>
      </c>
      <c r="C802">
        <v>2160</v>
      </c>
      <c r="D802" t="s">
        <v>6</v>
      </c>
      <c r="E802" t="str">
        <f>IF(may[[#This Row],[ShiftCounter]]&gt;0, "Running", "Down")</f>
        <v>Running</v>
      </c>
    </row>
    <row r="803" spans="1:5" x14ac:dyDescent="0.25">
      <c r="A803" s="2">
        <v>44684</v>
      </c>
      <c r="B803" s="4" t="s">
        <v>15</v>
      </c>
      <c r="C803">
        <v>2193</v>
      </c>
      <c r="D803" t="s">
        <v>7</v>
      </c>
      <c r="E803" t="str">
        <f>IF(may[[#This Row],[ShiftCounter]]&gt;0, "Running", "Down")</f>
        <v>Running</v>
      </c>
    </row>
    <row r="804" spans="1:5" x14ac:dyDescent="0.25">
      <c r="A804" s="2">
        <v>44684</v>
      </c>
      <c r="B804" s="4" t="s">
        <v>15</v>
      </c>
      <c r="C804">
        <v>1907</v>
      </c>
      <c r="D804" t="s">
        <v>8</v>
      </c>
      <c r="E804" t="str">
        <f>IF(may[[#This Row],[ShiftCounter]]&gt;0, "Running", "Down")</f>
        <v>Running</v>
      </c>
    </row>
    <row r="805" spans="1:5" x14ac:dyDescent="0.25">
      <c r="A805" s="2">
        <v>44684</v>
      </c>
      <c r="B805" s="4" t="s">
        <v>16</v>
      </c>
      <c r="C805">
        <v>2362</v>
      </c>
      <c r="D805" t="s">
        <v>6</v>
      </c>
      <c r="E805" t="str">
        <f>IF(may[[#This Row],[ShiftCounter]]&gt;0, "Running", "Down")</f>
        <v>Running</v>
      </c>
    </row>
    <row r="806" spans="1:5" x14ac:dyDescent="0.25">
      <c r="A806" s="2">
        <v>44684</v>
      </c>
      <c r="B806" s="4" t="s">
        <v>16</v>
      </c>
      <c r="C806">
        <v>2380</v>
      </c>
      <c r="D806" t="s">
        <v>7</v>
      </c>
      <c r="E806" t="str">
        <f>IF(may[[#This Row],[ShiftCounter]]&gt;0, "Running", "Down")</f>
        <v>Running</v>
      </c>
    </row>
    <row r="807" spans="1:5" x14ac:dyDescent="0.25">
      <c r="A807" s="2">
        <v>44684</v>
      </c>
      <c r="B807" s="4" t="s">
        <v>16</v>
      </c>
      <c r="C807">
        <v>2087</v>
      </c>
      <c r="D807" t="s">
        <v>8</v>
      </c>
      <c r="E807" t="str">
        <f>IF(may[[#This Row],[ShiftCounter]]&gt;0, "Running", "Down")</f>
        <v>Running</v>
      </c>
    </row>
    <row r="808" spans="1:5" x14ac:dyDescent="0.25">
      <c r="A808" s="2">
        <v>44684</v>
      </c>
      <c r="B808" s="4" t="s">
        <v>17</v>
      </c>
      <c r="C808">
        <v>2392</v>
      </c>
      <c r="D808" t="s">
        <v>6</v>
      </c>
      <c r="E808" t="str">
        <f>IF(may[[#This Row],[ShiftCounter]]&gt;0, "Running", "Down")</f>
        <v>Running</v>
      </c>
    </row>
    <row r="809" spans="1:5" x14ac:dyDescent="0.25">
      <c r="A809" s="2">
        <v>44684</v>
      </c>
      <c r="B809" s="4" t="s">
        <v>17</v>
      </c>
      <c r="C809">
        <v>2445</v>
      </c>
      <c r="D809" t="s">
        <v>7</v>
      </c>
      <c r="E809" t="str">
        <f>IF(may[[#This Row],[ShiftCounter]]&gt;0, "Running", "Down")</f>
        <v>Running</v>
      </c>
    </row>
    <row r="810" spans="1:5" x14ac:dyDescent="0.25">
      <c r="A810" s="2">
        <v>44684</v>
      </c>
      <c r="B810" s="4" t="s">
        <v>17</v>
      </c>
      <c r="C810">
        <v>2151</v>
      </c>
      <c r="D810" t="s">
        <v>8</v>
      </c>
      <c r="E810" t="str">
        <f>IF(may[[#This Row],[ShiftCounter]]&gt;0, "Running", "Down")</f>
        <v>Running</v>
      </c>
    </row>
    <row r="811" spans="1:5" x14ac:dyDescent="0.25">
      <c r="A811" s="2">
        <v>44684</v>
      </c>
      <c r="B811" s="4" t="s">
        <v>19</v>
      </c>
      <c r="C811">
        <v>1956</v>
      </c>
      <c r="D811" t="s">
        <v>6</v>
      </c>
      <c r="E811" t="str">
        <f>IF(may[[#This Row],[ShiftCounter]]&gt;0, "Running", "Down")</f>
        <v>Running</v>
      </c>
    </row>
    <row r="812" spans="1:5" x14ac:dyDescent="0.25">
      <c r="A812" s="2">
        <v>44684</v>
      </c>
      <c r="B812" s="4" t="s">
        <v>19</v>
      </c>
      <c r="C812">
        <v>2022</v>
      </c>
      <c r="D812" t="s">
        <v>7</v>
      </c>
      <c r="E812" t="str">
        <f>IF(may[[#This Row],[ShiftCounter]]&gt;0, "Running", "Down")</f>
        <v>Running</v>
      </c>
    </row>
    <row r="813" spans="1:5" x14ac:dyDescent="0.25">
      <c r="A813" s="2">
        <v>44684</v>
      </c>
      <c r="B813" s="4" t="s">
        <v>19</v>
      </c>
      <c r="C813">
        <v>1550</v>
      </c>
      <c r="D813" t="s">
        <v>8</v>
      </c>
      <c r="E813" t="str">
        <f>IF(may[[#This Row],[ShiftCounter]]&gt;0, "Running", "Down")</f>
        <v>Running</v>
      </c>
    </row>
    <row r="814" spans="1:5" x14ac:dyDescent="0.25">
      <c r="A814" s="2">
        <v>44684</v>
      </c>
      <c r="B814" s="4" t="s">
        <v>18</v>
      </c>
      <c r="C814">
        <v>2405</v>
      </c>
      <c r="D814" t="s">
        <v>6</v>
      </c>
      <c r="E814" t="str">
        <f>IF(may[[#This Row],[ShiftCounter]]&gt;0, "Running", "Down")</f>
        <v>Running</v>
      </c>
    </row>
    <row r="815" spans="1:5" x14ac:dyDescent="0.25">
      <c r="A815" s="2">
        <v>44684</v>
      </c>
      <c r="B815" s="4" t="s">
        <v>18</v>
      </c>
      <c r="C815">
        <v>2468</v>
      </c>
      <c r="D815" t="s">
        <v>7</v>
      </c>
      <c r="E815" t="str">
        <f>IF(may[[#This Row],[ShiftCounter]]&gt;0, "Running", "Down")</f>
        <v>Running</v>
      </c>
    </row>
    <row r="816" spans="1:5" x14ac:dyDescent="0.25">
      <c r="A816" s="2">
        <v>44683</v>
      </c>
      <c r="B816" s="4" t="s">
        <v>18</v>
      </c>
      <c r="C816">
        <v>2082</v>
      </c>
      <c r="D816" t="s">
        <v>8</v>
      </c>
      <c r="E816" t="str">
        <f>IF(may[[#This Row],[ShiftCounter]]&gt;0, "Running", "Down")</f>
        <v>Running</v>
      </c>
    </row>
    <row r="817" spans="1:5" x14ac:dyDescent="0.25">
      <c r="A817" s="2">
        <v>44683</v>
      </c>
      <c r="B817" s="4" t="s">
        <v>42</v>
      </c>
      <c r="C817">
        <v>2205</v>
      </c>
      <c r="D817" t="s">
        <v>6</v>
      </c>
      <c r="E817" t="str">
        <f>IF(may[[#This Row],[ShiftCounter]]&gt;0, "Running", "Down")</f>
        <v>Running</v>
      </c>
    </row>
    <row r="818" spans="1:5" x14ac:dyDescent="0.25">
      <c r="A818" s="2">
        <v>44683</v>
      </c>
      <c r="B818" s="4" t="s">
        <v>42</v>
      </c>
      <c r="C818">
        <v>2018</v>
      </c>
      <c r="D818" t="s">
        <v>7</v>
      </c>
      <c r="E818" t="str">
        <f>IF(may[[#This Row],[ShiftCounter]]&gt;0, "Running", "Down")</f>
        <v>Running</v>
      </c>
    </row>
    <row r="819" spans="1:5" x14ac:dyDescent="0.25">
      <c r="A819" s="2">
        <v>44683</v>
      </c>
      <c r="B819" s="4" t="s">
        <v>42</v>
      </c>
      <c r="C819">
        <v>1975</v>
      </c>
      <c r="D819" t="s">
        <v>8</v>
      </c>
      <c r="E819" t="str">
        <f>IF(may[[#This Row],[ShiftCounter]]&gt;0, "Running", "Down")</f>
        <v>Running</v>
      </c>
    </row>
    <row r="820" spans="1:5" x14ac:dyDescent="0.25">
      <c r="A820" s="2">
        <v>44683</v>
      </c>
      <c r="B820" s="4" t="s">
        <v>38</v>
      </c>
      <c r="C820">
        <v>2165</v>
      </c>
      <c r="D820" t="s">
        <v>6</v>
      </c>
      <c r="E820" t="str">
        <f>IF(may[[#This Row],[ShiftCounter]]&gt;0, "Running", "Down")</f>
        <v>Running</v>
      </c>
    </row>
    <row r="821" spans="1:5" x14ac:dyDescent="0.25">
      <c r="A821" s="2">
        <v>44683</v>
      </c>
      <c r="B821" s="4" t="s">
        <v>38</v>
      </c>
      <c r="C821">
        <v>2000</v>
      </c>
      <c r="D821" t="s">
        <v>7</v>
      </c>
      <c r="E821" t="str">
        <f>IF(may[[#This Row],[ShiftCounter]]&gt;0, "Running", "Down")</f>
        <v>Running</v>
      </c>
    </row>
    <row r="822" spans="1:5" x14ac:dyDescent="0.25">
      <c r="A822" s="2">
        <v>44683</v>
      </c>
      <c r="B822" s="4" t="s">
        <v>38</v>
      </c>
      <c r="C822">
        <v>1878</v>
      </c>
      <c r="D822" t="s">
        <v>8</v>
      </c>
      <c r="E822" t="str">
        <f>IF(may[[#This Row],[ShiftCounter]]&gt;0, "Running", "Down")</f>
        <v>Running</v>
      </c>
    </row>
    <row r="823" spans="1:5" x14ac:dyDescent="0.25">
      <c r="A823" s="2">
        <v>44683</v>
      </c>
      <c r="B823" s="4" t="s">
        <v>20</v>
      </c>
      <c r="C823">
        <v>1717</v>
      </c>
      <c r="D823" t="s">
        <v>6</v>
      </c>
      <c r="E823" t="str">
        <f>IF(may[[#This Row],[ShiftCounter]]&gt;0, "Running", "Down")</f>
        <v>Running</v>
      </c>
    </row>
    <row r="824" spans="1:5" x14ac:dyDescent="0.25">
      <c r="A824" s="2">
        <v>44683</v>
      </c>
      <c r="B824" s="4" t="s">
        <v>20</v>
      </c>
      <c r="C824">
        <v>2076</v>
      </c>
      <c r="D824" t="s">
        <v>7</v>
      </c>
      <c r="E824" t="str">
        <f>IF(may[[#This Row],[ShiftCounter]]&gt;0, "Running", "Down")</f>
        <v>Running</v>
      </c>
    </row>
    <row r="825" spans="1:5" x14ac:dyDescent="0.25">
      <c r="A825" s="2">
        <v>44683</v>
      </c>
      <c r="B825" s="4" t="s">
        <v>20</v>
      </c>
      <c r="C825">
        <v>1992</v>
      </c>
      <c r="D825" t="s">
        <v>8</v>
      </c>
      <c r="E825" t="str">
        <f>IF(may[[#This Row],[ShiftCounter]]&gt;0, "Running", "Down")</f>
        <v>Running</v>
      </c>
    </row>
    <row r="826" spans="1:5" x14ac:dyDescent="0.25">
      <c r="A826" s="2">
        <v>44683</v>
      </c>
      <c r="B826" s="4" t="s">
        <v>21</v>
      </c>
      <c r="C826">
        <v>2148</v>
      </c>
      <c r="D826" t="s">
        <v>6</v>
      </c>
      <c r="E826" t="str">
        <f>IF(may[[#This Row],[ShiftCounter]]&gt;0, "Running", "Down")</f>
        <v>Running</v>
      </c>
    </row>
    <row r="827" spans="1:5" x14ac:dyDescent="0.25">
      <c r="A827" s="2">
        <v>44683</v>
      </c>
      <c r="B827" s="4" t="s">
        <v>21</v>
      </c>
      <c r="C827">
        <v>2009</v>
      </c>
      <c r="D827" t="s">
        <v>7</v>
      </c>
      <c r="E827" t="str">
        <f>IF(may[[#This Row],[ShiftCounter]]&gt;0, "Running", "Down")</f>
        <v>Running</v>
      </c>
    </row>
    <row r="828" spans="1:5" x14ac:dyDescent="0.25">
      <c r="A828" s="2">
        <v>44683</v>
      </c>
      <c r="B828" s="4" t="s">
        <v>21</v>
      </c>
      <c r="C828">
        <v>1812</v>
      </c>
      <c r="D828" t="s">
        <v>8</v>
      </c>
      <c r="E828" t="str">
        <f>IF(may[[#This Row],[ShiftCounter]]&gt;0, "Running", "Down")</f>
        <v>Running</v>
      </c>
    </row>
    <row r="829" spans="1:5" x14ac:dyDescent="0.25">
      <c r="A829" s="2">
        <v>44683</v>
      </c>
      <c r="B829" s="4" t="s">
        <v>22</v>
      </c>
      <c r="C829">
        <v>2351</v>
      </c>
      <c r="D829" t="s">
        <v>6</v>
      </c>
      <c r="E829" t="str">
        <f>IF(may[[#This Row],[ShiftCounter]]&gt;0, "Running", "Down")</f>
        <v>Running</v>
      </c>
    </row>
    <row r="830" spans="1:5" x14ac:dyDescent="0.25">
      <c r="A830" s="2">
        <v>44683</v>
      </c>
      <c r="B830" s="4" t="s">
        <v>22</v>
      </c>
      <c r="C830">
        <v>2247</v>
      </c>
      <c r="D830" t="s">
        <v>7</v>
      </c>
      <c r="E830" t="str">
        <f>IF(may[[#This Row],[ShiftCounter]]&gt;0, "Running", "Down")</f>
        <v>Running</v>
      </c>
    </row>
    <row r="831" spans="1:5" x14ac:dyDescent="0.25">
      <c r="A831" s="2">
        <v>44683</v>
      </c>
      <c r="B831" s="4" t="s">
        <v>22</v>
      </c>
      <c r="C831">
        <v>2003</v>
      </c>
      <c r="D831" t="s">
        <v>8</v>
      </c>
      <c r="E831" t="str">
        <f>IF(may[[#This Row],[ShiftCounter]]&gt;0, "Running", "Down")</f>
        <v>Running</v>
      </c>
    </row>
    <row r="832" spans="1:5" x14ac:dyDescent="0.25">
      <c r="A832" s="2">
        <v>44683</v>
      </c>
      <c r="B832" s="4" t="s">
        <v>23</v>
      </c>
      <c r="C832">
        <v>2379</v>
      </c>
      <c r="D832" t="s">
        <v>6</v>
      </c>
      <c r="E832" t="str">
        <f>IF(may[[#This Row],[ShiftCounter]]&gt;0, "Running", "Down")</f>
        <v>Running</v>
      </c>
    </row>
    <row r="833" spans="1:5" x14ac:dyDescent="0.25">
      <c r="A833" s="2">
        <v>44683</v>
      </c>
      <c r="B833" s="4" t="s">
        <v>23</v>
      </c>
      <c r="C833">
        <v>2371</v>
      </c>
      <c r="D833" t="s">
        <v>7</v>
      </c>
      <c r="E833" t="str">
        <f>IF(may[[#This Row],[ShiftCounter]]&gt;0, "Running", "Down")</f>
        <v>Running</v>
      </c>
    </row>
    <row r="834" spans="1:5" x14ac:dyDescent="0.25">
      <c r="A834" s="2">
        <v>44683</v>
      </c>
      <c r="B834" s="4" t="s">
        <v>23</v>
      </c>
      <c r="C834">
        <v>2106</v>
      </c>
      <c r="D834" t="s">
        <v>8</v>
      </c>
      <c r="E834" t="str">
        <f>IF(may[[#This Row],[ShiftCounter]]&gt;0, "Running", "Down")</f>
        <v>Running</v>
      </c>
    </row>
    <row r="835" spans="1:5" x14ac:dyDescent="0.25">
      <c r="A835" s="2">
        <v>44683</v>
      </c>
      <c r="B835" s="4" t="s">
        <v>24</v>
      </c>
      <c r="C835">
        <v>2135</v>
      </c>
      <c r="D835" t="s">
        <v>6</v>
      </c>
      <c r="E835" t="str">
        <f>IF(may[[#This Row],[ShiftCounter]]&gt;0, "Running", "Down")</f>
        <v>Running</v>
      </c>
    </row>
    <row r="836" spans="1:5" x14ac:dyDescent="0.25">
      <c r="A836" s="2">
        <v>44683</v>
      </c>
      <c r="B836" s="4" t="s">
        <v>24</v>
      </c>
      <c r="C836">
        <v>2010</v>
      </c>
      <c r="D836" t="s">
        <v>7</v>
      </c>
      <c r="E836" t="str">
        <f>IF(may[[#This Row],[ShiftCounter]]&gt;0, "Running", "Down")</f>
        <v>Running</v>
      </c>
    </row>
    <row r="837" spans="1:5" x14ac:dyDescent="0.25">
      <c r="A837" s="2">
        <v>44683</v>
      </c>
      <c r="B837" s="4" t="s">
        <v>24</v>
      </c>
      <c r="C837">
        <v>1874</v>
      </c>
      <c r="D837" t="s">
        <v>8</v>
      </c>
      <c r="E837" t="str">
        <f>IF(may[[#This Row],[ShiftCounter]]&gt;0, "Running", "Down")</f>
        <v>Running</v>
      </c>
    </row>
    <row r="838" spans="1:5" x14ac:dyDescent="0.25">
      <c r="A838" s="2">
        <v>44683</v>
      </c>
      <c r="B838" s="4" t="s">
        <v>25</v>
      </c>
      <c r="C838">
        <v>2252</v>
      </c>
      <c r="D838" t="s">
        <v>6</v>
      </c>
      <c r="E838" t="str">
        <f>IF(may[[#This Row],[ShiftCounter]]&gt;0, "Running", "Down")</f>
        <v>Running</v>
      </c>
    </row>
    <row r="839" spans="1:5" x14ac:dyDescent="0.25">
      <c r="A839" s="2">
        <v>44683</v>
      </c>
      <c r="B839" s="4" t="s">
        <v>25</v>
      </c>
      <c r="C839">
        <v>2188</v>
      </c>
      <c r="D839" t="s">
        <v>7</v>
      </c>
      <c r="E839" t="str">
        <f>IF(may[[#This Row],[ShiftCounter]]&gt;0, "Running", "Down")</f>
        <v>Running</v>
      </c>
    </row>
    <row r="840" spans="1:5" x14ac:dyDescent="0.25">
      <c r="A840" s="2">
        <v>44683</v>
      </c>
      <c r="B840" s="4" t="s">
        <v>25</v>
      </c>
      <c r="C840">
        <v>1953</v>
      </c>
      <c r="D840" t="s">
        <v>8</v>
      </c>
      <c r="E840" t="str">
        <f>IF(may[[#This Row],[ShiftCounter]]&gt;0, "Running", "Down")</f>
        <v>Running</v>
      </c>
    </row>
    <row r="841" spans="1:5" x14ac:dyDescent="0.25">
      <c r="A841" s="2">
        <v>44683</v>
      </c>
      <c r="B841" s="4" t="s">
        <v>26</v>
      </c>
      <c r="C841">
        <v>2191</v>
      </c>
      <c r="D841" t="s">
        <v>6</v>
      </c>
      <c r="E841" t="str">
        <f>IF(may[[#This Row],[ShiftCounter]]&gt;0, "Running", "Down")</f>
        <v>Running</v>
      </c>
    </row>
    <row r="842" spans="1:5" x14ac:dyDescent="0.25">
      <c r="A842" s="2">
        <v>44683</v>
      </c>
      <c r="B842" s="4" t="s">
        <v>26</v>
      </c>
      <c r="C842">
        <v>2258</v>
      </c>
      <c r="D842" t="s">
        <v>7</v>
      </c>
      <c r="E842" t="str">
        <f>IF(may[[#This Row],[ShiftCounter]]&gt;0, "Running", "Down")</f>
        <v>Running</v>
      </c>
    </row>
    <row r="843" spans="1:5" x14ac:dyDescent="0.25">
      <c r="A843" s="2">
        <v>44683</v>
      </c>
      <c r="B843" s="4" t="s">
        <v>26</v>
      </c>
      <c r="C843">
        <v>1898</v>
      </c>
      <c r="D843" t="s">
        <v>8</v>
      </c>
      <c r="E843" t="str">
        <f>IF(may[[#This Row],[ShiftCounter]]&gt;0, "Running", "Down")</f>
        <v>Running</v>
      </c>
    </row>
    <row r="844" spans="1:5" x14ac:dyDescent="0.25">
      <c r="A844" s="2">
        <v>44683</v>
      </c>
      <c r="B844" s="4" t="s">
        <v>27</v>
      </c>
      <c r="C844">
        <v>1678</v>
      </c>
      <c r="D844" t="s">
        <v>6</v>
      </c>
      <c r="E844" t="str">
        <f>IF(may[[#This Row],[ShiftCounter]]&gt;0, "Running", "Down")</f>
        <v>Running</v>
      </c>
    </row>
    <row r="845" spans="1:5" x14ac:dyDescent="0.25">
      <c r="A845" s="2">
        <v>44683</v>
      </c>
      <c r="B845" s="4" t="s">
        <v>27</v>
      </c>
      <c r="C845">
        <v>1752</v>
      </c>
      <c r="D845" t="s">
        <v>7</v>
      </c>
      <c r="E845" t="str">
        <f>IF(may[[#This Row],[ShiftCounter]]&gt;0, "Running", "Down")</f>
        <v>Running</v>
      </c>
    </row>
    <row r="846" spans="1:5" x14ac:dyDescent="0.25">
      <c r="A846" s="2">
        <v>44683</v>
      </c>
      <c r="B846" s="4" t="s">
        <v>27</v>
      </c>
      <c r="C846">
        <v>1734</v>
      </c>
      <c r="D846" t="s">
        <v>8</v>
      </c>
      <c r="E846" t="str">
        <f>IF(may[[#This Row],[ShiftCounter]]&gt;0, "Running", "Down")</f>
        <v>Running</v>
      </c>
    </row>
    <row r="847" spans="1:5" x14ac:dyDescent="0.25">
      <c r="A847" s="2">
        <v>44683</v>
      </c>
      <c r="B847" s="4" t="s">
        <v>28</v>
      </c>
      <c r="C847">
        <v>2264</v>
      </c>
      <c r="D847" t="s">
        <v>6</v>
      </c>
      <c r="E847" t="str">
        <f>IF(may[[#This Row],[ShiftCounter]]&gt;0, "Running", "Down")</f>
        <v>Running</v>
      </c>
    </row>
    <row r="848" spans="1:5" x14ac:dyDescent="0.25">
      <c r="A848" s="2">
        <v>44683</v>
      </c>
      <c r="B848" s="4" t="s">
        <v>28</v>
      </c>
      <c r="C848">
        <v>2186</v>
      </c>
      <c r="D848" t="s">
        <v>7</v>
      </c>
      <c r="E848" t="str">
        <f>IF(may[[#This Row],[ShiftCounter]]&gt;0, "Running", "Down")</f>
        <v>Running</v>
      </c>
    </row>
    <row r="849" spans="1:5" x14ac:dyDescent="0.25">
      <c r="A849" s="2">
        <v>44683</v>
      </c>
      <c r="B849" s="4" t="s">
        <v>28</v>
      </c>
      <c r="C849">
        <v>1862</v>
      </c>
      <c r="D849" t="s">
        <v>8</v>
      </c>
      <c r="E849" t="str">
        <f>IF(may[[#This Row],[ShiftCounter]]&gt;0, "Running", "Down")</f>
        <v>Running</v>
      </c>
    </row>
    <row r="850" spans="1:5" x14ac:dyDescent="0.25">
      <c r="A850" s="2">
        <v>44683</v>
      </c>
      <c r="B850" s="4" t="s">
        <v>29</v>
      </c>
      <c r="C850">
        <v>2135</v>
      </c>
      <c r="D850" t="s">
        <v>6</v>
      </c>
      <c r="E850" t="str">
        <f>IF(may[[#This Row],[ShiftCounter]]&gt;0, "Running", "Down")</f>
        <v>Running</v>
      </c>
    </row>
    <row r="851" spans="1:5" x14ac:dyDescent="0.25">
      <c r="A851" s="2">
        <v>44683</v>
      </c>
      <c r="B851" s="4" t="s">
        <v>29</v>
      </c>
      <c r="C851">
        <v>2098</v>
      </c>
      <c r="D851" t="s">
        <v>7</v>
      </c>
      <c r="E851" t="str">
        <f>IF(may[[#This Row],[ShiftCounter]]&gt;0, "Running", "Down")</f>
        <v>Running</v>
      </c>
    </row>
    <row r="852" spans="1:5" x14ac:dyDescent="0.25">
      <c r="A852" s="2">
        <v>44683</v>
      </c>
      <c r="B852" s="4" t="s">
        <v>29</v>
      </c>
      <c r="C852">
        <v>1683</v>
      </c>
      <c r="D852" t="s">
        <v>8</v>
      </c>
      <c r="E852" t="str">
        <f>IF(may[[#This Row],[ShiftCounter]]&gt;0, "Running", "Down")</f>
        <v>Running</v>
      </c>
    </row>
    <row r="853" spans="1:5" x14ac:dyDescent="0.25">
      <c r="A853" s="2">
        <v>44683</v>
      </c>
      <c r="B853" s="4" t="s">
        <v>30</v>
      </c>
      <c r="C853">
        <v>2304</v>
      </c>
      <c r="D853" t="s">
        <v>6</v>
      </c>
      <c r="E853" t="str">
        <f>IF(may[[#This Row],[ShiftCounter]]&gt;0, "Running", "Down")</f>
        <v>Running</v>
      </c>
    </row>
    <row r="854" spans="1:5" x14ac:dyDescent="0.25">
      <c r="A854" s="2">
        <v>44683</v>
      </c>
      <c r="B854" s="4" t="s">
        <v>30</v>
      </c>
      <c r="C854">
        <v>2199</v>
      </c>
      <c r="D854" t="s">
        <v>7</v>
      </c>
      <c r="E854" t="str">
        <f>IF(may[[#This Row],[ShiftCounter]]&gt;0, "Running", "Down")</f>
        <v>Running</v>
      </c>
    </row>
    <row r="855" spans="1:5" x14ac:dyDescent="0.25">
      <c r="A855" s="2">
        <v>44683</v>
      </c>
      <c r="B855" s="4" t="s">
        <v>30</v>
      </c>
      <c r="C855">
        <v>1876</v>
      </c>
      <c r="D855" t="s">
        <v>8</v>
      </c>
      <c r="E855" t="str">
        <f>IF(may[[#This Row],[ShiftCounter]]&gt;0, "Running", "Down")</f>
        <v>Running</v>
      </c>
    </row>
    <row r="856" spans="1:5" x14ac:dyDescent="0.25">
      <c r="A856" s="2">
        <v>44683</v>
      </c>
      <c r="B856" s="4" t="s">
        <v>31</v>
      </c>
      <c r="C856">
        <v>2326</v>
      </c>
      <c r="D856" t="s">
        <v>6</v>
      </c>
      <c r="E856" t="str">
        <f>IF(may[[#This Row],[ShiftCounter]]&gt;0, "Running", "Down")</f>
        <v>Running</v>
      </c>
    </row>
    <row r="857" spans="1:5" x14ac:dyDescent="0.25">
      <c r="A857" s="2">
        <v>44683</v>
      </c>
      <c r="B857" s="4" t="s">
        <v>31</v>
      </c>
      <c r="C857">
        <v>2295</v>
      </c>
      <c r="D857" t="s">
        <v>7</v>
      </c>
      <c r="E857" t="str">
        <f>IF(may[[#This Row],[ShiftCounter]]&gt;0, "Running", "Down")</f>
        <v>Running</v>
      </c>
    </row>
    <row r="858" spans="1:5" x14ac:dyDescent="0.25">
      <c r="A858" s="2">
        <v>44683</v>
      </c>
      <c r="B858" s="4" t="s">
        <v>31</v>
      </c>
      <c r="C858">
        <v>1904</v>
      </c>
      <c r="D858" t="s">
        <v>8</v>
      </c>
      <c r="E858" t="str">
        <f>IF(may[[#This Row],[ShiftCounter]]&gt;0, "Running", "Down")</f>
        <v>Running</v>
      </c>
    </row>
    <row r="859" spans="1:5" x14ac:dyDescent="0.25">
      <c r="A859" s="2">
        <v>44683</v>
      </c>
      <c r="B859" s="4" t="s">
        <v>32</v>
      </c>
      <c r="C859">
        <v>2233</v>
      </c>
      <c r="D859" t="s">
        <v>6</v>
      </c>
      <c r="E859" t="str">
        <f>IF(may[[#This Row],[ShiftCounter]]&gt;0, "Running", "Down")</f>
        <v>Running</v>
      </c>
    </row>
    <row r="860" spans="1:5" x14ac:dyDescent="0.25">
      <c r="A860" s="2">
        <v>44683</v>
      </c>
      <c r="B860" s="4" t="s">
        <v>32</v>
      </c>
      <c r="C860">
        <v>2181</v>
      </c>
      <c r="D860" t="s">
        <v>7</v>
      </c>
      <c r="E860" t="str">
        <f>IF(may[[#This Row],[ShiftCounter]]&gt;0, "Running", "Down")</f>
        <v>Running</v>
      </c>
    </row>
    <row r="861" spans="1:5" x14ac:dyDescent="0.25">
      <c r="A861" s="2">
        <v>44683</v>
      </c>
      <c r="B861" s="4" t="s">
        <v>32</v>
      </c>
      <c r="C861">
        <v>1831</v>
      </c>
      <c r="D861" t="s">
        <v>8</v>
      </c>
      <c r="E861" t="str">
        <f>IF(may[[#This Row],[ShiftCounter]]&gt;0, "Running", "Down")</f>
        <v>Running</v>
      </c>
    </row>
    <row r="862" spans="1:5" x14ac:dyDescent="0.25">
      <c r="A862" s="2">
        <v>44683</v>
      </c>
      <c r="B862" s="4" t="s">
        <v>33</v>
      </c>
      <c r="C862">
        <v>2520</v>
      </c>
      <c r="D862" t="s">
        <v>6</v>
      </c>
      <c r="E862" t="str">
        <f>IF(may[[#This Row],[ShiftCounter]]&gt;0, "Running", "Down")</f>
        <v>Running</v>
      </c>
    </row>
    <row r="863" spans="1:5" x14ac:dyDescent="0.25">
      <c r="A863" s="2">
        <v>44683</v>
      </c>
      <c r="B863" s="4" t="s">
        <v>33</v>
      </c>
      <c r="C863">
        <v>2370</v>
      </c>
      <c r="D863" t="s">
        <v>7</v>
      </c>
      <c r="E863" t="str">
        <f>IF(may[[#This Row],[ShiftCounter]]&gt;0, "Running", "Down")</f>
        <v>Running</v>
      </c>
    </row>
    <row r="864" spans="1:5" x14ac:dyDescent="0.25">
      <c r="A864" s="2">
        <v>44683</v>
      </c>
      <c r="B864" s="4" t="s">
        <v>33</v>
      </c>
      <c r="C864">
        <v>2195</v>
      </c>
      <c r="D864" t="s">
        <v>8</v>
      </c>
      <c r="E864" t="str">
        <f>IF(may[[#This Row],[ShiftCounter]]&gt;0, "Running", "Down")</f>
        <v>Running</v>
      </c>
    </row>
    <row r="865" spans="1:5" x14ac:dyDescent="0.25">
      <c r="A865" s="2">
        <v>44683</v>
      </c>
      <c r="B865" s="4" t="s">
        <v>34</v>
      </c>
      <c r="C865">
        <v>2099</v>
      </c>
      <c r="D865" t="s">
        <v>6</v>
      </c>
      <c r="E865" t="str">
        <f>IF(may[[#This Row],[ShiftCounter]]&gt;0, "Running", "Down")</f>
        <v>Running</v>
      </c>
    </row>
    <row r="866" spans="1:5" x14ac:dyDescent="0.25">
      <c r="A866" s="2">
        <v>44683</v>
      </c>
      <c r="B866" s="4" t="s">
        <v>34</v>
      </c>
      <c r="C866">
        <v>2005</v>
      </c>
      <c r="D866" t="s">
        <v>7</v>
      </c>
      <c r="E866" t="str">
        <f>IF(may[[#This Row],[ShiftCounter]]&gt;0, "Running", "Down")</f>
        <v>Running</v>
      </c>
    </row>
    <row r="867" spans="1:5" x14ac:dyDescent="0.25">
      <c r="A867" s="2">
        <v>44683</v>
      </c>
      <c r="B867" s="4" t="s">
        <v>34</v>
      </c>
      <c r="C867">
        <v>1778</v>
      </c>
      <c r="D867" t="s">
        <v>8</v>
      </c>
      <c r="E867" t="str">
        <f>IF(may[[#This Row],[ShiftCounter]]&gt;0, "Running", "Down")</f>
        <v>Running</v>
      </c>
    </row>
    <row r="868" spans="1:5" x14ac:dyDescent="0.25">
      <c r="A868" s="2">
        <v>44683</v>
      </c>
      <c r="B868" s="4" t="s">
        <v>35</v>
      </c>
      <c r="C868">
        <v>2314</v>
      </c>
      <c r="D868" t="s">
        <v>6</v>
      </c>
      <c r="E868" t="str">
        <f>IF(may[[#This Row],[ShiftCounter]]&gt;0, "Running", "Down")</f>
        <v>Running</v>
      </c>
    </row>
    <row r="869" spans="1:5" x14ac:dyDescent="0.25">
      <c r="A869" s="2">
        <v>44683</v>
      </c>
      <c r="B869" s="4" t="s">
        <v>35</v>
      </c>
      <c r="C869">
        <v>2226</v>
      </c>
      <c r="D869" t="s">
        <v>7</v>
      </c>
      <c r="E869" t="str">
        <f>IF(may[[#This Row],[ShiftCounter]]&gt;0, "Running", "Down")</f>
        <v>Running</v>
      </c>
    </row>
    <row r="870" spans="1:5" x14ac:dyDescent="0.25">
      <c r="A870" s="2">
        <v>44683</v>
      </c>
      <c r="B870" s="4" t="s">
        <v>35</v>
      </c>
      <c r="C870">
        <v>2096</v>
      </c>
      <c r="D870" t="s">
        <v>8</v>
      </c>
      <c r="E870" t="str">
        <f>IF(may[[#This Row],[ShiftCounter]]&gt;0, "Running", "Down")</f>
        <v>Running</v>
      </c>
    </row>
    <row r="871" spans="1:5" x14ac:dyDescent="0.25">
      <c r="A871" s="2">
        <v>44683</v>
      </c>
      <c r="B871" s="4" t="s">
        <v>36</v>
      </c>
      <c r="C871">
        <v>2479</v>
      </c>
      <c r="D871" t="s">
        <v>6</v>
      </c>
      <c r="E871" t="str">
        <f>IF(may[[#This Row],[ShiftCounter]]&gt;0, "Running", "Down")</f>
        <v>Running</v>
      </c>
    </row>
    <row r="872" spans="1:5" x14ac:dyDescent="0.25">
      <c r="A872" s="2">
        <v>44683</v>
      </c>
      <c r="B872" s="4" t="s">
        <v>36</v>
      </c>
      <c r="C872">
        <v>2464</v>
      </c>
      <c r="D872" t="s">
        <v>7</v>
      </c>
      <c r="E872" t="str">
        <f>IF(may[[#This Row],[ShiftCounter]]&gt;0, "Running", "Down")</f>
        <v>Running</v>
      </c>
    </row>
    <row r="873" spans="1:5" x14ac:dyDescent="0.25">
      <c r="A873" s="2">
        <v>44683</v>
      </c>
      <c r="B873" s="4" t="s">
        <v>36</v>
      </c>
      <c r="C873">
        <v>2265</v>
      </c>
      <c r="D873" t="s">
        <v>8</v>
      </c>
      <c r="E873" t="str">
        <f>IF(may[[#This Row],[ShiftCounter]]&gt;0, "Running", "Down")</f>
        <v>Running</v>
      </c>
    </row>
    <row r="874" spans="1:5" x14ac:dyDescent="0.25">
      <c r="A874" s="2">
        <v>44683</v>
      </c>
      <c r="B874" s="4" t="s">
        <v>37</v>
      </c>
      <c r="C874">
        <v>2436</v>
      </c>
      <c r="D874" t="s">
        <v>6</v>
      </c>
      <c r="E874" t="str">
        <f>IF(may[[#This Row],[ShiftCounter]]&gt;0, "Running", "Down")</f>
        <v>Running</v>
      </c>
    </row>
    <row r="875" spans="1:5" x14ac:dyDescent="0.25">
      <c r="A875" s="2">
        <v>44683</v>
      </c>
      <c r="B875" s="4" t="s">
        <v>37</v>
      </c>
      <c r="C875">
        <v>2388</v>
      </c>
      <c r="D875" t="s">
        <v>7</v>
      </c>
      <c r="E875" t="str">
        <f>IF(may[[#This Row],[ShiftCounter]]&gt;0, "Running", "Down")</f>
        <v>Running</v>
      </c>
    </row>
    <row r="876" spans="1:5" x14ac:dyDescent="0.25">
      <c r="A876" s="2">
        <v>44683</v>
      </c>
      <c r="B876" s="4" t="s">
        <v>37</v>
      </c>
      <c r="C876">
        <v>2192</v>
      </c>
      <c r="D876" t="s">
        <v>8</v>
      </c>
      <c r="E876" t="str">
        <f>IF(may[[#This Row],[ShiftCounter]]&gt;0, "Running", "Down")</f>
        <v>Running</v>
      </c>
    </row>
    <row r="877" spans="1:5" x14ac:dyDescent="0.25">
      <c r="A877" s="2">
        <v>44683</v>
      </c>
      <c r="B877" s="4" t="s">
        <v>39</v>
      </c>
      <c r="C877">
        <v>2229</v>
      </c>
      <c r="D877" t="s">
        <v>6</v>
      </c>
      <c r="E877" t="str">
        <f>IF(may[[#This Row],[ShiftCounter]]&gt;0, "Running", "Down")</f>
        <v>Running</v>
      </c>
    </row>
    <row r="878" spans="1:5" x14ac:dyDescent="0.25">
      <c r="A878" s="2">
        <v>44683</v>
      </c>
      <c r="B878" s="4" t="s">
        <v>39</v>
      </c>
      <c r="C878">
        <v>2095</v>
      </c>
      <c r="D878" t="s">
        <v>7</v>
      </c>
      <c r="E878" t="str">
        <f>IF(may[[#This Row],[ShiftCounter]]&gt;0, "Running", "Down")</f>
        <v>Running</v>
      </c>
    </row>
    <row r="879" spans="1:5" x14ac:dyDescent="0.25">
      <c r="A879" s="2">
        <v>44683</v>
      </c>
      <c r="B879" s="4" t="s">
        <v>39</v>
      </c>
      <c r="C879">
        <v>1818</v>
      </c>
      <c r="D879" t="s">
        <v>8</v>
      </c>
      <c r="E879" t="str">
        <f>IF(may[[#This Row],[ShiftCounter]]&gt;0, "Running", "Down")</f>
        <v>Running</v>
      </c>
    </row>
    <row r="880" spans="1:5" x14ac:dyDescent="0.25">
      <c r="A880" s="2">
        <v>44683</v>
      </c>
      <c r="B880" s="4" t="s">
        <v>41</v>
      </c>
      <c r="C880">
        <v>2604</v>
      </c>
      <c r="D880" t="s">
        <v>6</v>
      </c>
      <c r="E880" t="str">
        <f>IF(may[[#This Row],[ShiftCounter]]&gt;0, "Running", "Down")</f>
        <v>Running</v>
      </c>
    </row>
    <row r="881" spans="1:5" x14ac:dyDescent="0.25">
      <c r="A881" s="2">
        <v>44683</v>
      </c>
      <c r="B881" s="4" t="s">
        <v>41</v>
      </c>
      <c r="C881">
        <v>2368</v>
      </c>
      <c r="D881" t="s">
        <v>7</v>
      </c>
      <c r="E881" t="str">
        <f>IF(may[[#This Row],[ShiftCounter]]&gt;0, "Running", "Down")</f>
        <v>Running</v>
      </c>
    </row>
    <row r="882" spans="1:5" x14ac:dyDescent="0.25">
      <c r="A882" s="2">
        <v>44683</v>
      </c>
      <c r="B882" s="4" t="s">
        <v>41</v>
      </c>
      <c r="C882">
        <v>0</v>
      </c>
      <c r="D882" t="s">
        <v>8</v>
      </c>
      <c r="E882" t="str">
        <f>IF(may[[#This Row],[ShiftCounter]]&gt;0, "Running", "Down")</f>
        <v>Down</v>
      </c>
    </row>
    <row r="883" spans="1:5" x14ac:dyDescent="0.25">
      <c r="A883" s="2">
        <v>44683</v>
      </c>
      <c r="B883" s="4" t="s">
        <v>43</v>
      </c>
      <c r="C883">
        <v>2298</v>
      </c>
      <c r="D883" t="s">
        <v>6</v>
      </c>
      <c r="E883" t="str">
        <f>IF(may[[#This Row],[ShiftCounter]]&gt;0, "Running", "Down")</f>
        <v>Running</v>
      </c>
    </row>
    <row r="884" spans="1:5" x14ac:dyDescent="0.25">
      <c r="A884" s="2">
        <v>44683</v>
      </c>
      <c r="B884" s="4" t="s">
        <v>43</v>
      </c>
      <c r="C884">
        <v>2154</v>
      </c>
      <c r="D884" t="s">
        <v>7</v>
      </c>
      <c r="E884" t="str">
        <f>IF(may[[#This Row],[ShiftCounter]]&gt;0, "Running", "Down")</f>
        <v>Running</v>
      </c>
    </row>
    <row r="885" spans="1:5" x14ac:dyDescent="0.25">
      <c r="A885" s="2">
        <v>44683</v>
      </c>
      <c r="B885" s="4" t="s">
        <v>43</v>
      </c>
      <c r="C885">
        <v>1880</v>
      </c>
      <c r="D885" t="s">
        <v>8</v>
      </c>
      <c r="E885" t="str">
        <f>IF(may[[#This Row],[ShiftCounter]]&gt;0, "Running", "Down")</f>
        <v>Running</v>
      </c>
    </row>
    <row r="886" spans="1:5" x14ac:dyDescent="0.25">
      <c r="A886" s="2">
        <v>44683</v>
      </c>
      <c r="B886" s="4" t="s">
        <v>5</v>
      </c>
      <c r="C886">
        <v>2526</v>
      </c>
      <c r="D886" t="s">
        <v>6</v>
      </c>
      <c r="E886" t="str">
        <f>IF(may[[#This Row],[ShiftCounter]]&gt;0, "Running", "Down")</f>
        <v>Running</v>
      </c>
    </row>
    <row r="887" spans="1:5" x14ac:dyDescent="0.25">
      <c r="A887" s="2">
        <v>44683</v>
      </c>
      <c r="B887" s="4" t="s">
        <v>5</v>
      </c>
      <c r="C887">
        <v>2342</v>
      </c>
      <c r="D887" t="s">
        <v>7</v>
      </c>
      <c r="E887" t="str">
        <f>IF(may[[#This Row],[ShiftCounter]]&gt;0, "Running", "Down")</f>
        <v>Running</v>
      </c>
    </row>
    <row r="888" spans="1:5" x14ac:dyDescent="0.25">
      <c r="A888" s="2">
        <v>44683</v>
      </c>
      <c r="B888" s="4" t="s">
        <v>5</v>
      </c>
      <c r="C888">
        <v>2063</v>
      </c>
      <c r="D888" t="s">
        <v>8</v>
      </c>
      <c r="E888" t="str">
        <f>IF(may[[#This Row],[ShiftCounter]]&gt;0, "Running", "Down")</f>
        <v>Running</v>
      </c>
    </row>
    <row r="889" spans="1:5" x14ac:dyDescent="0.25">
      <c r="A889" s="2">
        <v>44683</v>
      </c>
      <c r="B889" s="4" t="s">
        <v>9</v>
      </c>
      <c r="C889">
        <v>1890</v>
      </c>
      <c r="D889" t="s">
        <v>6</v>
      </c>
      <c r="E889" t="str">
        <f>IF(may[[#This Row],[ShiftCounter]]&gt;0, "Running", "Down")</f>
        <v>Running</v>
      </c>
    </row>
    <row r="890" spans="1:5" x14ac:dyDescent="0.25">
      <c r="A890" s="2">
        <v>44683</v>
      </c>
      <c r="B890" s="4" t="s">
        <v>9</v>
      </c>
      <c r="C890">
        <v>2284</v>
      </c>
      <c r="D890" t="s">
        <v>7</v>
      </c>
      <c r="E890" t="str">
        <f>IF(may[[#This Row],[ShiftCounter]]&gt;0, "Running", "Down")</f>
        <v>Running</v>
      </c>
    </row>
    <row r="891" spans="1:5" x14ac:dyDescent="0.25">
      <c r="A891" s="2">
        <v>44683</v>
      </c>
      <c r="B891" s="4" t="s">
        <v>9</v>
      </c>
      <c r="C891">
        <v>2009</v>
      </c>
      <c r="D891" t="s">
        <v>8</v>
      </c>
      <c r="E891" t="str">
        <f>IF(may[[#This Row],[ShiftCounter]]&gt;0, "Running", "Down")</f>
        <v>Running</v>
      </c>
    </row>
    <row r="892" spans="1:5" x14ac:dyDescent="0.25">
      <c r="A892" s="2">
        <v>44683</v>
      </c>
      <c r="B892" s="4" t="s">
        <v>10</v>
      </c>
      <c r="C892">
        <v>2649</v>
      </c>
      <c r="D892" t="s">
        <v>6</v>
      </c>
      <c r="E892" t="str">
        <f>IF(may[[#This Row],[ShiftCounter]]&gt;0, "Running", "Down")</f>
        <v>Running</v>
      </c>
    </row>
    <row r="893" spans="1:5" x14ac:dyDescent="0.25">
      <c r="A893" s="2">
        <v>44683</v>
      </c>
      <c r="B893" s="4" t="s">
        <v>10</v>
      </c>
      <c r="C893">
        <v>2418</v>
      </c>
      <c r="D893" t="s">
        <v>7</v>
      </c>
      <c r="E893" t="str">
        <f>IF(may[[#This Row],[ShiftCounter]]&gt;0, "Running", "Down")</f>
        <v>Running</v>
      </c>
    </row>
    <row r="894" spans="1:5" x14ac:dyDescent="0.25">
      <c r="A894" s="2">
        <v>44683</v>
      </c>
      <c r="B894" s="4" t="s">
        <v>10</v>
      </c>
      <c r="C894">
        <v>2186</v>
      </c>
      <c r="D894" t="s">
        <v>8</v>
      </c>
      <c r="E894" t="str">
        <f>IF(may[[#This Row],[ShiftCounter]]&gt;0, "Running", "Down")</f>
        <v>Running</v>
      </c>
    </row>
    <row r="895" spans="1:5" x14ac:dyDescent="0.25">
      <c r="A895" s="2">
        <v>44683</v>
      </c>
      <c r="B895" s="4" t="s">
        <v>11</v>
      </c>
      <c r="C895">
        <v>0</v>
      </c>
      <c r="D895" t="s">
        <v>6</v>
      </c>
      <c r="E895" t="str">
        <f>IF(may[[#This Row],[ShiftCounter]]&gt;0, "Running", "Down")</f>
        <v>Down</v>
      </c>
    </row>
    <row r="896" spans="1:5" x14ac:dyDescent="0.25">
      <c r="A896" s="2">
        <v>44683</v>
      </c>
      <c r="B896" s="4" t="s">
        <v>11</v>
      </c>
      <c r="C896">
        <v>4482</v>
      </c>
      <c r="D896" t="s">
        <v>7</v>
      </c>
      <c r="E896" t="str">
        <f>IF(may[[#This Row],[ShiftCounter]]&gt;0, "Running", "Down")</f>
        <v>Running</v>
      </c>
    </row>
    <row r="897" spans="1:5" x14ac:dyDescent="0.25">
      <c r="A897" s="2">
        <v>44683</v>
      </c>
      <c r="B897" s="4" t="s">
        <v>11</v>
      </c>
      <c r="C897">
        <v>2062</v>
      </c>
      <c r="D897" t="s">
        <v>8</v>
      </c>
      <c r="E897" t="str">
        <f>IF(may[[#This Row],[ShiftCounter]]&gt;0, "Running", "Down")</f>
        <v>Running</v>
      </c>
    </row>
    <row r="898" spans="1:5" x14ac:dyDescent="0.25">
      <c r="A898" s="2">
        <v>44683</v>
      </c>
      <c r="B898" s="4" t="s">
        <v>12</v>
      </c>
      <c r="C898">
        <v>1753</v>
      </c>
      <c r="D898" t="s">
        <v>6</v>
      </c>
      <c r="E898" t="str">
        <f>IF(may[[#This Row],[ShiftCounter]]&gt;0, "Running", "Down")</f>
        <v>Running</v>
      </c>
    </row>
    <row r="899" spans="1:5" x14ac:dyDescent="0.25">
      <c r="A899" s="2">
        <v>44683</v>
      </c>
      <c r="B899" s="4" t="s">
        <v>12</v>
      </c>
      <c r="C899">
        <v>1939</v>
      </c>
      <c r="D899" t="s">
        <v>7</v>
      </c>
      <c r="E899" t="str">
        <f>IF(may[[#This Row],[ShiftCounter]]&gt;0, "Running", "Down")</f>
        <v>Running</v>
      </c>
    </row>
    <row r="900" spans="1:5" x14ac:dyDescent="0.25">
      <c r="A900" s="2">
        <v>44683</v>
      </c>
      <c r="B900" s="4" t="s">
        <v>12</v>
      </c>
      <c r="C900">
        <v>1902</v>
      </c>
      <c r="D900" t="s">
        <v>8</v>
      </c>
      <c r="E900" t="str">
        <f>IF(may[[#This Row],[ShiftCounter]]&gt;0, "Running", "Down")</f>
        <v>Running</v>
      </c>
    </row>
    <row r="901" spans="1:5" x14ac:dyDescent="0.25">
      <c r="A901" s="2">
        <v>44683</v>
      </c>
      <c r="B901" s="4" t="s">
        <v>13</v>
      </c>
      <c r="C901">
        <v>1261</v>
      </c>
      <c r="D901" t="s">
        <v>6</v>
      </c>
      <c r="E901" t="str">
        <f>IF(may[[#This Row],[ShiftCounter]]&gt;0, "Running", "Down")</f>
        <v>Running</v>
      </c>
    </row>
    <row r="902" spans="1:5" x14ac:dyDescent="0.25">
      <c r="A902" s="2">
        <v>44683</v>
      </c>
      <c r="B902" s="4" t="s">
        <v>13</v>
      </c>
      <c r="C902">
        <v>2315</v>
      </c>
      <c r="D902" t="s">
        <v>7</v>
      </c>
      <c r="E902" t="str">
        <f>IF(may[[#This Row],[ShiftCounter]]&gt;0, "Running", "Down")</f>
        <v>Running</v>
      </c>
    </row>
    <row r="903" spans="1:5" x14ac:dyDescent="0.25">
      <c r="A903" s="2">
        <v>44683</v>
      </c>
      <c r="B903" s="4" t="s">
        <v>13</v>
      </c>
      <c r="C903">
        <v>2100</v>
      </c>
      <c r="D903" t="s">
        <v>8</v>
      </c>
      <c r="E903" t="str">
        <f>IF(may[[#This Row],[ShiftCounter]]&gt;0, "Running", "Down")</f>
        <v>Running</v>
      </c>
    </row>
    <row r="904" spans="1:5" x14ac:dyDescent="0.25">
      <c r="A904" s="2">
        <v>44683</v>
      </c>
      <c r="B904" s="4" t="s">
        <v>18</v>
      </c>
      <c r="C904">
        <v>2295</v>
      </c>
      <c r="D904" t="s">
        <v>6</v>
      </c>
      <c r="E904" t="str">
        <f>IF(may[[#This Row],[ShiftCounter]]&gt;0, "Running", "Down")</f>
        <v>Running</v>
      </c>
    </row>
    <row r="905" spans="1:5" x14ac:dyDescent="0.25">
      <c r="A905" s="2">
        <v>44683</v>
      </c>
      <c r="B905" s="4" t="s">
        <v>18</v>
      </c>
      <c r="C905">
        <v>2368</v>
      </c>
      <c r="D905" t="s">
        <v>7</v>
      </c>
      <c r="E905" t="str">
        <f>IF(may[[#This Row],[ShiftCounter]]&gt;0, "Running", "Down")</f>
        <v>Running</v>
      </c>
    </row>
    <row r="906" spans="1:5" x14ac:dyDescent="0.25">
      <c r="A906" s="2">
        <v>44683</v>
      </c>
      <c r="B906" s="4" t="s">
        <v>18</v>
      </c>
      <c r="C906">
        <v>2124</v>
      </c>
      <c r="D906" t="s">
        <v>8</v>
      </c>
      <c r="E906" t="str">
        <f>IF(may[[#This Row],[ShiftCounter]]&gt;0, "Running", "Down")</f>
        <v>Running</v>
      </c>
    </row>
    <row r="907" spans="1:5" x14ac:dyDescent="0.25">
      <c r="A907" s="2">
        <v>44683</v>
      </c>
      <c r="B907" s="4" t="s">
        <v>19</v>
      </c>
      <c r="C907">
        <v>1999</v>
      </c>
      <c r="D907" t="s">
        <v>6</v>
      </c>
      <c r="E907" t="str">
        <f>IF(may[[#This Row],[ShiftCounter]]&gt;0, "Running", "Down")</f>
        <v>Running</v>
      </c>
    </row>
    <row r="908" spans="1:5" x14ac:dyDescent="0.25">
      <c r="A908" s="2">
        <v>44683</v>
      </c>
      <c r="B908" s="4" t="s">
        <v>19</v>
      </c>
      <c r="C908">
        <v>1800</v>
      </c>
      <c r="D908" t="s">
        <v>7</v>
      </c>
      <c r="E908" t="str">
        <f>IF(may[[#This Row],[ShiftCounter]]&gt;0, "Running", "Down")</f>
        <v>Running</v>
      </c>
    </row>
    <row r="909" spans="1:5" x14ac:dyDescent="0.25">
      <c r="A909" s="2">
        <v>44683</v>
      </c>
      <c r="B909" s="4" t="s">
        <v>19</v>
      </c>
      <c r="C909">
        <v>1830</v>
      </c>
      <c r="D909" t="s">
        <v>8</v>
      </c>
      <c r="E909" t="str">
        <f>IF(may[[#This Row],[ShiftCounter]]&gt;0, "Running", "Down")</f>
        <v>Running</v>
      </c>
    </row>
    <row r="910" spans="1:5" x14ac:dyDescent="0.25">
      <c r="A910" s="2">
        <v>44683</v>
      </c>
      <c r="B910" s="4" t="s">
        <v>17</v>
      </c>
      <c r="C910">
        <v>2302</v>
      </c>
      <c r="D910" t="s">
        <v>6</v>
      </c>
      <c r="E910" t="str">
        <f>IF(may[[#This Row],[ShiftCounter]]&gt;0, "Running", "Down")</f>
        <v>Running</v>
      </c>
    </row>
    <row r="911" spans="1:5" x14ac:dyDescent="0.25">
      <c r="A911" s="2">
        <v>44683</v>
      </c>
      <c r="B911" s="4" t="s">
        <v>17</v>
      </c>
      <c r="C911">
        <v>2440</v>
      </c>
      <c r="D911" t="s">
        <v>7</v>
      </c>
      <c r="E911" t="str">
        <f>IF(may[[#This Row],[ShiftCounter]]&gt;0, "Running", "Down")</f>
        <v>Running</v>
      </c>
    </row>
    <row r="912" spans="1:5" x14ac:dyDescent="0.25">
      <c r="A912" s="2">
        <v>44683</v>
      </c>
      <c r="B912" s="4" t="s">
        <v>17</v>
      </c>
      <c r="C912">
        <v>2209</v>
      </c>
      <c r="D912" t="s">
        <v>8</v>
      </c>
      <c r="E912" t="str">
        <f>IF(may[[#This Row],[ShiftCounter]]&gt;0, "Running", "Down")</f>
        <v>Running</v>
      </c>
    </row>
    <row r="913" spans="1:5" x14ac:dyDescent="0.25">
      <c r="A913" s="2">
        <v>44683</v>
      </c>
      <c r="B913" s="4" t="s">
        <v>16</v>
      </c>
      <c r="C913">
        <v>2321</v>
      </c>
      <c r="D913" t="s">
        <v>6</v>
      </c>
      <c r="E913" t="str">
        <f>IF(may[[#This Row],[ShiftCounter]]&gt;0, "Running", "Down")</f>
        <v>Running</v>
      </c>
    </row>
    <row r="914" spans="1:5" x14ac:dyDescent="0.25">
      <c r="A914" s="2">
        <v>44683</v>
      </c>
      <c r="B914" s="4" t="s">
        <v>16</v>
      </c>
      <c r="C914">
        <v>2390</v>
      </c>
      <c r="D914" t="s">
        <v>7</v>
      </c>
      <c r="E914" t="str">
        <f>IF(may[[#This Row],[ShiftCounter]]&gt;0, "Running", "Down")</f>
        <v>Running</v>
      </c>
    </row>
    <row r="915" spans="1:5" x14ac:dyDescent="0.25">
      <c r="A915" s="2">
        <v>44683</v>
      </c>
      <c r="B915" s="4" t="s">
        <v>16</v>
      </c>
      <c r="C915">
        <v>2164</v>
      </c>
      <c r="D915" t="s">
        <v>8</v>
      </c>
      <c r="E915" t="str">
        <f>IF(may[[#This Row],[ShiftCounter]]&gt;0, "Running", "Down")</f>
        <v>Running</v>
      </c>
    </row>
    <row r="916" spans="1:5" x14ac:dyDescent="0.25">
      <c r="A916" s="2">
        <v>44683</v>
      </c>
      <c r="B916" s="4" t="s">
        <v>15</v>
      </c>
      <c r="C916">
        <v>2071</v>
      </c>
      <c r="D916" t="s">
        <v>6</v>
      </c>
      <c r="E916" t="str">
        <f>IF(may[[#This Row],[ShiftCounter]]&gt;0, "Running", "Down")</f>
        <v>Running</v>
      </c>
    </row>
    <row r="917" spans="1:5" x14ac:dyDescent="0.25">
      <c r="A917" s="2">
        <v>44683</v>
      </c>
      <c r="B917" s="4" t="s">
        <v>15</v>
      </c>
      <c r="C917">
        <v>2130</v>
      </c>
      <c r="D917" t="s">
        <v>7</v>
      </c>
      <c r="E917" t="str">
        <f>IF(may[[#This Row],[ShiftCounter]]&gt;0, "Running", "Down")</f>
        <v>Running</v>
      </c>
    </row>
    <row r="918" spans="1:5" x14ac:dyDescent="0.25">
      <c r="A918" s="2">
        <v>44683</v>
      </c>
      <c r="B918" s="4" t="s">
        <v>15</v>
      </c>
      <c r="C918">
        <v>1888</v>
      </c>
      <c r="D918" t="s">
        <v>8</v>
      </c>
      <c r="E918" t="str">
        <f>IF(may[[#This Row],[ShiftCounter]]&gt;0, "Running", "Down")</f>
        <v>Running</v>
      </c>
    </row>
    <row r="919" spans="1:5" x14ac:dyDescent="0.25">
      <c r="A919" s="2">
        <v>44683</v>
      </c>
      <c r="B919" s="4" t="s">
        <v>14</v>
      </c>
      <c r="C919">
        <v>2080</v>
      </c>
      <c r="D919" t="s">
        <v>6</v>
      </c>
      <c r="E919" t="str">
        <f>IF(may[[#This Row],[ShiftCounter]]&gt;0, "Running", "Down")</f>
        <v>Running</v>
      </c>
    </row>
    <row r="920" spans="1:5" x14ac:dyDescent="0.25">
      <c r="A920" s="2">
        <v>44683</v>
      </c>
      <c r="B920" s="4" t="s">
        <v>14</v>
      </c>
      <c r="C920">
        <v>2161</v>
      </c>
      <c r="D920" t="s">
        <v>7</v>
      </c>
      <c r="E920" t="str">
        <f>IF(may[[#This Row],[ShiftCounter]]&gt;0, "Running", "Down")</f>
        <v>Running</v>
      </c>
    </row>
    <row r="921" spans="1:5" x14ac:dyDescent="0.25">
      <c r="A921" s="2">
        <v>44683</v>
      </c>
      <c r="B921" s="4" t="s">
        <v>14</v>
      </c>
      <c r="C921">
        <v>1958</v>
      </c>
      <c r="D921" t="s">
        <v>8</v>
      </c>
      <c r="E921" t="str">
        <f>IF(may[[#This Row],[ShiftCounter]]&gt;0, "Running", "Down")</f>
        <v>Running</v>
      </c>
    </row>
    <row r="922" spans="1:5" x14ac:dyDescent="0.25">
      <c r="A922" s="2">
        <v>44682</v>
      </c>
      <c r="B922" s="4" t="s">
        <v>20</v>
      </c>
      <c r="C922">
        <v>2267</v>
      </c>
      <c r="D922" t="s">
        <v>6</v>
      </c>
      <c r="E922" t="str">
        <f>IF(may[[#This Row],[ShiftCounter]]&gt;0, "Running", "Down")</f>
        <v>Running</v>
      </c>
    </row>
    <row r="923" spans="1:5" x14ac:dyDescent="0.25">
      <c r="A923" s="2">
        <v>44682</v>
      </c>
      <c r="B923" s="4" t="s">
        <v>20</v>
      </c>
      <c r="C923">
        <v>2312</v>
      </c>
      <c r="D923" t="s">
        <v>7</v>
      </c>
      <c r="E923" t="str">
        <f>IF(may[[#This Row],[ShiftCounter]]&gt;0, "Running", "Down")</f>
        <v>Running</v>
      </c>
    </row>
    <row r="924" spans="1:5" x14ac:dyDescent="0.25">
      <c r="A924" s="2">
        <v>44682</v>
      </c>
      <c r="B924" s="4" t="s">
        <v>20</v>
      </c>
      <c r="C924">
        <v>1865</v>
      </c>
      <c r="D924" t="s">
        <v>8</v>
      </c>
      <c r="E924" t="str">
        <f>IF(may[[#This Row],[ShiftCounter]]&gt;0, "Running", "Down")</f>
        <v>Running</v>
      </c>
    </row>
    <row r="925" spans="1:5" x14ac:dyDescent="0.25">
      <c r="A925" s="2">
        <v>44682</v>
      </c>
      <c r="B925" s="4" t="s">
        <v>21</v>
      </c>
      <c r="C925">
        <v>2210</v>
      </c>
      <c r="D925" t="s">
        <v>6</v>
      </c>
      <c r="E925" t="str">
        <f>IF(may[[#This Row],[ShiftCounter]]&gt;0, "Running", "Down")</f>
        <v>Running</v>
      </c>
    </row>
    <row r="926" spans="1:5" x14ac:dyDescent="0.25">
      <c r="A926" s="2">
        <v>44682</v>
      </c>
      <c r="B926" s="4" t="s">
        <v>21</v>
      </c>
      <c r="C926">
        <v>2063</v>
      </c>
      <c r="D926" t="s">
        <v>7</v>
      </c>
      <c r="E926" t="str">
        <f>IF(may[[#This Row],[ShiftCounter]]&gt;0, "Running", "Down")</f>
        <v>Running</v>
      </c>
    </row>
    <row r="927" spans="1:5" x14ac:dyDescent="0.25">
      <c r="A927" s="2">
        <v>44682</v>
      </c>
      <c r="B927" s="4" t="s">
        <v>21</v>
      </c>
      <c r="C927">
        <v>1756</v>
      </c>
      <c r="D927" t="s">
        <v>8</v>
      </c>
      <c r="E927" t="str">
        <f>IF(may[[#This Row],[ShiftCounter]]&gt;0, "Running", "Down")</f>
        <v>Running</v>
      </c>
    </row>
    <row r="928" spans="1:5" x14ac:dyDescent="0.25">
      <c r="A928" s="2">
        <v>44682</v>
      </c>
      <c r="B928" s="4" t="s">
        <v>22</v>
      </c>
      <c r="C928">
        <v>2273</v>
      </c>
      <c r="D928" t="s">
        <v>6</v>
      </c>
      <c r="E928" t="str">
        <f>IF(may[[#This Row],[ShiftCounter]]&gt;0, "Running", "Down")</f>
        <v>Running</v>
      </c>
    </row>
    <row r="929" spans="1:5" x14ac:dyDescent="0.25">
      <c r="A929" s="2">
        <v>44682</v>
      </c>
      <c r="B929" s="4" t="s">
        <v>22</v>
      </c>
      <c r="C929">
        <v>2059</v>
      </c>
      <c r="D929" t="s">
        <v>7</v>
      </c>
      <c r="E929" t="str">
        <f>IF(may[[#This Row],[ShiftCounter]]&gt;0, "Running", "Down")</f>
        <v>Running</v>
      </c>
    </row>
    <row r="930" spans="1:5" x14ac:dyDescent="0.25">
      <c r="A930" s="2">
        <v>44682</v>
      </c>
      <c r="B930" s="4" t="s">
        <v>22</v>
      </c>
      <c r="C930">
        <v>1917</v>
      </c>
      <c r="D930" t="s">
        <v>8</v>
      </c>
      <c r="E930" t="str">
        <f>IF(may[[#This Row],[ShiftCounter]]&gt;0, "Running", "Down")</f>
        <v>Running</v>
      </c>
    </row>
    <row r="931" spans="1:5" x14ac:dyDescent="0.25">
      <c r="A931" s="2">
        <v>44682</v>
      </c>
      <c r="B931" s="4" t="s">
        <v>23</v>
      </c>
      <c r="C931">
        <v>2408</v>
      </c>
      <c r="D931" t="s">
        <v>6</v>
      </c>
      <c r="E931" t="str">
        <f>IF(may[[#This Row],[ShiftCounter]]&gt;0, "Running", "Down")</f>
        <v>Running</v>
      </c>
    </row>
    <row r="932" spans="1:5" x14ac:dyDescent="0.25">
      <c r="A932" s="2">
        <v>44682</v>
      </c>
      <c r="B932" s="4" t="s">
        <v>23</v>
      </c>
      <c r="C932">
        <v>2390</v>
      </c>
      <c r="D932" t="s">
        <v>7</v>
      </c>
      <c r="E932" t="str">
        <f>IF(may[[#This Row],[ShiftCounter]]&gt;0, "Running", "Down")</f>
        <v>Running</v>
      </c>
    </row>
    <row r="933" spans="1:5" x14ac:dyDescent="0.25">
      <c r="A933" s="2">
        <v>44682</v>
      </c>
      <c r="B933" s="4" t="s">
        <v>23</v>
      </c>
      <c r="C933">
        <v>2052</v>
      </c>
      <c r="D933" t="s">
        <v>8</v>
      </c>
      <c r="E933" t="str">
        <f>IF(may[[#This Row],[ShiftCounter]]&gt;0, "Running", "Down")</f>
        <v>Running</v>
      </c>
    </row>
    <row r="934" spans="1:5" x14ac:dyDescent="0.25">
      <c r="A934" s="2">
        <v>44682</v>
      </c>
      <c r="B934" s="4" t="s">
        <v>25</v>
      </c>
      <c r="C934">
        <v>2322</v>
      </c>
      <c r="D934" t="s">
        <v>6</v>
      </c>
      <c r="E934" t="str">
        <f>IF(may[[#This Row],[ShiftCounter]]&gt;0, "Running", "Down")</f>
        <v>Running</v>
      </c>
    </row>
    <row r="935" spans="1:5" x14ac:dyDescent="0.25">
      <c r="A935" s="2">
        <v>44682</v>
      </c>
      <c r="B935" s="4" t="s">
        <v>25</v>
      </c>
      <c r="C935">
        <v>2181</v>
      </c>
      <c r="D935" t="s">
        <v>7</v>
      </c>
      <c r="E935" t="str">
        <f>IF(may[[#This Row],[ShiftCounter]]&gt;0, "Running", "Down")</f>
        <v>Running</v>
      </c>
    </row>
    <row r="936" spans="1:5" x14ac:dyDescent="0.25">
      <c r="A936" s="2">
        <v>44682</v>
      </c>
      <c r="B936" s="4" t="s">
        <v>25</v>
      </c>
      <c r="C936">
        <v>1994</v>
      </c>
      <c r="D936" t="s">
        <v>8</v>
      </c>
      <c r="E936" t="str">
        <f>IF(may[[#This Row],[ShiftCounter]]&gt;0, "Running", "Down")</f>
        <v>Running</v>
      </c>
    </row>
    <row r="937" spans="1:5" x14ac:dyDescent="0.25">
      <c r="A937" s="2">
        <v>44682</v>
      </c>
      <c r="B937" s="4" t="s">
        <v>24</v>
      </c>
      <c r="C937">
        <v>2142</v>
      </c>
      <c r="D937" t="s">
        <v>6</v>
      </c>
      <c r="E937" t="str">
        <f>IF(may[[#This Row],[ShiftCounter]]&gt;0, "Running", "Down")</f>
        <v>Running</v>
      </c>
    </row>
    <row r="938" spans="1:5" x14ac:dyDescent="0.25">
      <c r="A938" s="2">
        <v>44682</v>
      </c>
      <c r="B938" s="4" t="s">
        <v>24</v>
      </c>
      <c r="C938">
        <v>2077</v>
      </c>
      <c r="D938" t="s">
        <v>7</v>
      </c>
      <c r="E938" t="str">
        <f>IF(may[[#This Row],[ShiftCounter]]&gt;0, "Running", "Down")</f>
        <v>Running</v>
      </c>
    </row>
    <row r="939" spans="1:5" x14ac:dyDescent="0.25">
      <c r="A939" s="2">
        <v>44682</v>
      </c>
      <c r="B939" s="4" t="s">
        <v>24</v>
      </c>
      <c r="C939">
        <v>1839</v>
      </c>
      <c r="D939" t="s">
        <v>8</v>
      </c>
      <c r="E939" t="str">
        <f>IF(may[[#This Row],[ShiftCounter]]&gt;0, "Running", "Down")</f>
        <v>Running</v>
      </c>
    </row>
    <row r="940" spans="1:5" x14ac:dyDescent="0.25">
      <c r="A940" s="2">
        <v>44682</v>
      </c>
      <c r="B940" s="4" t="s">
        <v>26</v>
      </c>
      <c r="C940">
        <v>2220</v>
      </c>
      <c r="D940" t="s">
        <v>6</v>
      </c>
      <c r="E940" t="str">
        <f>IF(may[[#This Row],[ShiftCounter]]&gt;0, "Running", "Down")</f>
        <v>Running</v>
      </c>
    </row>
    <row r="941" spans="1:5" x14ac:dyDescent="0.25">
      <c r="A941" s="2">
        <v>44682</v>
      </c>
      <c r="B941" s="4" t="s">
        <v>26</v>
      </c>
      <c r="C941">
        <v>2064</v>
      </c>
      <c r="D941" t="s">
        <v>7</v>
      </c>
      <c r="E941" t="str">
        <f>IF(may[[#This Row],[ShiftCounter]]&gt;0, "Running", "Down")</f>
        <v>Running</v>
      </c>
    </row>
    <row r="942" spans="1:5" x14ac:dyDescent="0.25">
      <c r="A942" s="2">
        <v>44682</v>
      </c>
      <c r="B942" s="4" t="s">
        <v>26</v>
      </c>
      <c r="C942">
        <v>1887</v>
      </c>
      <c r="D942" t="s">
        <v>8</v>
      </c>
      <c r="E942" t="str">
        <f>IF(may[[#This Row],[ShiftCounter]]&gt;0, "Running", "Down")</f>
        <v>Running</v>
      </c>
    </row>
    <row r="943" spans="1:5" x14ac:dyDescent="0.25">
      <c r="A943" s="2">
        <v>44682</v>
      </c>
      <c r="B943" s="4" t="s">
        <v>27</v>
      </c>
      <c r="C943">
        <v>2210</v>
      </c>
      <c r="D943" t="s">
        <v>6</v>
      </c>
      <c r="E943" t="str">
        <f>IF(may[[#This Row],[ShiftCounter]]&gt;0, "Running", "Down")</f>
        <v>Running</v>
      </c>
    </row>
    <row r="944" spans="1:5" x14ac:dyDescent="0.25">
      <c r="A944" s="2">
        <v>44682</v>
      </c>
      <c r="B944" s="4" t="s">
        <v>27</v>
      </c>
      <c r="C944">
        <v>1406</v>
      </c>
      <c r="D944" t="s">
        <v>7</v>
      </c>
      <c r="E944" t="str">
        <f>IF(may[[#This Row],[ShiftCounter]]&gt;0, "Running", "Down")</f>
        <v>Running</v>
      </c>
    </row>
    <row r="945" spans="1:5" x14ac:dyDescent="0.25">
      <c r="A945" s="2">
        <v>44682</v>
      </c>
      <c r="B945" s="4" t="s">
        <v>27</v>
      </c>
      <c r="C945">
        <v>1874</v>
      </c>
      <c r="D945" t="s">
        <v>8</v>
      </c>
      <c r="E945" t="str">
        <f>IF(may[[#This Row],[ShiftCounter]]&gt;0, "Running", "Down")</f>
        <v>Running</v>
      </c>
    </row>
    <row r="946" spans="1:5" x14ac:dyDescent="0.25">
      <c r="A946" s="2">
        <v>44682</v>
      </c>
      <c r="B946" s="4" t="s">
        <v>28</v>
      </c>
      <c r="C946">
        <v>2261</v>
      </c>
      <c r="D946" t="s">
        <v>6</v>
      </c>
      <c r="E946" t="str">
        <f>IF(may[[#This Row],[ShiftCounter]]&gt;0, "Running", "Down")</f>
        <v>Running</v>
      </c>
    </row>
    <row r="947" spans="1:5" x14ac:dyDescent="0.25">
      <c r="A947" s="2">
        <v>44682</v>
      </c>
      <c r="B947" s="4" t="s">
        <v>28</v>
      </c>
      <c r="C947">
        <v>2129</v>
      </c>
      <c r="D947" t="s">
        <v>7</v>
      </c>
      <c r="E947" t="str">
        <f>IF(may[[#This Row],[ShiftCounter]]&gt;0, "Running", "Down")</f>
        <v>Running</v>
      </c>
    </row>
    <row r="948" spans="1:5" x14ac:dyDescent="0.25">
      <c r="A948" s="2">
        <v>44682</v>
      </c>
      <c r="B948" s="4" t="s">
        <v>28</v>
      </c>
      <c r="C948">
        <v>2005</v>
      </c>
      <c r="D948" t="s">
        <v>8</v>
      </c>
      <c r="E948" t="str">
        <f>IF(may[[#This Row],[ShiftCounter]]&gt;0, "Running", "Down")</f>
        <v>Running</v>
      </c>
    </row>
    <row r="949" spans="1:5" x14ac:dyDescent="0.25">
      <c r="A949" s="2">
        <v>44682</v>
      </c>
      <c r="B949" s="4" t="s">
        <v>29</v>
      </c>
      <c r="C949">
        <v>2027</v>
      </c>
      <c r="D949" t="s">
        <v>6</v>
      </c>
      <c r="E949" t="str">
        <f>IF(may[[#This Row],[ShiftCounter]]&gt;0, "Running", "Down")</f>
        <v>Running</v>
      </c>
    </row>
    <row r="950" spans="1:5" x14ac:dyDescent="0.25">
      <c r="A950" s="2">
        <v>44682</v>
      </c>
      <c r="B950" s="4" t="s">
        <v>29</v>
      </c>
      <c r="C950">
        <v>1702</v>
      </c>
      <c r="D950" t="s">
        <v>7</v>
      </c>
      <c r="E950" t="str">
        <f>IF(may[[#This Row],[ShiftCounter]]&gt;0, "Running", "Down")</f>
        <v>Running</v>
      </c>
    </row>
    <row r="951" spans="1:5" x14ac:dyDescent="0.25">
      <c r="A951" s="2">
        <v>44682</v>
      </c>
      <c r="B951" s="4" t="s">
        <v>29</v>
      </c>
      <c r="C951">
        <v>1750</v>
      </c>
      <c r="D951" t="s">
        <v>8</v>
      </c>
      <c r="E951" t="str">
        <f>IF(may[[#This Row],[ShiftCounter]]&gt;0, "Running", "Down")</f>
        <v>Running</v>
      </c>
    </row>
    <row r="952" spans="1:5" x14ac:dyDescent="0.25">
      <c r="A952" s="2">
        <v>44682</v>
      </c>
      <c r="B952" s="4" t="s">
        <v>30</v>
      </c>
      <c r="C952">
        <v>1973</v>
      </c>
      <c r="D952" t="s">
        <v>6</v>
      </c>
      <c r="E952" t="str">
        <f>IF(may[[#This Row],[ShiftCounter]]&gt;0, "Running", "Down")</f>
        <v>Running</v>
      </c>
    </row>
    <row r="953" spans="1:5" x14ac:dyDescent="0.25">
      <c r="A953" s="2">
        <v>44682</v>
      </c>
      <c r="B953" s="4" t="s">
        <v>30</v>
      </c>
      <c r="C953">
        <v>2146</v>
      </c>
      <c r="D953" t="s">
        <v>7</v>
      </c>
      <c r="E953" t="str">
        <f>IF(may[[#This Row],[ShiftCounter]]&gt;0, "Running", "Down")</f>
        <v>Running</v>
      </c>
    </row>
    <row r="954" spans="1:5" x14ac:dyDescent="0.25">
      <c r="A954" s="2">
        <v>44682</v>
      </c>
      <c r="B954" s="4" t="s">
        <v>30</v>
      </c>
      <c r="C954">
        <v>1931</v>
      </c>
      <c r="D954" t="s">
        <v>8</v>
      </c>
      <c r="E954" t="str">
        <f>IF(may[[#This Row],[ShiftCounter]]&gt;0, "Running", "Down")</f>
        <v>Running</v>
      </c>
    </row>
    <row r="955" spans="1:5" x14ac:dyDescent="0.25">
      <c r="A955" s="2">
        <v>44682</v>
      </c>
      <c r="B955" s="4" t="s">
        <v>31</v>
      </c>
      <c r="C955">
        <v>2316</v>
      </c>
      <c r="D955" t="s">
        <v>6</v>
      </c>
      <c r="E955" t="str">
        <f>IF(may[[#This Row],[ShiftCounter]]&gt;0, "Running", "Down")</f>
        <v>Running</v>
      </c>
    </row>
    <row r="956" spans="1:5" x14ac:dyDescent="0.25">
      <c r="A956" s="2">
        <v>44682</v>
      </c>
      <c r="B956" s="4" t="s">
        <v>31</v>
      </c>
      <c r="C956">
        <v>1982</v>
      </c>
      <c r="D956" t="s">
        <v>7</v>
      </c>
      <c r="E956" t="str">
        <f>IF(may[[#This Row],[ShiftCounter]]&gt;0, "Running", "Down")</f>
        <v>Running</v>
      </c>
    </row>
    <row r="957" spans="1:5" x14ac:dyDescent="0.25">
      <c r="A957" s="2">
        <v>44682</v>
      </c>
      <c r="B957" s="4" t="s">
        <v>31</v>
      </c>
      <c r="C957">
        <v>2029</v>
      </c>
      <c r="D957" t="s">
        <v>8</v>
      </c>
      <c r="E957" t="str">
        <f>IF(may[[#This Row],[ShiftCounter]]&gt;0, "Running", "Down")</f>
        <v>Running</v>
      </c>
    </row>
    <row r="958" spans="1:5" x14ac:dyDescent="0.25">
      <c r="A958" s="2">
        <v>44682</v>
      </c>
      <c r="B958" s="4" t="s">
        <v>32</v>
      </c>
      <c r="C958">
        <v>2539</v>
      </c>
      <c r="D958" t="s">
        <v>6</v>
      </c>
      <c r="E958" t="str">
        <f>IF(may[[#This Row],[ShiftCounter]]&gt;0, "Running", "Down")</f>
        <v>Running</v>
      </c>
    </row>
    <row r="959" spans="1:5" x14ac:dyDescent="0.25">
      <c r="A959" s="2">
        <v>44682</v>
      </c>
      <c r="B959" s="4" t="s">
        <v>32</v>
      </c>
      <c r="C959">
        <v>2253</v>
      </c>
      <c r="D959" t="s">
        <v>7</v>
      </c>
      <c r="E959" t="str">
        <f>IF(may[[#This Row],[ShiftCounter]]&gt;0, "Running", "Down")</f>
        <v>Running</v>
      </c>
    </row>
    <row r="960" spans="1:5" x14ac:dyDescent="0.25">
      <c r="A960" s="2">
        <v>44682</v>
      </c>
      <c r="B960" s="4" t="s">
        <v>32</v>
      </c>
      <c r="C960">
        <v>2123</v>
      </c>
      <c r="D960" t="s">
        <v>8</v>
      </c>
      <c r="E960" t="str">
        <f>IF(may[[#This Row],[ShiftCounter]]&gt;0, "Running", "Down")</f>
        <v>Running</v>
      </c>
    </row>
    <row r="961" spans="1:5" x14ac:dyDescent="0.25">
      <c r="A961" s="2">
        <v>44682</v>
      </c>
      <c r="B961" s="4" t="s">
        <v>33</v>
      </c>
      <c r="C961">
        <v>2264</v>
      </c>
      <c r="D961" t="s">
        <v>6</v>
      </c>
      <c r="E961" t="str">
        <f>IF(may[[#This Row],[ShiftCounter]]&gt;0, "Running", "Down")</f>
        <v>Running</v>
      </c>
    </row>
    <row r="962" spans="1:5" x14ac:dyDescent="0.25">
      <c r="A962" s="2">
        <v>44682</v>
      </c>
      <c r="B962" s="4" t="s">
        <v>33</v>
      </c>
      <c r="C962">
        <v>2266</v>
      </c>
      <c r="D962" t="s">
        <v>7</v>
      </c>
      <c r="E962" t="str">
        <f>IF(may[[#This Row],[ShiftCounter]]&gt;0, "Running", "Down")</f>
        <v>Running</v>
      </c>
    </row>
    <row r="963" spans="1:5" x14ac:dyDescent="0.25">
      <c r="A963" s="2">
        <v>44682</v>
      </c>
      <c r="B963" s="4" t="s">
        <v>33</v>
      </c>
      <c r="C963">
        <v>2262</v>
      </c>
      <c r="D963" t="s">
        <v>8</v>
      </c>
      <c r="E963" t="str">
        <f>IF(may[[#This Row],[ShiftCounter]]&gt;0, "Running", "Down")</f>
        <v>Running</v>
      </c>
    </row>
    <row r="964" spans="1:5" x14ac:dyDescent="0.25">
      <c r="A964" s="2">
        <v>44682</v>
      </c>
      <c r="B964" s="4" t="s">
        <v>34</v>
      </c>
      <c r="C964">
        <v>2042</v>
      </c>
      <c r="D964" t="s">
        <v>6</v>
      </c>
      <c r="E964" t="str">
        <f>IF(may[[#This Row],[ShiftCounter]]&gt;0, "Running", "Down")</f>
        <v>Running</v>
      </c>
    </row>
    <row r="965" spans="1:5" x14ac:dyDescent="0.25">
      <c r="A965" s="2">
        <v>44682</v>
      </c>
      <c r="B965" s="4" t="s">
        <v>34</v>
      </c>
      <c r="C965">
        <v>1855</v>
      </c>
      <c r="D965" t="s">
        <v>7</v>
      </c>
      <c r="E965" t="str">
        <f>IF(may[[#This Row],[ShiftCounter]]&gt;0, "Running", "Down")</f>
        <v>Running</v>
      </c>
    </row>
    <row r="966" spans="1:5" x14ac:dyDescent="0.25">
      <c r="A966" s="2">
        <v>44682</v>
      </c>
      <c r="B966" s="4" t="s">
        <v>34</v>
      </c>
      <c r="C966">
        <v>1888</v>
      </c>
      <c r="D966" t="s">
        <v>8</v>
      </c>
      <c r="E966" t="str">
        <f>IF(may[[#This Row],[ShiftCounter]]&gt;0, "Running", "Down")</f>
        <v>Running</v>
      </c>
    </row>
    <row r="967" spans="1:5" x14ac:dyDescent="0.25">
      <c r="A967" s="2">
        <v>44682</v>
      </c>
      <c r="B967" s="4" t="s">
        <v>35</v>
      </c>
      <c r="C967">
        <v>2301</v>
      </c>
      <c r="D967" t="s">
        <v>6</v>
      </c>
      <c r="E967" t="str">
        <f>IF(may[[#This Row],[ShiftCounter]]&gt;0, "Running", "Down")</f>
        <v>Running</v>
      </c>
    </row>
    <row r="968" spans="1:5" x14ac:dyDescent="0.25">
      <c r="A968" s="2">
        <v>44682</v>
      </c>
      <c r="B968" s="4" t="s">
        <v>35</v>
      </c>
      <c r="C968">
        <v>2184</v>
      </c>
      <c r="D968" t="s">
        <v>7</v>
      </c>
      <c r="E968" t="str">
        <f>IF(may[[#This Row],[ShiftCounter]]&gt;0, "Running", "Down")</f>
        <v>Running</v>
      </c>
    </row>
    <row r="969" spans="1:5" x14ac:dyDescent="0.25">
      <c r="A969" s="2">
        <v>44682</v>
      </c>
      <c r="B969" s="4" t="s">
        <v>35</v>
      </c>
      <c r="C969">
        <v>1975</v>
      </c>
      <c r="D969" t="s">
        <v>8</v>
      </c>
      <c r="E969" t="str">
        <f>IF(may[[#This Row],[ShiftCounter]]&gt;0, "Running", "Down")</f>
        <v>Running</v>
      </c>
    </row>
    <row r="970" spans="1:5" x14ac:dyDescent="0.25">
      <c r="A970" s="2">
        <v>44682</v>
      </c>
      <c r="B970" s="4" t="s">
        <v>36</v>
      </c>
      <c r="C970">
        <v>2392</v>
      </c>
      <c r="D970" t="s">
        <v>6</v>
      </c>
      <c r="E970" t="str">
        <f>IF(may[[#This Row],[ShiftCounter]]&gt;0, "Running", "Down")</f>
        <v>Running</v>
      </c>
    </row>
    <row r="971" spans="1:5" x14ac:dyDescent="0.25">
      <c r="A971" s="2">
        <v>44682</v>
      </c>
      <c r="B971" s="4" t="s">
        <v>36</v>
      </c>
      <c r="C971">
        <v>2426</v>
      </c>
      <c r="D971" t="s">
        <v>7</v>
      </c>
      <c r="E971" t="str">
        <f>IF(may[[#This Row],[ShiftCounter]]&gt;0, "Running", "Down")</f>
        <v>Running</v>
      </c>
    </row>
    <row r="972" spans="1:5" x14ac:dyDescent="0.25">
      <c r="A972" s="2">
        <v>44682</v>
      </c>
      <c r="B972" s="4" t="s">
        <v>36</v>
      </c>
      <c r="C972">
        <v>2183</v>
      </c>
      <c r="D972" t="s">
        <v>8</v>
      </c>
      <c r="E972" t="str">
        <f>IF(may[[#This Row],[ShiftCounter]]&gt;0, "Running", "Down")</f>
        <v>Running</v>
      </c>
    </row>
    <row r="973" spans="1:5" x14ac:dyDescent="0.25">
      <c r="A973" s="2">
        <v>44682</v>
      </c>
      <c r="B973" s="4" t="s">
        <v>37</v>
      </c>
      <c r="C973">
        <v>2471</v>
      </c>
      <c r="D973" t="s">
        <v>6</v>
      </c>
      <c r="E973" t="str">
        <f>IF(may[[#This Row],[ShiftCounter]]&gt;0, "Running", "Down")</f>
        <v>Running</v>
      </c>
    </row>
    <row r="974" spans="1:5" x14ac:dyDescent="0.25">
      <c r="A974" s="2">
        <v>44682</v>
      </c>
      <c r="B974" s="4" t="s">
        <v>37</v>
      </c>
      <c r="C974">
        <v>2032</v>
      </c>
      <c r="D974" t="s">
        <v>7</v>
      </c>
      <c r="E974" t="str">
        <f>IF(may[[#This Row],[ShiftCounter]]&gt;0, "Running", "Down")</f>
        <v>Running</v>
      </c>
    </row>
    <row r="975" spans="1:5" x14ac:dyDescent="0.25">
      <c r="A975" s="2">
        <v>44682</v>
      </c>
      <c r="B975" s="4" t="s">
        <v>37</v>
      </c>
      <c r="C975">
        <v>2180</v>
      </c>
      <c r="D975" t="s">
        <v>8</v>
      </c>
      <c r="E975" t="str">
        <f>IF(may[[#This Row],[ShiftCounter]]&gt;0, "Running", "Down")</f>
        <v>Running</v>
      </c>
    </row>
    <row r="976" spans="1:5" x14ac:dyDescent="0.25">
      <c r="A976" s="2">
        <v>44682</v>
      </c>
      <c r="B976" s="4" t="s">
        <v>40</v>
      </c>
      <c r="C976">
        <v>2445</v>
      </c>
      <c r="D976" t="s">
        <v>6</v>
      </c>
      <c r="E976" t="str">
        <f>IF(may[[#This Row],[ShiftCounter]]&gt;0, "Running", "Down")</f>
        <v>Running</v>
      </c>
    </row>
    <row r="977" spans="1:5" x14ac:dyDescent="0.25">
      <c r="A977" s="2">
        <v>44682</v>
      </c>
      <c r="B977" s="4" t="s">
        <v>40</v>
      </c>
      <c r="C977">
        <v>2255</v>
      </c>
      <c r="D977" t="s">
        <v>7</v>
      </c>
      <c r="E977" t="str">
        <f>IF(may[[#This Row],[ShiftCounter]]&gt;0, "Running", "Down")</f>
        <v>Running</v>
      </c>
    </row>
    <row r="978" spans="1:5" x14ac:dyDescent="0.25">
      <c r="A978" s="2">
        <v>44682</v>
      </c>
      <c r="B978" s="4" t="s">
        <v>40</v>
      </c>
      <c r="C978">
        <v>1977</v>
      </c>
      <c r="D978" t="s">
        <v>8</v>
      </c>
      <c r="E978" t="str">
        <f>IF(may[[#This Row],[ShiftCounter]]&gt;0, "Running", "Down")</f>
        <v>Running</v>
      </c>
    </row>
    <row r="979" spans="1:5" x14ac:dyDescent="0.25">
      <c r="A979" s="2">
        <v>44682</v>
      </c>
      <c r="B979" s="4" t="s">
        <v>39</v>
      </c>
      <c r="C979">
        <v>2209</v>
      </c>
      <c r="D979" t="s">
        <v>6</v>
      </c>
      <c r="E979" t="str">
        <f>IF(may[[#This Row],[ShiftCounter]]&gt;0, "Running", "Down")</f>
        <v>Running</v>
      </c>
    </row>
    <row r="980" spans="1:5" x14ac:dyDescent="0.25">
      <c r="A980" s="2">
        <v>44682</v>
      </c>
      <c r="B980" s="4" t="s">
        <v>39</v>
      </c>
      <c r="C980">
        <v>2065</v>
      </c>
      <c r="D980" t="s">
        <v>7</v>
      </c>
      <c r="E980" t="str">
        <f>IF(may[[#This Row],[ShiftCounter]]&gt;0, "Running", "Down")</f>
        <v>Running</v>
      </c>
    </row>
    <row r="981" spans="1:5" x14ac:dyDescent="0.25">
      <c r="A981" s="2">
        <v>44682</v>
      </c>
      <c r="B981" s="4" t="s">
        <v>39</v>
      </c>
      <c r="C981">
        <v>1786</v>
      </c>
      <c r="D981" t="s">
        <v>8</v>
      </c>
      <c r="E981" t="str">
        <f>IF(may[[#This Row],[ShiftCounter]]&gt;0, "Running", "Down")</f>
        <v>Running</v>
      </c>
    </row>
    <row r="982" spans="1:5" x14ac:dyDescent="0.25">
      <c r="A982" s="2">
        <v>44682</v>
      </c>
      <c r="B982" s="4" t="s">
        <v>41</v>
      </c>
      <c r="C982">
        <v>2002</v>
      </c>
      <c r="D982" t="s">
        <v>6</v>
      </c>
      <c r="E982" t="str">
        <f>IF(may[[#This Row],[ShiftCounter]]&gt;0, "Running", "Down")</f>
        <v>Running</v>
      </c>
    </row>
    <row r="983" spans="1:5" x14ac:dyDescent="0.25">
      <c r="A983" s="2">
        <v>44682</v>
      </c>
      <c r="B983" s="4" t="s">
        <v>41</v>
      </c>
      <c r="C983">
        <v>2335</v>
      </c>
      <c r="D983" t="s">
        <v>7</v>
      </c>
      <c r="E983" t="str">
        <f>IF(may[[#This Row],[ShiftCounter]]&gt;0, "Running", "Down")</f>
        <v>Running</v>
      </c>
    </row>
    <row r="984" spans="1:5" x14ac:dyDescent="0.25">
      <c r="A984" s="2">
        <v>44682</v>
      </c>
      <c r="B984" s="4" t="s">
        <v>41</v>
      </c>
      <c r="C984">
        <v>2079</v>
      </c>
      <c r="D984" t="s">
        <v>8</v>
      </c>
      <c r="E984" t="str">
        <f>IF(may[[#This Row],[ShiftCounter]]&gt;0, "Running", "Down")</f>
        <v>Running</v>
      </c>
    </row>
    <row r="985" spans="1:5" x14ac:dyDescent="0.25">
      <c r="A985" s="2">
        <v>44682</v>
      </c>
      <c r="B985" s="4" t="s">
        <v>43</v>
      </c>
      <c r="C985">
        <v>2312</v>
      </c>
      <c r="D985" t="s">
        <v>6</v>
      </c>
      <c r="E985" t="str">
        <f>IF(may[[#This Row],[ShiftCounter]]&gt;0, "Running", "Down")</f>
        <v>Running</v>
      </c>
    </row>
    <row r="986" spans="1:5" x14ac:dyDescent="0.25">
      <c r="A986" s="2">
        <v>44682</v>
      </c>
      <c r="B986" s="4" t="s">
        <v>43</v>
      </c>
      <c r="C986">
        <v>2165</v>
      </c>
      <c r="D986" t="s">
        <v>7</v>
      </c>
      <c r="E986" t="str">
        <f>IF(may[[#This Row],[ShiftCounter]]&gt;0, "Running", "Down")</f>
        <v>Running</v>
      </c>
    </row>
    <row r="987" spans="1:5" x14ac:dyDescent="0.25">
      <c r="A987" s="2">
        <v>44682</v>
      </c>
      <c r="B987" s="4" t="s">
        <v>43</v>
      </c>
      <c r="C987">
        <v>1868</v>
      </c>
      <c r="D987" t="s">
        <v>8</v>
      </c>
      <c r="E987" t="str">
        <f>IF(may[[#This Row],[ShiftCounter]]&gt;0, "Running", "Down")</f>
        <v>Running</v>
      </c>
    </row>
    <row r="988" spans="1:5" x14ac:dyDescent="0.25">
      <c r="A988" s="2">
        <v>44682</v>
      </c>
      <c r="B988" s="4" t="s">
        <v>5</v>
      </c>
      <c r="C988">
        <v>2539</v>
      </c>
      <c r="D988" t="s">
        <v>6</v>
      </c>
      <c r="E988" t="str">
        <f>IF(may[[#This Row],[ShiftCounter]]&gt;0, "Running", "Down")</f>
        <v>Running</v>
      </c>
    </row>
    <row r="989" spans="1:5" x14ac:dyDescent="0.25">
      <c r="A989" s="2">
        <v>44682</v>
      </c>
      <c r="B989" s="4" t="s">
        <v>5</v>
      </c>
      <c r="C989">
        <v>2338</v>
      </c>
      <c r="D989" t="s">
        <v>7</v>
      </c>
      <c r="E989" t="str">
        <f>IF(may[[#This Row],[ShiftCounter]]&gt;0, "Running", "Down")</f>
        <v>Running</v>
      </c>
    </row>
    <row r="990" spans="1:5" x14ac:dyDescent="0.25">
      <c r="A990" s="2">
        <v>44682</v>
      </c>
      <c r="B990" s="4" t="s">
        <v>5</v>
      </c>
      <c r="C990">
        <v>2057</v>
      </c>
      <c r="D990" t="s">
        <v>8</v>
      </c>
      <c r="E990" t="str">
        <f>IF(may[[#This Row],[ShiftCounter]]&gt;0, "Running", "Down")</f>
        <v>Running</v>
      </c>
    </row>
    <row r="991" spans="1:5" x14ac:dyDescent="0.25">
      <c r="A991" s="2">
        <v>44682</v>
      </c>
      <c r="B991" s="4" t="s">
        <v>9</v>
      </c>
      <c r="C991">
        <v>2126</v>
      </c>
      <c r="D991" t="s">
        <v>6</v>
      </c>
      <c r="E991" t="str">
        <f>IF(may[[#This Row],[ShiftCounter]]&gt;0, "Running", "Down")</f>
        <v>Running</v>
      </c>
    </row>
    <row r="992" spans="1:5" x14ac:dyDescent="0.25">
      <c r="A992" s="2">
        <v>44682</v>
      </c>
      <c r="B992" s="4" t="s">
        <v>9</v>
      </c>
      <c r="C992">
        <v>2267</v>
      </c>
      <c r="D992" t="s">
        <v>7</v>
      </c>
      <c r="E992" t="str">
        <f>IF(may[[#This Row],[ShiftCounter]]&gt;0, "Running", "Down")</f>
        <v>Running</v>
      </c>
    </row>
    <row r="993" spans="1:5" x14ac:dyDescent="0.25">
      <c r="A993" s="2">
        <v>44682</v>
      </c>
      <c r="B993" s="4" t="s">
        <v>9</v>
      </c>
      <c r="C993">
        <v>2008</v>
      </c>
      <c r="D993" t="s">
        <v>8</v>
      </c>
      <c r="E993" t="str">
        <f>IF(may[[#This Row],[ShiftCounter]]&gt;0, "Running", "Down")</f>
        <v>Running</v>
      </c>
    </row>
    <row r="994" spans="1:5" x14ac:dyDescent="0.25">
      <c r="A994" s="2">
        <v>44682</v>
      </c>
      <c r="B994" s="4" t="s">
        <v>10</v>
      </c>
      <c r="C994">
        <v>2657</v>
      </c>
      <c r="D994" t="s">
        <v>6</v>
      </c>
      <c r="E994" t="str">
        <f>IF(may[[#This Row],[ShiftCounter]]&gt;0, "Running", "Down")</f>
        <v>Running</v>
      </c>
    </row>
    <row r="995" spans="1:5" x14ac:dyDescent="0.25">
      <c r="A995" s="2">
        <v>44682</v>
      </c>
      <c r="B995" s="4" t="s">
        <v>10</v>
      </c>
      <c r="C995">
        <v>2452</v>
      </c>
      <c r="D995" t="s">
        <v>7</v>
      </c>
      <c r="E995" t="str">
        <f>IF(may[[#This Row],[ShiftCounter]]&gt;0, "Running", "Down")</f>
        <v>Running</v>
      </c>
    </row>
    <row r="996" spans="1:5" x14ac:dyDescent="0.25">
      <c r="A996" s="2">
        <v>44682</v>
      </c>
      <c r="B996" s="4" t="s">
        <v>10</v>
      </c>
      <c r="C996">
        <v>2103</v>
      </c>
      <c r="D996" t="s">
        <v>8</v>
      </c>
      <c r="E996" t="str">
        <f>IF(may[[#This Row],[ShiftCounter]]&gt;0, "Running", "Down")</f>
        <v>Running</v>
      </c>
    </row>
    <row r="997" spans="1:5" x14ac:dyDescent="0.25">
      <c r="A997" s="2">
        <v>44682</v>
      </c>
      <c r="B997" s="4" t="s">
        <v>12</v>
      </c>
      <c r="C997">
        <v>2293</v>
      </c>
      <c r="D997" t="s">
        <v>6</v>
      </c>
      <c r="E997" t="str">
        <f>IF(may[[#This Row],[ShiftCounter]]&gt;0, "Running", "Down")</f>
        <v>Running</v>
      </c>
    </row>
    <row r="998" spans="1:5" x14ac:dyDescent="0.25">
      <c r="A998" s="2">
        <v>44682</v>
      </c>
      <c r="B998" s="4" t="s">
        <v>12</v>
      </c>
      <c r="C998">
        <v>2182</v>
      </c>
      <c r="D998" t="s">
        <v>7</v>
      </c>
      <c r="E998" t="str">
        <f>IF(may[[#This Row],[ShiftCounter]]&gt;0, "Running", "Down")</f>
        <v>Running</v>
      </c>
    </row>
    <row r="999" spans="1:5" x14ac:dyDescent="0.25">
      <c r="A999" s="2">
        <v>44682</v>
      </c>
      <c r="B999" s="4" t="s">
        <v>12</v>
      </c>
      <c r="C999">
        <v>2027</v>
      </c>
      <c r="D999" t="s">
        <v>8</v>
      </c>
      <c r="E999" t="str">
        <f>IF(may[[#This Row],[ShiftCounter]]&gt;0, "Running", "Down")</f>
        <v>Running</v>
      </c>
    </row>
    <row r="1000" spans="1:5" x14ac:dyDescent="0.25">
      <c r="A1000" s="2">
        <v>44682</v>
      </c>
      <c r="B1000" s="4" t="s">
        <v>13</v>
      </c>
      <c r="C1000">
        <v>2429</v>
      </c>
      <c r="D1000" t="s">
        <v>6</v>
      </c>
      <c r="E1000" t="str">
        <f>IF(may[[#This Row],[ShiftCounter]]&gt;0, "Running", "Down")</f>
        <v>Running</v>
      </c>
    </row>
    <row r="1001" spans="1:5" x14ac:dyDescent="0.25">
      <c r="A1001" s="2">
        <v>44682</v>
      </c>
      <c r="B1001" s="4" t="s">
        <v>13</v>
      </c>
      <c r="C1001">
        <v>2263</v>
      </c>
      <c r="D1001" t="s">
        <v>7</v>
      </c>
      <c r="E1001" t="str">
        <f>IF(may[[#This Row],[ShiftCounter]]&gt;0, "Running", "Down")</f>
        <v>Running</v>
      </c>
    </row>
    <row r="1002" spans="1:5" x14ac:dyDescent="0.25">
      <c r="A1002" s="2">
        <v>44682</v>
      </c>
      <c r="B1002" s="4" t="s">
        <v>13</v>
      </c>
      <c r="C1002">
        <v>2255</v>
      </c>
      <c r="D1002" t="s">
        <v>8</v>
      </c>
      <c r="E1002" t="str">
        <f>IF(may[[#This Row],[ShiftCounter]]&gt;0, "Running", "Down")</f>
        <v>Running</v>
      </c>
    </row>
    <row r="1003" spans="1:5" x14ac:dyDescent="0.25">
      <c r="A1003" s="2">
        <v>44682</v>
      </c>
      <c r="B1003" s="4" t="s">
        <v>14</v>
      </c>
      <c r="C1003">
        <v>2228</v>
      </c>
      <c r="D1003" t="s">
        <v>6</v>
      </c>
      <c r="E1003" t="str">
        <f>IF(may[[#This Row],[ShiftCounter]]&gt;0, "Running", "Down")</f>
        <v>Running</v>
      </c>
    </row>
    <row r="1004" spans="1:5" x14ac:dyDescent="0.25">
      <c r="A1004" s="2">
        <v>44682</v>
      </c>
      <c r="B1004" s="4" t="s">
        <v>14</v>
      </c>
      <c r="C1004">
        <v>2117</v>
      </c>
      <c r="D1004" t="s">
        <v>7</v>
      </c>
      <c r="E1004" t="str">
        <f>IF(may[[#This Row],[ShiftCounter]]&gt;0, "Running", "Down")</f>
        <v>Running</v>
      </c>
    </row>
    <row r="1005" spans="1:5" x14ac:dyDescent="0.25">
      <c r="A1005" s="2">
        <v>44682</v>
      </c>
      <c r="B1005" s="4" t="s">
        <v>14</v>
      </c>
      <c r="C1005">
        <v>2062</v>
      </c>
      <c r="D1005" t="s">
        <v>8</v>
      </c>
      <c r="E1005" t="str">
        <f>IF(may[[#This Row],[ShiftCounter]]&gt;0, "Running", "Down")</f>
        <v>Running</v>
      </c>
    </row>
    <row r="1006" spans="1:5" x14ac:dyDescent="0.25">
      <c r="A1006" s="2">
        <v>44682</v>
      </c>
      <c r="B1006" s="4" t="s">
        <v>15</v>
      </c>
      <c r="C1006">
        <v>2209</v>
      </c>
      <c r="D1006" t="s">
        <v>6</v>
      </c>
      <c r="E1006" t="str">
        <f>IF(may[[#This Row],[ShiftCounter]]&gt;0, "Running", "Down")</f>
        <v>Running</v>
      </c>
    </row>
    <row r="1007" spans="1:5" x14ac:dyDescent="0.25">
      <c r="A1007" s="2">
        <v>44682</v>
      </c>
      <c r="B1007" s="4" t="s">
        <v>15</v>
      </c>
      <c r="C1007">
        <v>2110</v>
      </c>
      <c r="D1007" t="s">
        <v>7</v>
      </c>
      <c r="E1007" t="str">
        <f>IF(may[[#This Row],[ShiftCounter]]&gt;0, "Running", "Down")</f>
        <v>Running</v>
      </c>
    </row>
    <row r="1008" spans="1:5" x14ac:dyDescent="0.25">
      <c r="A1008" s="2">
        <v>44682</v>
      </c>
      <c r="B1008" s="4" t="s">
        <v>15</v>
      </c>
      <c r="C1008">
        <v>2050</v>
      </c>
      <c r="D1008" t="s">
        <v>8</v>
      </c>
      <c r="E1008" t="str">
        <f>IF(may[[#This Row],[ShiftCounter]]&gt;0, "Running", "Down")</f>
        <v>Running</v>
      </c>
    </row>
    <row r="1009" spans="1:5" x14ac:dyDescent="0.25">
      <c r="A1009" s="2">
        <v>44682</v>
      </c>
      <c r="B1009" s="4" t="s">
        <v>16</v>
      </c>
      <c r="C1009">
        <v>2332</v>
      </c>
      <c r="D1009" t="s">
        <v>6</v>
      </c>
      <c r="E1009" t="str">
        <f>IF(may[[#This Row],[ShiftCounter]]&gt;0, "Running", "Down")</f>
        <v>Running</v>
      </c>
    </row>
    <row r="1010" spans="1:5" x14ac:dyDescent="0.25">
      <c r="A1010" s="2">
        <v>44682</v>
      </c>
      <c r="B1010" s="4" t="s">
        <v>16</v>
      </c>
      <c r="C1010">
        <v>2272</v>
      </c>
      <c r="D1010" t="s">
        <v>7</v>
      </c>
      <c r="E1010" t="str">
        <f>IF(may[[#This Row],[ShiftCounter]]&gt;0, "Running", "Down")</f>
        <v>Running</v>
      </c>
    </row>
    <row r="1011" spans="1:5" x14ac:dyDescent="0.25">
      <c r="A1011" s="2">
        <v>44682</v>
      </c>
      <c r="B1011" s="4" t="s">
        <v>16</v>
      </c>
      <c r="C1011">
        <v>2269</v>
      </c>
      <c r="D1011" t="s">
        <v>8</v>
      </c>
      <c r="E1011" t="str">
        <f>IF(may[[#This Row],[ShiftCounter]]&gt;0, "Running", "Down")</f>
        <v>Running</v>
      </c>
    </row>
    <row r="1012" spans="1:5" x14ac:dyDescent="0.25">
      <c r="A1012" s="2">
        <v>44682</v>
      </c>
      <c r="B1012" s="4" t="s">
        <v>17</v>
      </c>
      <c r="C1012">
        <v>2410</v>
      </c>
      <c r="D1012" t="s">
        <v>6</v>
      </c>
      <c r="E1012" t="str">
        <f>IF(may[[#This Row],[ShiftCounter]]&gt;0, "Running", "Down")</f>
        <v>Running</v>
      </c>
    </row>
    <row r="1013" spans="1:5" x14ac:dyDescent="0.25">
      <c r="A1013" s="2">
        <v>44682</v>
      </c>
      <c r="B1013" s="4" t="s">
        <v>17</v>
      </c>
      <c r="C1013">
        <v>2318</v>
      </c>
      <c r="D1013" t="s">
        <v>7</v>
      </c>
      <c r="E1013" t="str">
        <f>IF(may[[#This Row],[ShiftCounter]]&gt;0, "Running", "Down")</f>
        <v>Running</v>
      </c>
    </row>
    <row r="1014" spans="1:5" x14ac:dyDescent="0.25">
      <c r="A1014" s="2">
        <v>44682</v>
      </c>
      <c r="B1014" s="4" t="s">
        <v>17</v>
      </c>
      <c r="C1014">
        <v>2272</v>
      </c>
      <c r="D1014" t="s">
        <v>8</v>
      </c>
      <c r="E1014" t="str">
        <f>IF(may[[#This Row],[ShiftCounter]]&gt;0, "Running", "Down")</f>
        <v>Running</v>
      </c>
    </row>
    <row r="1015" spans="1:5" x14ac:dyDescent="0.25">
      <c r="A1015" s="2">
        <v>44682</v>
      </c>
      <c r="B1015" s="4" t="s">
        <v>19</v>
      </c>
      <c r="C1015">
        <v>2051</v>
      </c>
      <c r="D1015" t="s">
        <v>6</v>
      </c>
      <c r="E1015" t="str">
        <f>IF(may[[#This Row],[ShiftCounter]]&gt;0, "Running", "Down")</f>
        <v>Running</v>
      </c>
    </row>
    <row r="1016" spans="1:5" x14ac:dyDescent="0.25">
      <c r="A1016" s="2">
        <v>44682</v>
      </c>
      <c r="B1016" s="4" t="s">
        <v>19</v>
      </c>
      <c r="C1016">
        <v>2043</v>
      </c>
      <c r="D1016" t="s">
        <v>7</v>
      </c>
      <c r="E1016" t="str">
        <f>IF(may[[#This Row],[ShiftCounter]]&gt;0, "Running", "Down")</f>
        <v>Running</v>
      </c>
    </row>
    <row r="1017" spans="1:5" x14ac:dyDescent="0.25">
      <c r="A1017" s="2">
        <v>44682</v>
      </c>
      <c r="B1017" s="4" t="s">
        <v>19</v>
      </c>
      <c r="C1017">
        <v>1860</v>
      </c>
      <c r="D1017" t="s">
        <v>8</v>
      </c>
      <c r="E1017" t="str">
        <f>IF(may[[#This Row],[ShiftCounter]]&gt;0, "Running", "Down")</f>
        <v>Running</v>
      </c>
    </row>
    <row r="1018" spans="1:5" x14ac:dyDescent="0.25">
      <c r="A1018" s="2">
        <v>44682</v>
      </c>
      <c r="B1018" s="4" t="s">
        <v>18</v>
      </c>
      <c r="C1018">
        <v>2218</v>
      </c>
      <c r="D1018" t="s">
        <v>6</v>
      </c>
      <c r="E1018" t="str">
        <f>IF(may[[#This Row],[ShiftCounter]]&gt;0, "Running", "Down")</f>
        <v>Running</v>
      </c>
    </row>
    <row r="1019" spans="1:5" x14ac:dyDescent="0.25">
      <c r="A1019" s="2">
        <v>44682</v>
      </c>
      <c r="B1019" s="4" t="s">
        <v>18</v>
      </c>
      <c r="C1019">
        <v>2304</v>
      </c>
      <c r="D1019" t="s">
        <v>7</v>
      </c>
      <c r="E1019" t="str">
        <f>IF(may[[#This Row],[ShiftCounter]]&gt;0, "Running", "Down")</f>
        <v>Running</v>
      </c>
    </row>
    <row r="1020" spans="1:5" x14ac:dyDescent="0.25">
      <c r="A1020" s="2">
        <v>44682</v>
      </c>
      <c r="B1020" s="4" t="s">
        <v>18</v>
      </c>
      <c r="C1020">
        <v>2244</v>
      </c>
      <c r="D1020" t="s">
        <v>8</v>
      </c>
      <c r="E1020" t="str">
        <f>IF(may[[#This Row],[ShiftCounter]]&gt;0, "Running", "Down")</f>
        <v>Running</v>
      </c>
    </row>
    <row r="1021" spans="1:5" x14ac:dyDescent="0.25">
      <c r="A1021" s="2">
        <v>44682</v>
      </c>
      <c r="B1021" s="4" t="s">
        <v>42</v>
      </c>
      <c r="C1021">
        <v>2196</v>
      </c>
      <c r="D1021" t="s">
        <v>6</v>
      </c>
      <c r="E1021" t="str">
        <f>IF(may[[#This Row],[ShiftCounter]]&gt;0, "Running", "Down")</f>
        <v>Running</v>
      </c>
    </row>
    <row r="1022" spans="1:5" x14ac:dyDescent="0.25">
      <c r="A1022" s="2">
        <v>44682</v>
      </c>
      <c r="B1022" s="4" t="s">
        <v>42</v>
      </c>
      <c r="C1022">
        <v>2048</v>
      </c>
      <c r="D1022" t="s">
        <v>7</v>
      </c>
      <c r="E1022" t="str">
        <f>IF(may[[#This Row],[ShiftCounter]]&gt;0, "Running", "Down")</f>
        <v>Running</v>
      </c>
    </row>
    <row r="1023" spans="1:5" x14ac:dyDescent="0.25">
      <c r="A1023" s="2">
        <v>44682</v>
      </c>
      <c r="B1023" s="4" t="s">
        <v>42</v>
      </c>
      <c r="C1023">
        <v>1875</v>
      </c>
      <c r="D1023" t="s">
        <v>8</v>
      </c>
      <c r="E1023" t="str">
        <f>IF(may[[#This Row],[ShiftCounter]]&gt;0, "Running", "Down")</f>
        <v>Running</v>
      </c>
    </row>
    <row r="1024" spans="1:5" x14ac:dyDescent="0.25">
      <c r="A1024" s="2">
        <v>44682</v>
      </c>
      <c r="B1024" s="4" t="s">
        <v>38</v>
      </c>
      <c r="C1024">
        <v>2258</v>
      </c>
      <c r="D1024" t="s">
        <v>6</v>
      </c>
      <c r="E1024" t="str">
        <f>IF(may[[#This Row],[ShiftCounter]]&gt;0, "Running", "Down")</f>
        <v>Running</v>
      </c>
    </row>
    <row r="1025" spans="1:5" x14ac:dyDescent="0.25">
      <c r="A1025" s="2">
        <v>44682</v>
      </c>
      <c r="B1025" s="4" t="s">
        <v>38</v>
      </c>
      <c r="C1025">
        <v>2128</v>
      </c>
      <c r="D1025" t="s">
        <v>7</v>
      </c>
      <c r="E1025" t="str">
        <f>IF(may[[#This Row],[ShiftCounter]]&gt;0, "Running", "Down")</f>
        <v>Running</v>
      </c>
    </row>
    <row r="1026" spans="1:5" x14ac:dyDescent="0.25">
      <c r="A1026" s="2">
        <v>44682</v>
      </c>
      <c r="B1026" s="4" t="s">
        <v>38</v>
      </c>
      <c r="C1026">
        <v>1825</v>
      </c>
      <c r="D1026" t="s">
        <v>8</v>
      </c>
      <c r="E1026" t="str">
        <f>IF(may[[#This Row],[ShiftCounter]]&gt;0, "Running", "Down")</f>
        <v>Running</v>
      </c>
    </row>
    <row r="1027" spans="1:5" x14ac:dyDescent="0.25">
      <c r="A1027" s="2">
        <v>44692</v>
      </c>
      <c r="B1027" s="4" t="s">
        <v>40</v>
      </c>
      <c r="C1027">
        <v>2368</v>
      </c>
      <c r="D1027" t="s">
        <v>6</v>
      </c>
      <c r="E1027" t="str">
        <f>IF(may[[#This Row],[ShiftCounter]]&gt;0, "Running", "Down")</f>
        <v>Running</v>
      </c>
    </row>
    <row r="1028" spans="1:5" x14ac:dyDescent="0.25">
      <c r="A1028" s="2">
        <v>44692</v>
      </c>
      <c r="B1028" s="4" t="s">
        <v>40</v>
      </c>
      <c r="C1028">
        <v>0</v>
      </c>
      <c r="D1028" t="s">
        <v>8</v>
      </c>
      <c r="E1028" t="str">
        <f>IF(may[[#This Row],[ShiftCounter]]&gt;0, "Running", "Down")</f>
        <v>Down</v>
      </c>
    </row>
    <row r="1029" spans="1:5" x14ac:dyDescent="0.25">
      <c r="A1029" s="2">
        <v>44692</v>
      </c>
      <c r="B1029" s="4" t="s">
        <v>39</v>
      </c>
      <c r="C1029">
        <v>2077</v>
      </c>
      <c r="D1029" t="s">
        <v>6</v>
      </c>
      <c r="E1029" t="str">
        <f>IF(may[[#This Row],[ShiftCounter]]&gt;0, "Running", "Down")</f>
        <v>Running</v>
      </c>
    </row>
    <row r="1030" spans="1:5" x14ac:dyDescent="0.25">
      <c r="A1030" s="2">
        <v>44692</v>
      </c>
      <c r="B1030" s="4" t="s">
        <v>39</v>
      </c>
      <c r="C1030">
        <v>1765</v>
      </c>
      <c r="D1030" t="s">
        <v>7</v>
      </c>
      <c r="E1030" t="str">
        <f>IF(may[[#This Row],[ShiftCounter]]&gt;0, "Running", "Down")</f>
        <v>Running</v>
      </c>
    </row>
    <row r="1031" spans="1:5" x14ac:dyDescent="0.25">
      <c r="A1031" s="2">
        <v>44692</v>
      </c>
      <c r="B1031" s="4" t="s">
        <v>39</v>
      </c>
      <c r="C1031">
        <v>1765</v>
      </c>
      <c r="D1031" t="s">
        <v>8</v>
      </c>
      <c r="E1031" t="str">
        <f>IF(may[[#This Row],[ShiftCounter]]&gt;0, "Running", "Down")</f>
        <v>Running</v>
      </c>
    </row>
    <row r="1032" spans="1:5" x14ac:dyDescent="0.25">
      <c r="A1032" s="2">
        <v>44692</v>
      </c>
      <c r="B1032" s="4" t="s">
        <v>41</v>
      </c>
      <c r="C1032">
        <v>2496</v>
      </c>
      <c r="D1032" t="s">
        <v>6</v>
      </c>
      <c r="E1032" t="str">
        <f>IF(may[[#This Row],[ShiftCounter]]&gt;0, "Running", "Down")</f>
        <v>Running</v>
      </c>
    </row>
    <row r="1033" spans="1:5" x14ac:dyDescent="0.25">
      <c r="A1033" s="2">
        <v>44692</v>
      </c>
      <c r="B1033" s="4" t="s">
        <v>41</v>
      </c>
      <c r="C1033">
        <v>2117</v>
      </c>
      <c r="D1033" t="s">
        <v>7</v>
      </c>
      <c r="E1033" t="str">
        <f>IF(may[[#This Row],[ShiftCounter]]&gt;0, "Running", "Down")</f>
        <v>Running</v>
      </c>
    </row>
    <row r="1034" spans="1:5" x14ac:dyDescent="0.25">
      <c r="A1034" s="2">
        <v>44692</v>
      </c>
      <c r="B1034" s="4" t="s">
        <v>41</v>
      </c>
      <c r="C1034">
        <v>2118</v>
      </c>
      <c r="D1034" t="s">
        <v>8</v>
      </c>
      <c r="E1034" t="str">
        <f>IF(may[[#This Row],[ShiftCounter]]&gt;0, "Running", "Down")</f>
        <v>Running</v>
      </c>
    </row>
    <row r="1035" spans="1:5" x14ac:dyDescent="0.25">
      <c r="A1035" s="2">
        <v>44692</v>
      </c>
      <c r="B1035" s="4" t="s">
        <v>5</v>
      </c>
      <c r="C1035">
        <v>2459</v>
      </c>
      <c r="D1035" t="s">
        <v>6</v>
      </c>
      <c r="E1035" t="str">
        <f>IF(may[[#This Row],[ShiftCounter]]&gt;0, "Running", "Down")</f>
        <v>Running</v>
      </c>
    </row>
    <row r="1036" spans="1:5" x14ac:dyDescent="0.25">
      <c r="A1036" s="2">
        <v>44692</v>
      </c>
      <c r="B1036" s="4" t="s">
        <v>5</v>
      </c>
      <c r="C1036">
        <v>2077</v>
      </c>
      <c r="D1036" t="s">
        <v>7</v>
      </c>
      <c r="E1036" t="str">
        <f>IF(may[[#This Row],[ShiftCounter]]&gt;0, "Running", "Down")</f>
        <v>Running</v>
      </c>
    </row>
    <row r="1037" spans="1:5" x14ac:dyDescent="0.25">
      <c r="A1037" s="2">
        <v>44692</v>
      </c>
      <c r="B1037" s="4" t="s">
        <v>5</v>
      </c>
      <c r="C1037">
        <v>2078</v>
      </c>
      <c r="D1037" t="s">
        <v>8</v>
      </c>
      <c r="E1037" t="str">
        <f>IF(may[[#This Row],[ShiftCounter]]&gt;0, "Running", "Down")</f>
        <v>Running</v>
      </c>
    </row>
    <row r="1038" spans="1:5" x14ac:dyDescent="0.25">
      <c r="A1038" s="2">
        <v>44692</v>
      </c>
      <c r="B1038" s="4" t="s">
        <v>9</v>
      </c>
      <c r="C1038">
        <v>2442</v>
      </c>
      <c r="D1038" t="s">
        <v>6</v>
      </c>
      <c r="E1038" t="str">
        <f>IF(may[[#This Row],[ShiftCounter]]&gt;0, "Running", "Down")</f>
        <v>Running</v>
      </c>
    </row>
    <row r="1039" spans="1:5" x14ac:dyDescent="0.25">
      <c r="A1039" s="2">
        <v>44692</v>
      </c>
      <c r="B1039" s="4" t="s">
        <v>9</v>
      </c>
      <c r="C1039">
        <v>2087</v>
      </c>
      <c r="D1039" t="s">
        <v>7</v>
      </c>
      <c r="E1039" t="str">
        <f>IF(may[[#This Row],[ShiftCounter]]&gt;0, "Running", "Down")</f>
        <v>Running</v>
      </c>
    </row>
    <row r="1040" spans="1:5" x14ac:dyDescent="0.25">
      <c r="A1040" s="2">
        <v>44692</v>
      </c>
      <c r="B1040" s="4" t="s">
        <v>9</v>
      </c>
      <c r="C1040">
        <v>2087</v>
      </c>
      <c r="D1040" t="s">
        <v>8</v>
      </c>
      <c r="E1040" t="str">
        <f>IF(may[[#This Row],[ShiftCounter]]&gt;0, "Running", "Down")</f>
        <v>Running</v>
      </c>
    </row>
    <row r="1041" spans="1:5" x14ac:dyDescent="0.25">
      <c r="A1041" s="2">
        <v>44692</v>
      </c>
      <c r="B1041" s="4" t="s">
        <v>10</v>
      </c>
      <c r="C1041">
        <v>2387</v>
      </c>
      <c r="D1041" t="s">
        <v>6</v>
      </c>
      <c r="E1041" t="str">
        <f>IF(may[[#This Row],[ShiftCounter]]&gt;0, "Running", "Down")</f>
        <v>Running</v>
      </c>
    </row>
    <row r="1042" spans="1:5" x14ac:dyDescent="0.25">
      <c r="A1042" s="2">
        <v>44692</v>
      </c>
      <c r="B1042" s="4" t="s">
        <v>10</v>
      </c>
      <c r="C1042">
        <v>2071</v>
      </c>
      <c r="D1042" t="s">
        <v>7</v>
      </c>
      <c r="E1042" t="str">
        <f>IF(may[[#This Row],[ShiftCounter]]&gt;0, "Running", "Down")</f>
        <v>Running</v>
      </c>
    </row>
    <row r="1043" spans="1:5" x14ac:dyDescent="0.25">
      <c r="A1043" s="2">
        <v>44692</v>
      </c>
      <c r="B1043" s="4" t="s">
        <v>10</v>
      </c>
      <c r="C1043">
        <v>2071</v>
      </c>
      <c r="D1043" t="s">
        <v>8</v>
      </c>
      <c r="E1043" t="str">
        <f>IF(may[[#This Row],[ShiftCounter]]&gt;0, "Running", "Down")</f>
        <v>Running</v>
      </c>
    </row>
    <row r="1044" spans="1:5" x14ac:dyDescent="0.25">
      <c r="A1044" s="2">
        <v>44692</v>
      </c>
      <c r="B1044" s="4" t="s">
        <v>11</v>
      </c>
      <c r="C1044">
        <v>2502</v>
      </c>
      <c r="D1044" t="s">
        <v>6</v>
      </c>
      <c r="E1044" t="str">
        <f>IF(may[[#This Row],[ShiftCounter]]&gt;0, "Running", "Down")</f>
        <v>Running</v>
      </c>
    </row>
    <row r="1045" spans="1:5" x14ac:dyDescent="0.25">
      <c r="A1045" s="2">
        <v>44692</v>
      </c>
      <c r="B1045" s="4" t="s">
        <v>11</v>
      </c>
      <c r="C1045">
        <v>2185</v>
      </c>
      <c r="D1045" t="s">
        <v>7</v>
      </c>
      <c r="E1045" t="str">
        <f>IF(may[[#This Row],[ShiftCounter]]&gt;0, "Running", "Down")</f>
        <v>Running</v>
      </c>
    </row>
    <row r="1046" spans="1:5" x14ac:dyDescent="0.25">
      <c r="A1046" s="2">
        <v>44692</v>
      </c>
      <c r="B1046" s="4" t="s">
        <v>11</v>
      </c>
      <c r="C1046">
        <v>2185</v>
      </c>
      <c r="D1046" t="s">
        <v>8</v>
      </c>
      <c r="E1046" t="str">
        <f>IF(may[[#This Row],[ShiftCounter]]&gt;0, "Running", "Down")</f>
        <v>Running</v>
      </c>
    </row>
    <row r="1047" spans="1:5" x14ac:dyDescent="0.25">
      <c r="A1047" s="2">
        <v>44692</v>
      </c>
      <c r="B1047" s="4" t="s">
        <v>12</v>
      </c>
      <c r="C1047">
        <v>2142</v>
      </c>
      <c r="D1047" t="s">
        <v>6</v>
      </c>
      <c r="E1047" t="str">
        <f>IF(may[[#This Row],[ShiftCounter]]&gt;0, "Running", "Down")</f>
        <v>Running</v>
      </c>
    </row>
    <row r="1048" spans="1:5" x14ac:dyDescent="0.25">
      <c r="A1048" s="2">
        <v>44692</v>
      </c>
      <c r="B1048" s="4" t="s">
        <v>12</v>
      </c>
      <c r="C1048">
        <v>1929</v>
      </c>
      <c r="D1048" t="s">
        <v>7</v>
      </c>
      <c r="E1048" t="str">
        <f>IF(may[[#This Row],[ShiftCounter]]&gt;0, "Running", "Down")</f>
        <v>Running</v>
      </c>
    </row>
    <row r="1049" spans="1:5" x14ac:dyDescent="0.25">
      <c r="A1049" s="2">
        <v>44692</v>
      </c>
      <c r="B1049" s="4" t="s">
        <v>12</v>
      </c>
      <c r="C1049">
        <v>1929</v>
      </c>
      <c r="D1049" t="s">
        <v>8</v>
      </c>
      <c r="E1049" t="str">
        <f>IF(may[[#This Row],[ShiftCounter]]&gt;0, "Running", "Down")</f>
        <v>Running</v>
      </c>
    </row>
    <row r="1050" spans="1:5" x14ac:dyDescent="0.25">
      <c r="A1050" s="2">
        <v>44692</v>
      </c>
      <c r="B1050" s="4" t="s">
        <v>13</v>
      </c>
      <c r="C1050">
        <v>2315</v>
      </c>
      <c r="D1050" t="s">
        <v>6</v>
      </c>
      <c r="E1050" t="str">
        <f>IF(may[[#This Row],[ShiftCounter]]&gt;0, "Running", "Down")</f>
        <v>Running</v>
      </c>
    </row>
    <row r="1051" spans="1:5" x14ac:dyDescent="0.25">
      <c r="A1051" s="2">
        <v>44692</v>
      </c>
      <c r="B1051" s="4" t="s">
        <v>13</v>
      </c>
      <c r="C1051">
        <v>2125</v>
      </c>
      <c r="D1051" t="s">
        <v>7</v>
      </c>
      <c r="E1051" t="str">
        <f>IF(may[[#This Row],[ShiftCounter]]&gt;0, "Running", "Down")</f>
        <v>Running</v>
      </c>
    </row>
    <row r="1052" spans="1:5" x14ac:dyDescent="0.25">
      <c r="A1052" s="2">
        <v>44692</v>
      </c>
      <c r="B1052" s="4" t="s">
        <v>13</v>
      </c>
      <c r="C1052">
        <v>2034</v>
      </c>
      <c r="D1052" t="s">
        <v>8</v>
      </c>
      <c r="E1052" t="str">
        <f>IF(may[[#This Row],[ShiftCounter]]&gt;0, "Running", "Down")</f>
        <v>Running</v>
      </c>
    </row>
    <row r="1053" spans="1:5" x14ac:dyDescent="0.25">
      <c r="A1053" s="2">
        <v>44692</v>
      </c>
      <c r="B1053" s="4" t="s">
        <v>14</v>
      </c>
      <c r="C1053">
        <v>1829</v>
      </c>
      <c r="D1053" t="s">
        <v>6</v>
      </c>
      <c r="E1053" t="str">
        <f>IF(may[[#This Row],[ShiftCounter]]&gt;0, "Running", "Down")</f>
        <v>Running</v>
      </c>
    </row>
    <row r="1054" spans="1:5" x14ac:dyDescent="0.25">
      <c r="A1054" s="2">
        <v>44692</v>
      </c>
      <c r="B1054" s="4" t="s">
        <v>14</v>
      </c>
      <c r="C1054">
        <v>1742</v>
      </c>
      <c r="D1054" t="s">
        <v>7</v>
      </c>
      <c r="E1054" t="str">
        <f>IF(may[[#This Row],[ShiftCounter]]&gt;0, "Running", "Down")</f>
        <v>Running</v>
      </c>
    </row>
    <row r="1055" spans="1:5" x14ac:dyDescent="0.25">
      <c r="A1055" s="2">
        <v>44692</v>
      </c>
      <c r="B1055" s="4" t="s">
        <v>14</v>
      </c>
      <c r="C1055">
        <v>1630</v>
      </c>
      <c r="D1055" t="s">
        <v>8</v>
      </c>
      <c r="E1055" t="str">
        <f>IF(may[[#This Row],[ShiftCounter]]&gt;0, "Running", "Down")</f>
        <v>Running</v>
      </c>
    </row>
    <row r="1056" spans="1:5" x14ac:dyDescent="0.25">
      <c r="A1056" s="2">
        <v>44692</v>
      </c>
      <c r="B1056" s="4" t="s">
        <v>15</v>
      </c>
      <c r="C1056">
        <v>2116</v>
      </c>
      <c r="D1056" t="s">
        <v>6</v>
      </c>
      <c r="E1056" t="str">
        <f>IF(may[[#This Row],[ShiftCounter]]&gt;0, "Running", "Down")</f>
        <v>Running</v>
      </c>
    </row>
    <row r="1057" spans="1:5" x14ac:dyDescent="0.25">
      <c r="A1057" s="2">
        <v>44692</v>
      </c>
      <c r="B1057" s="4" t="s">
        <v>15</v>
      </c>
      <c r="C1057">
        <v>2012</v>
      </c>
      <c r="D1057" t="s">
        <v>7</v>
      </c>
      <c r="E1057" t="str">
        <f>IF(may[[#This Row],[ShiftCounter]]&gt;0, "Running", "Down")</f>
        <v>Running</v>
      </c>
    </row>
    <row r="1058" spans="1:5" x14ac:dyDescent="0.25">
      <c r="A1058" s="2">
        <v>44692</v>
      </c>
      <c r="B1058" s="4" t="s">
        <v>15</v>
      </c>
      <c r="C1058">
        <v>1810</v>
      </c>
      <c r="D1058" t="s">
        <v>8</v>
      </c>
      <c r="E1058" t="str">
        <f>IF(may[[#This Row],[ShiftCounter]]&gt;0, "Running", "Down")</f>
        <v>Running</v>
      </c>
    </row>
    <row r="1059" spans="1:5" x14ac:dyDescent="0.25">
      <c r="A1059" s="2">
        <v>44692</v>
      </c>
      <c r="B1059" s="4" t="s">
        <v>16</v>
      </c>
      <c r="C1059">
        <v>2396</v>
      </c>
      <c r="D1059" t="s">
        <v>6</v>
      </c>
      <c r="E1059" t="str">
        <f>IF(may[[#This Row],[ShiftCounter]]&gt;0, "Running", "Down")</f>
        <v>Running</v>
      </c>
    </row>
    <row r="1060" spans="1:5" x14ac:dyDescent="0.25">
      <c r="A1060" s="2">
        <v>44692</v>
      </c>
      <c r="B1060" s="4" t="s">
        <v>16</v>
      </c>
      <c r="C1060">
        <v>2174</v>
      </c>
      <c r="D1060" t="s">
        <v>7</v>
      </c>
      <c r="E1060" t="str">
        <f>IF(may[[#This Row],[ShiftCounter]]&gt;0, "Running", "Down")</f>
        <v>Running</v>
      </c>
    </row>
    <row r="1061" spans="1:5" x14ac:dyDescent="0.25">
      <c r="A1061" s="2">
        <v>44692</v>
      </c>
      <c r="B1061" s="4" t="s">
        <v>16</v>
      </c>
      <c r="C1061">
        <v>2091</v>
      </c>
      <c r="D1061" t="s">
        <v>8</v>
      </c>
      <c r="E1061" t="str">
        <f>IF(may[[#This Row],[ShiftCounter]]&gt;0, "Running", "Down")</f>
        <v>Running</v>
      </c>
    </row>
    <row r="1062" spans="1:5" x14ac:dyDescent="0.25">
      <c r="A1062" s="2">
        <v>44692</v>
      </c>
      <c r="B1062" s="4" t="s">
        <v>19</v>
      </c>
      <c r="C1062">
        <v>1997</v>
      </c>
      <c r="D1062" t="s">
        <v>6</v>
      </c>
      <c r="E1062" t="str">
        <f>IF(may[[#This Row],[ShiftCounter]]&gt;0, "Running", "Down")</f>
        <v>Running</v>
      </c>
    </row>
    <row r="1063" spans="1:5" x14ac:dyDescent="0.25">
      <c r="A1063" s="2">
        <v>44692</v>
      </c>
      <c r="B1063" s="4" t="s">
        <v>19</v>
      </c>
      <c r="C1063">
        <v>1788</v>
      </c>
      <c r="D1063" t="s">
        <v>7</v>
      </c>
      <c r="E1063" t="str">
        <f>IF(may[[#This Row],[ShiftCounter]]&gt;0, "Running", "Down")</f>
        <v>Running</v>
      </c>
    </row>
    <row r="1064" spans="1:5" x14ac:dyDescent="0.25">
      <c r="A1064" s="2">
        <v>44692</v>
      </c>
      <c r="B1064" s="4" t="s">
        <v>19</v>
      </c>
      <c r="C1064">
        <v>1791</v>
      </c>
      <c r="D1064" t="s">
        <v>8</v>
      </c>
      <c r="E1064" t="str">
        <f>IF(may[[#This Row],[ShiftCounter]]&gt;0, "Running", "Down")</f>
        <v>Running</v>
      </c>
    </row>
    <row r="1065" spans="1:5" x14ac:dyDescent="0.25">
      <c r="A1065" s="2">
        <v>44692</v>
      </c>
      <c r="B1065" s="4" t="s">
        <v>18</v>
      </c>
      <c r="C1065">
        <v>2513</v>
      </c>
      <c r="D1065" t="s">
        <v>6</v>
      </c>
      <c r="E1065" t="str">
        <f>IF(may[[#This Row],[ShiftCounter]]&gt;0, "Running", "Down")</f>
        <v>Running</v>
      </c>
    </row>
    <row r="1066" spans="1:5" x14ac:dyDescent="0.25">
      <c r="A1066" s="2">
        <v>44692</v>
      </c>
      <c r="B1066" s="4" t="s">
        <v>18</v>
      </c>
      <c r="C1066">
        <v>2041</v>
      </c>
      <c r="D1066" t="s">
        <v>7</v>
      </c>
      <c r="E1066" t="str">
        <f>IF(may[[#This Row],[ShiftCounter]]&gt;0, "Running", "Down")</f>
        <v>Running</v>
      </c>
    </row>
    <row r="1067" spans="1:5" x14ac:dyDescent="0.25">
      <c r="A1067" s="2">
        <v>44692</v>
      </c>
      <c r="B1067" s="4" t="s">
        <v>18</v>
      </c>
      <c r="C1067">
        <v>2042</v>
      </c>
      <c r="D1067" t="s">
        <v>8</v>
      </c>
      <c r="E1067" t="str">
        <f>IF(may[[#This Row],[ShiftCounter]]&gt;0, "Running", "Down")</f>
        <v>Running</v>
      </c>
    </row>
    <row r="1068" spans="1:5" x14ac:dyDescent="0.25">
      <c r="A1068" s="2">
        <v>44692</v>
      </c>
      <c r="B1068" s="4" t="s">
        <v>20</v>
      </c>
      <c r="C1068">
        <v>2148</v>
      </c>
      <c r="D1068" t="s">
        <v>6</v>
      </c>
      <c r="E1068" t="str">
        <f>IF(may[[#This Row],[ShiftCounter]]&gt;0, "Running", "Down")</f>
        <v>Running</v>
      </c>
    </row>
    <row r="1069" spans="1:5" x14ac:dyDescent="0.25">
      <c r="A1069" s="2">
        <v>44692</v>
      </c>
      <c r="B1069" s="4" t="s">
        <v>20</v>
      </c>
      <c r="C1069">
        <v>1772</v>
      </c>
      <c r="D1069" t="s">
        <v>7</v>
      </c>
      <c r="E1069" t="str">
        <f>IF(may[[#This Row],[ShiftCounter]]&gt;0, "Running", "Down")</f>
        <v>Running</v>
      </c>
    </row>
    <row r="1070" spans="1:5" x14ac:dyDescent="0.25">
      <c r="A1070" s="2">
        <v>44692</v>
      </c>
      <c r="B1070" s="4" t="s">
        <v>20</v>
      </c>
      <c r="C1070">
        <v>1526</v>
      </c>
      <c r="D1070" t="s">
        <v>8</v>
      </c>
      <c r="E1070" t="str">
        <f>IF(may[[#This Row],[ShiftCounter]]&gt;0, "Running", "Down")</f>
        <v>Running</v>
      </c>
    </row>
    <row r="1071" spans="1:5" x14ac:dyDescent="0.25">
      <c r="A1071" s="2">
        <v>44692</v>
      </c>
      <c r="B1071" s="4" t="s">
        <v>21</v>
      </c>
      <c r="C1071">
        <v>2137</v>
      </c>
      <c r="D1071" t="s">
        <v>6</v>
      </c>
      <c r="E1071" t="str">
        <f>IF(may[[#This Row],[ShiftCounter]]&gt;0, "Running", "Down")</f>
        <v>Running</v>
      </c>
    </row>
    <row r="1072" spans="1:5" x14ac:dyDescent="0.25">
      <c r="A1072" s="2">
        <v>44692</v>
      </c>
      <c r="B1072" s="4" t="s">
        <v>21</v>
      </c>
      <c r="C1072">
        <v>1758</v>
      </c>
      <c r="D1072" t="s">
        <v>7</v>
      </c>
      <c r="E1072" t="str">
        <f>IF(may[[#This Row],[ShiftCounter]]&gt;0, "Running", "Down")</f>
        <v>Running</v>
      </c>
    </row>
    <row r="1073" spans="1:5" x14ac:dyDescent="0.25">
      <c r="A1073" s="2">
        <v>44692</v>
      </c>
      <c r="B1073" s="4" t="s">
        <v>21</v>
      </c>
      <c r="C1073">
        <v>1681</v>
      </c>
      <c r="D1073" t="s">
        <v>8</v>
      </c>
      <c r="E1073" t="str">
        <f>IF(may[[#This Row],[ShiftCounter]]&gt;0, "Running", "Down")</f>
        <v>Running</v>
      </c>
    </row>
    <row r="1074" spans="1:5" x14ac:dyDescent="0.25">
      <c r="A1074" s="2">
        <v>44692</v>
      </c>
      <c r="B1074" s="4" t="s">
        <v>22</v>
      </c>
      <c r="C1074">
        <v>2272</v>
      </c>
      <c r="D1074" t="s">
        <v>6</v>
      </c>
      <c r="E1074" t="str">
        <f>IF(may[[#This Row],[ShiftCounter]]&gt;0, "Running", "Down")</f>
        <v>Running</v>
      </c>
    </row>
    <row r="1075" spans="1:5" x14ac:dyDescent="0.25">
      <c r="A1075" s="2">
        <v>44692</v>
      </c>
      <c r="B1075" s="4" t="s">
        <v>22</v>
      </c>
      <c r="C1075">
        <v>1988</v>
      </c>
      <c r="D1075" t="s">
        <v>7</v>
      </c>
      <c r="E1075" t="str">
        <f>IF(may[[#This Row],[ShiftCounter]]&gt;0, "Running", "Down")</f>
        <v>Running</v>
      </c>
    </row>
    <row r="1076" spans="1:5" x14ac:dyDescent="0.25">
      <c r="A1076" s="2">
        <v>44692</v>
      </c>
      <c r="B1076" s="4" t="s">
        <v>22</v>
      </c>
      <c r="C1076">
        <v>1890</v>
      </c>
      <c r="D1076" t="s">
        <v>8</v>
      </c>
      <c r="E1076" t="str">
        <f>IF(may[[#This Row],[ShiftCounter]]&gt;0, "Running", "Down")</f>
        <v>Running</v>
      </c>
    </row>
    <row r="1077" spans="1:5" x14ac:dyDescent="0.25">
      <c r="A1077" s="2">
        <v>44692</v>
      </c>
      <c r="B1077" s="4" t="s">
        <v>23</v>
      </c>
      <c r="C1077">
        <v>2407</v>
      </c>
      <c r="D1077" t="s">
        <v>6</v>
      </c>
      <c r="E1077" t="str">
        <f>IF(may[[#This Row],[ShiftCounter]]&gt;0, "Running", "Down")</f>
        <v>Running</v>
      </c>
    </row>
    <row r="1078" spans="1:5" x14ac:dyDescent="0.25">
      <c r="A1078" s="2">
        <v>44692</v>
      </c>
      <c r="B1078" s="4" t="s">
        <v>23</v>
      </c>
      <c r="C1078">
        <v>2097</v>
      </c>
      <c r="D1078" t="s">
        <v>7</v>
      </c>
      <c r="E1078" t="str">
        <f>IF(may[[#This Row],[ShiftCounter]]&gt;0, "Running", "Down")</f>
        <v>Running</v>
      </c>
    </row>
    <row r="1079" spans="1:5" x14ac:dyDescent="0.25">
      <c r="A1079" s="2">
        <v>44692</v>
      </c>
      <c r="B1079" s="4" t="s">
        <v>23</v>
      </c>
      <c r="C1079">
        <v>1949</v>
      </c>
      <c r="D1079" t="s">
        <v>8</v>
      </c>
      <c r="E1079" t="str">
        <f>IF(may[[#This Row],[ShiftCounter]]&gt;0, "Running", "Down")</f>
        <v>Running</v>
      </c>
    </row>
    <row r="1080" spans="1:5" x14ac:dyDescent="0.25">
      <c r="A1080" s="2">
        <v>44692</v>
      </c>
      <c r="B1080" s="4" t="s">
        <v>24</v>
      </c>
      <c r="C1080">
        <v>2235</v>
      </c>
      <c r="D1080" t="s">
        <v>6</v>
      </c>
      <c r="E1080" t="str">
        <f>IF(may[[#This Row],[ShiftCounter]]&gt;0, "Running", "Down")</f>
        <v>Running</v>
      </c>
    </row>
    <row r="1081" spans="1:5" x14ac:dyDescent="0.25">
      <c r="A1081" s="2">
        <v>44692</v>
      </c>
      <c r="B1081" s="4" t="s">
        <v>24</v>
      </c>
      <c r="C1081">
        <v>1816</v>
      </c>
      <c r="D1081" t="s">
        <v>7</v>
      </c>
      <c r="E1081" t="str">
        <f>IF(may[[#This Row],[ShiftCounter]]&gt;0, "Running", "Down")</f>
        <v>Running</v>
      </c>
    </row>
    <row r="1082" spans="1:5" x14ac:dyDescent="0.25">
      <c r="A1082" s="2">
        <v>44692</v>
      </c>
      <c r="B1082" s="4" t="s">
        <v>24</v>
      </c>
      <c r="C1082">
        <v>1454</v>
      </c>
      <c r="D1082" t="s">
        <v>8</v>
      </c>
      <c r="E1082" t="str">
        <f>IF(may[[#This Row],[ShiftCounter]]&gt;0, "Running", "Down")</f>
        <v>Running</v>
      </c>
    </row>
    <row r="1083" spans="1:5" x14ac:dyDescent="0.25">
      <c r="A1083" s="2">
        <v>44692</v>
      </c>
      <c r="B1083" s="4" t="s">
        <v>25</v>
      </c>
      <c r="C1083">
        <v>2385</v>
      </c>
      <c r="D1083" t="s">
        <v>6</v>
      </c>
      <c r="E1083" t="str">
        <f>IF(may[[#This Row],[ShiftCounter]]&gt;0, "Running", "Down")</f>
        <v>Running</v>
      </c>
    </row>
    <row r="1084" spans="1:5" x14ac:dyDescent="0.25">
      <c r="A1084" s="2">
        <v>44692</v>
      </c>
      <c r="B1084" s="4" t="s">
        <v>25</v>
      </c>
      <c r="C1084">
        <v>2051</v>
      </c>
      <c r="D1084" t="s">
        <v>7</v>
      </c>
      <c r="E1084" t="str">
        <f>IF(may[[#This Row],[ShiftCounter]]&gt;0, "Running", "Down")</f>
        <v>Running</v>
      </c>
    </row>
    <row r="1085" spans="1:5" x14ac:dyDescent="0.25">
      <c r="A1085" s="2">
        <v>44692</v>
      </c>
      <c r="B1085" s="4" t="s">
        <v>25</v>
      </c>
      <c r="C1085">
        <v>1878</v>
      </c>
      <c r="D1085" t="s">
        <v>8</v>
      </c>
      <c r="E1085" t="str">
        <f>IF(may[[#This Row],[ShiftCounter]]&gt;0, "Running", "Down")</f>
        <v>Running</v>
      </c>
    </row>
    <row r="1086" spans="1:5" x14ac:dyDescent="0.25">
      <c r="A1086" s="2">
        <v>44692</v>
      </c>
      <c r="B1086" s="4" t="s">
        <v>26</v>
      </c>
      <c r="C1086">
        <v>2267</v>
      </c>
      <c r="D1086" t="s">
        <v>6</v>
      </c>
      <c r="E1086" t="str">
        <f>IF(may[[#This Row],[ShiftCounter]]&gt;0, "Running", "Down")</f>
        <v>Running</v>
      </c>
    </row>
    <row r="1087" spans="1:5" x14ac:dyDescent="0.25">
      <c r="A1087" s="2">
        <v>44692</v>
      </c>
      <c r="B1087" s="4" t="s">
        <v>26</v>
      </c>
      <c r="C1087">
        <v>2275</v>
      </c>
      <c r="D1087" t="s">
        <v>7</v>
      </c>
      <c r="E1087" t="str">
        <f>IF(may[[#This Row],[ShiftCounter]]&gt;0, "Running", "Down")</f>
        <v>Running</v>
      </c>
    </row>
    <row r="1088" spans="1:5" x14ac:dyDescent="0.25">
      <c r="A1088" s="2">
        <v>44692</v>
      </c>
      <c r="B1088" s="4" t="s">
        <v>26</v>
      </c>
      <c r="C1088">
        <v>1519</v>
      </c>
      <c r="D1088" t="s">
        <v>8</v>
      </c>
      <c r="E1088" t="str">
        <f>IF(may[[#This Row],[ShiftCounter]]&gt;0, "Running", "Down")</f>
        <v>Running</v>
      </c>
    </row>
    <row r="1089" spans="1:5" x14ac:dyDescent="0.25">
      <c r="A1089" s="2">
        <v>44692</v>
      </c>
      <c r="B1089" s="4" t="s">
        <v>27</v>
      </c>
      <c r="C1089">
        <v>2319</v>
      </c>
      <c r="D1089" t="s">
        <v>6</v>
      </c>
      <c r="E1089" t="str">
        <f>IF(may[[#This Row],[ShiftCounter]]&gt;0, "Running", "Down")</f>
        <v>Running</v>
      </c>
    </row>
    <row r="1090" spans="1:5" x14ac:dyDescent="0.25">
      <c r="A1090" s="2">
        <v>44692</v>
      </c>
      <c r="B1090" s="4" t="s">
        <v>27</v>
      </c>
      <c r="C1090">
        <v>1818</v>
      </c>
      <c r="D1090" t="s">
        <v>7</v>
      </c>
      <c r="E1090" t="str">
        <f>IF(may[[#This Row],[ShiftCounter]]&gt;0, "Running", "Down")</f>
        <v>Running</v>
      </c>
    </row>
    <row r="1091" spans="1:5" x14ac:dyDescent="0.25">
      <c r="A1091" s="2">
        <v>44692</v>
      </c>
      <c r="B1091" s="4" t="s">
        <v>27</v>
      </c>
      <c r="C1091">
        <v>1819</v>
      </c>
      <c r="D1091" t="s">
        <v>8</v>
      </c>
      <c r="E1091" t="str">
        <f>IF(may[[#This Row],[ShiftCounter]]&gt;0, "Running", "Down")</f>
        <v>Running</v>
      </c>
    </row>
    <row r="1092" spans="1:5" x14ac:dyDescent="0.25">
      <c r="A1092" s="2">
        <v>44692</v>
      </c>
      <c r="B1092" s="4" t="s">
        <v>28</v>
      </c>
      <c r="C1092">
        <v>2185</v>
      </c>
      <c r="D1092" t="s">
        <v>6</v>
      </c>
      <c r="E1092" t="str">
        <f>IF(may[[#This Row],[ShiftCounter]]&gt;0, "Running", "Down")</f>
        <v>Running</v>
      </c>
    </row>
    <row r="1093" spans="1:5" x14ac:dyDescent="0.25">
      <c r="A1093" s="2">
        <v>44692</v>
      </c>
      <c r="B1093" s="4" t="s">
        <v>28</v>
      </c>
      <c r="C1093">
        <v>1786</v>
      </c>
      <c r="D1093" t="s">
        <v>7</v>
      </c>
      <c r="E1093" t="str">
        <f>IF(may[[#This Row],[ShiftCounter]]&gt;0, "Running", "Down")</f>
        <v>Running</v>
      </c>
    </row>
    <row r="1094" spans="1:5" x14ac:dyDescent="0.25">
      <c r="A1094" s="2">
        <v>44692</v>
      </c>
      <c r="B1094" s="4" t="s">
        <v>28</v>
      </c>
      <c r="C1094">
        <v>1787</v>
      </c>
      <c r="D1094" t="s">
        <v>8</v>
      </c>
      <c r="E1094" t="str">
        <f>IF(may[[#This Row],[ShiftCounter]]&gt;0, "Running", "Down")</f>
        <v>Running</v>
      </c>
    </row>
    <row r="1095" spans="1:5" x14ac:dyDescent="0.25">
      <c r="A1095" s="2">
        <v>44692</v>
      </c>
      <c r="B1095" s="4" t="s">
        <v>29</v>
      </c>
      <c r="C1095">
        <v>2006</v>
      </c>
      <c r="D1095" t="s">
        <v>6</v>
      </c>
      <c r="E1095" t="str">
        <f>IF(may[[#This Row],[ShiftCounter]]&gt;0, "Running", "Down")</f>
        <v>Running</v>
      </c>
    </row>
    <row r="1096" spans="1:5" x14ac:dyDescent="0.25">
      <c r="A1096" s="2">
        <v>44692</v>
      </c>
      <c r="B1096" s="4" t="s">
        <v>29</v>
      </c>
      <c r="C1096">
        <v>1624</v>
      </c>
      <c r="D1096" t="s">
        <v>7</v>
      </c>
      <c r="E1096" t="str">
        <f>IF(may[[#This Row],[ShiftCounter]]&gt;0, "Running", "Down")</f>
        <v>Running</v>
      </c>
    </row>
    <row r="1097" spans="1:5" x14ac:dyDescent="0.25">
      <c r="A1097" s="2">
        <v>44692</v>
      </c>
      <c r="B1097" s="4" t="s">
        <v>29</v>
      </c>
      <c r="C1097">
        <v>1625</v>
      </c>
      <c r="D1097" t="s">
        <v>8</v>
      </c>
      <c r="E1097" t="str">
        <f>IF(may[[#This Row],[ShiftCounter]]&gt;0, "Running", "Down")</f>
        <v>Running</v>
      </c>
    </row>
    <row r="1098" spans="1:5" x14ac:dyDescent="0.25">
      <c r="A1098" s="2">
        <v>44692</v>
      </c>
      <c r="B1098" s="4" t="s">
        <v>30</v>
      </c>
      <c r="C1098">
        <v>2172</v>
      </c>
      <c r="D1098" t="s">
        <v>6</v>
      </c>
      <c r="E1098" t="str">
        <f>IF(may[[#This Row],[ShiftCounter]]&gt;0, "Running", "Down")</f>
        <v>Running</v>
      </c>
    </row>
    <row r="1099" spans="1:5" x14ac:dyDescent="0.25">
      <c r="A1099" s="2">
        <v>44692</v>
      </c>
      <c r="B1099" s="4" t="s">
        <v>30</v>
      </c>
      <c r="C1099">
        <v>1983</v>
      </c>
      <c r="D1099" t="s">
        <v>7</v>
      </c>
      <c r="E1099" t="str">
        <f>IF(may[[#This Row],[ShiftCounter]]&gt;0, "Running", "Down")</f>
        <v>Running</v>
      </c>
    </row>
    <row r="1100" spans="1:5" x14ac:dyDescent="0.25">
      <c r="A1100" s="2">
        <v>44692</v>
      </c>
      <c r="B1100" s="4" t="s">
        <v>30</v>
      </c>
      <c r="C1100">
        <v>1984</v>
      </c>
      <c r="D1100" t="s">
        <v>8</v>
      </c>
      <c r="E1100" t="str">
        <f>IF(may[[#This Row],[ShiftCounter]]&gt;0, "Running", "Down")</f>
        <v>Running</v>
      </c>
    </row>
    <row r="1101" spans="1:5" x14ac:dyDescent="0.25">
      <c r="A1101" s="2">
        <v>44692</v>
      </c>
      <c r="B1101" s="4" t="s">
        <v>31</v>
      </c>
      <c r="C1101">
        <v>2157</v>
      </c>
      <c r="D1101" t="s">
        <v>6</v>
      </c>
      <c r="E1101" t="str">
        <f>IF(may[[#This Row],[ShiftCounter]]&gt;0, "Running", "Down")</f>
        <v>Running</v>
      </c>
    </row>
    <row r="1102" spans="1:5" x14ac:dyDescent="0.25">
      <c r="A1102" s="2">
        <v>44692</v>
      </c>
      <c r="B1102" s="4" t="s">
        <v>31</v>
      </c>
      <c r="C1102">
        <v>1788</v>
      </c>
      <c r="D1102" t="s">
        <v>7</v>
      </c>
      <c r="E1102" t="str">
        <f>IF(may[[#This Row],[ShiftCounter]]&gt;0, "Running", "Down")</f>
        <v>Running</v>
      </c>
    </row>
    <row r="1103" spans="1:5" x14ac:dyDescent="0.25">
      <c r="A1103" s="2">
        <v>44692</v>
      </c>
      <c r="B1103" s="4" t="s">
        <v>31</v>
      </c>
      <c r="C1103">
        <v>1788</v>
      </c>
      <c r="D1103" t="s">
        <v>8</v>
      </c>
      <c r="E1103" t="str">
        <f>IF(may[[#This Row],[ShiftCounter]]&gt;0, "Running", "Down")</f>
        <v>Running</v>
      </c>
    </row>
    <row r="1104" spans="1:5" x14ac:dyDescent="0.25">
      <c r="A1104" s="2">
        <v>44692</v>
      </c>
      <c r="B1104" s="4" t="s">
        <v>32</v>
      </c>
      <c r="C1104">
        <v>2972</v>
      </c>
      <c r="D1104" t="s">
        <v>6</v>
      </c>
      <c r="E1104" t="str">
        <f>IF(may[[#This Row],[ShiftCounter]]&gt;0, "Running", "Down")</f>
        <v>Running</v>
      </c>
    </row>
    <row r="1105" spans="1:5" x14ac:dyDescent="0.25">
      <c r="A1105" s="2">
        <v>44692</v>
      </c>
      <c r="B1105" s="4" t="s">
        <v>32</v>
      </c>
      <c r="C1105">
        <v>1659</v>
      </c>
      <c r="D1105" t="s">
        <v>7</v>
      </c>
      <c r="E1105" t="str">
        <f>IF(may[[#This Row],[ShiftCounter]]&gt;0, "Running", "Down")</f>
        <v>Running</v>
      </c>
    </row>
    <row r="1106" spans="1:5" x14ac:dyDescent="0.25">
      <c r="A1106" s="2">
        <v>44692</v>
      </c>
      <c r="B1106" s="4" t="s">
        <v>32</v>
      </c>
      <c r="C1106">
        <v>1660</v>
      </c>
      <c r="D1106" t="s">
        <v>8</v>
      </c>
      <c r="E1106" t="str">
        <f>IF(may[[#This Row],[ShiftCounter]]&gt;0, "Running", "Down")</f>
        <v>Running</v>
      </c>
    </row>
    <row r="1107" spans="1:5" x14ac:dyDescent="0.25">
      <c r="A1107" s="2">
        <v>44692</v>
      </c>
      <c r="B1107" s="4" t="s">
        <v>33</v>
      </c>
      <c r="C1107">
        <v>2475</v>
      </c>
      <c r="D1107" t="s">
        <v>6</v>
      </c>
      <c r="E1107" t="str">
        <f>IF(may[[#This Row],[ShiftCounter]]&gt;0, "Running", "Down")</f>
        <v>Running</v>
      </c>
    </row>
    <row r="1108" spans="1:5" x14ac:dyDescent="0.25">
      <c r="A1108" s="2">
        <v>44692</v>
      </c>
      <c r="B1108" s="4" t="s">
        <v>33</v>
      </c>
      <c r="C1108">
        <v>2075</v>
      </c>
      <c r="D1108" t="s">
        <v>7</v>
      </c>
      <c r="E1108" t="str">
        <f>IF(may[[#This Row],[ShiftCounter]]&gt;0, "Running", "Down")</f>
        <v>Running</v>
      </c>
    </row>
    <row r="1109" spans="1:5" x14ac:dyDescent="0.25">
      <c r="A1109" s="2">
        <v>44692</v>
      </c>
      <c r="B1109" s="4" t="s">
        <v>33</v>
      </c>
      <c r="C1109">
        <v>2082</v>
      </c>
      <c r="D1109" t="s">
        <v>8</v>
      </c>
      <c r="E1109" t="str">
        <f>IF(may[[#This Row],[ShiftCounter]]&gt;0, "Running", "Down")</f>
        <v>Running</v>
      </c>
    </row>
    <row r="1110" spans="1:5" x14ac:dyDescent="0.25">
      <c r="A1110" s="2">
        <v>44692</v>
      </c>
      <c r="B1110" s="4" t="s">
        <v>34</v>
      </c>
      <c r="C1110">
        <v>2014</v>
      </c>
      <c r="D1110" t="s">
        <v>6</v>
      </c>
      <c r="E1110" t="str">
        <f>IF(may[[#This Row],[ShiftCounter]]&gt;0, "Running", "Down")</f>
        <v>Running</v>
      </c>
    </row>
    <row r="1111" spans="1:5" x14ac:dyDescent="0.25">
      <c r="A1111" s="2">
        <v>44692</v>
      </c>
      <c r="B1111" s="4" t="s">
        <v>34</v>
      </c>
      <c r="C1111">
        <v>1328</v>
      </c>
      <c r="D1111" t="s">
        <v>7</v>
      </c>
      <c r="E1111" t="str">
        <f>IF(may[[#This Row],[ShiftCounter]]&gt;0, "Running", "Down")</f>
        <v>Running</v>
      </c>
    </row>
    <row r="1112" spans="1:5" x14ac:dyDescent="0.25">
      <c r="A1112" s="2">
        <v>44692</v>
      </c>
      <c r="B1112" s="4" t="s">
        <v>34</v>
      </c>
      <c r="C1112">
        <v>1602</v>
      </c>
      <c r="D1112" t="s">
        <v>8</v>
      </c>
      <c r="E1112" t="str">
        <f>IF(may[[#This Row],[ShiftCounter]]&gt;0, "Running", "Down")</f>
        <v>Running</v>
      </c>
    </row>
    <row r="1113" spans="1:5" x14ac:dyDescent="0.25">
      <c r="A1113" s="2">
        <v>44692</v>
      </c>
      <c r="B1113" s="4" t="s">
        <v>35</v>
      </c>
      <c r="C1113">
        <v>2486</v>
      </c>
      <c r="D1113" t="s">
        <v>6</v>
      </c>
      <c r="E1113" t="str">
        <f>IF(may[[#This Row],[ShiftCounter]]&gt;0, "Running", "Down")</f>
        <v>Running</v>
      </c>
    </row>
    <row r="1114" spans="1:5" x14ac:dyDescent="0.25">
      <c r="A1114" s="2">
        <v>44692</v>
      </c>
      <c r="B1114" s="4" t="s">
        <v>35</v>
      </c>
      <c r="C1114">
        <v>2199</v>
      </c>
      <c r="D1114" t="s">
        <v>7</v>
      </c>
      <c r="E1114" t="str">
        <f>IF(may[[#This Row],[ShiftCounter]]&gt;0, "Running", "Down")</f>
        <v>Running</v>
      </c>
    </row>
    <row r="1115" spans="1:5" x14ac:dyDescent="0.25">
      <c r="A1115" s="2">
        <v>44692</v>
      </c>
      <c r="B1115" s="4" t="s">
        <v>35</v>
      </c>
      <c r="C1115">
        <v>2224</v>
      </c>
      <c r="D1115" t="s">
        <v>8</v>
      </c>
      <c r="E1115" t="str">
        <f>IF(may[[#This Row],[ShiftCounter]]&gt;0, "Running", "Down")</f>
        <v>Running</v>
      </c>
    </row>
    <row r="1116" spans="1:5" x14ac:dyDescent="0.25">
      <c r="A1116" s="2">
        <v>44692</v>
      </c>
      <c r="B1116" s="4" t="s">
        <v>36</v>
      </c>
      <c r="C1116">
        <v>2252</v>
      </c>
      <c r="D1116" t="s">
        <v>6</v>
      </c>
      <c r="E1116" t="str">
        <f>IF(may[[#This Row],[ShiftCounter]]&gt;0, "Running", "Down")</f>
        <v>Running</v>
      </c>
    </row>
    <row r="1117" spans="1:5" x14ac:dyDescent="0.25">
      <c r="A1117" s="2">
        <v>44692</v>
      </c>
      <c r="B1117" s="4" t="s">
        <v>36</v>
      </c>
      <c r="C1117">
        <v>1809</v>
      </c>
      <c r="D1117" t="s">
        <v>7</v>
      </c>
      <c r="E1117" t="str">
        <f>IF(may[[#This Row],[ShiftCounter]]&gt;0, "Running", "Down")</f>
        <v>Running</v>
      </c>
    </row>
    <row r="1118" spans="1:5" x14ac:dyDescent="0.25">
      <c r="A1118" s="2">
        <v>44692</v>
      </c>
      <c r="B1118" s="4" t="s">
        <v>36</v>
      </c>
      <c r="C1118">
        <v>2021</v>
      </c>
      <c r="D1118" t="s">
        <v>8</v>
      </c>
      <c r="E1118" t="str">
        <f>IF(may[[#This Row],[ShiftCounter]]&gt;0, "Running", "Down")</f>
        <v>Running</v>
      </c>
    </row>
    <row r="1119" spans="1:5" x14ac:dyDescent="0.25">
      <c r="A1119" s="2">
        <v>44692</v>
      </c>
      <c r="B1119" s="4" t="s">
        <v>37</v>
      </c>
      <c r="C1119">
        <v>1968</v>
      </c>
      <c r="D1119" t="s">
        <v>6</v>
      </c>
      <c r="E1119" t="str">
        <f>IF(may[[#This Row],[ShiftCounter]]&gt;0, "Running", "Down")</f>
        <v>Running</v>
      </c>
    </row>
    <row r="1120" spans="1:5" x14ac:dyDescent="0.25">
      <c r="A1120" s="2">
        <v>44692</v>
      </c>
      <c r="B1120" s="4" t="s">
        <v>37</v>
      </c>
      <c r="C1120">
        <v>1898</v>
      </c>
      <c r="D1120" t="s">
        <v>7</v>
      </c>
      <c r="E1120" t="str">
        <f>IF(may[[#This Row],[ShiftCounter]]&gt;0, "Running", "Down")</f>
        <v>Running</v>
      </c>
    </row>
    <row r="1121" spans="1:5" x14ac:dyDescent="0.25">
      <c r="A1121" s="2">
        <v>44692</v>
      </c>
      <c r="B1121" s="4" t="s">
        <v>37</v>
      </c>
      <c r="C1121">
        <v>2233</v>
      </c>
      <c r="D1121" t="s">
        <v>8</v>
      </c>
      <c r="E1121" t="str">
        <f>IF(may[[#This Row],[ShiftCounter]]&gt;0, "Running", "Down")</f>
        <v>Running</v>
      </c>
    </row>
    <row r="1122" spans="1:5" x14ac:dyDescent="0.25">
      <c r="A1122" s="10">
        <v>44693</v>
      </c>
      <c r="B1122" s="11" t="s">
        <v>40</v>
      </c>
      <c r="C1122">
        <v>1586</v>
      </c>
      <c r="D1122" t="s">
        <v>6</v>
      </c>
      <c r="E1122" t="str">
        <f>IF(may[[#This Row],[ShiftCounter]]&gt;0, "Running", "Down")</f>
        <v>Running</v>
      </c>
    </row>
    <row r="1123" spans="1:5" x14ac:dyDescent="0.25">
      <c r="A1123" s="10">
        <v>44693</v>
      </c>
      <c r="B1123" s="11" t="s">
        <v>40</v>
      </c>
      <c r="C1123">
        <v>2261</v>
      </c>
      <c r="D1123" t="s">
        <v>7</v>
      </c>
      <c r="E1123" t="str">
        <f>IF(may[[#This Row],[ShiftCounter]]&gt;0, "Running", "Down")</f>
        <v>Running</v>
      </c>
    </row>
    <row r="1124" spans="1:5" x14ac:dyDescent="0.25">
      <c r="A1124" s="10">
        <v>44693</v>
      </c>
      <c r="B1124" s="11" t="s">
        <v>40</v>
      </c>
      <c r="C1124">
        <v>1993</v>
      </c>
      <c r="D1124" t="s">
        <v>8</v>
      </c>
      <c r="E1124" t="str">
        <f>IF(may[[#This Row],[ShiftCounter]]&gt;0, "Running", "Down")</f>
        <v>Running</v>
      </c>
    </row>
    <row r="1125" spans="1:5" x14ac:dyDescent="0.25">
      <c r="A1125" s="10">
        <v>44693</v>
      </c>
      <c r="B1125" s="11" t="s">
        <v>39</v>
      </c>
      <c r="C1125">
        <v>2057</v>
      </c>
      <c r="D1125" t="s">
        <v>6</v>
      </c>
      <c r="E1125" t="str">
        <f>IF(may[[#This Row],[ShiftCounter]]&gt;0, "Running", "Down")</f>
        <v>Running</v>
      </c>
    </row>
    <row r="1126" spans="1:5" x14ac:dyDescent="0.25">
      <c r="A1126" s="10">
        <v>44693</v>
      </c>
      <c r="B1126" s="11" t="s">
        <v>39</v>
      </c>
      <c r="C1126">
        <v>2006</v>
      </c>
      <c r="D1126" t="s">
        <v>7</v>
      </c>
      <c r="E1126" t="str">
        <f>IF(may[[#This Row],[ShiftCounter]]&gt;0, "Running", "Down")</f>
        <v>Running</v>
      </c>
    </row>
    <row r="1127" spans="1:5" x14ac:dyDescent="0.25">
      <c r="A1127" s="10">
        <v>44693</v>
      </c>
      <c r="B1127" s="11" t="s">
        <v>39</v>
      </c>
      <c r="C1127">
        <v>1740</v>
      </c>
      <c r="D1127" t="s">
        <v>8</v>
      </c>
      <c r="E1127" t="str">
        <f>IF(may[[#This Row],[ShiftCounter]]&gt;0, "Running", "Down")</f>
        <v>Running</v>
      </c>
    </row>
    <row r="1128" spans="1:5" x14ac:dyDescent="0.25">
      <c r="A1128" s="10">
        <v>44693</v>
      </c>
      <c r="B1128" s="11" t="s">
        <v>41</v>
      </c>
      <c r="C1128">
        <v>2507</v>
      </c>
      <c r="D1128" t="s">
        <v>6</v>
      </c>
      <c r="E1128" t="str">
        <f>IF(may[[#This Row],[ShiftCounter]]&gt;0, "Running", "Down")</f>
        <v>Running</v>
      </c>
    </row>
    <row r="1129" spans="1:5" x14ac:dyDescent="0.25">
      <c r="A1129" s="10">
        <v>44693</v>
      </c>
      <c r="B1129" s="11" t="s">
        <v>41</v>
      </c>
      <c r="C1129">
        <v>2292</v>
      </c>
      <c r="D1129" t="s">
        <v>7</v>
      </c>
      <c r="E1129" t="str">
        <f>IF(may[[#This Row],[ShiftCounter]]&gt;0, "Running", "Down")</f>
        <v>Running</v>
      </c>
    </row>
    <row r="1130" spans="1:5" x14ac:dyDescent="0.25">
      <c r="A1130" s="10">
        <v>44693</v>
      </c>
      <c r="B1130" s="11" t="s">
        <v>41</v>
      </c>
      <c r="C1130">
        <v>1840</v>
      </c>
      <c r="D1130" t="s">
        <v>8</v>
      </c>
      <c r="E1130" t="str">
        <f>IF(may[[#This Row],[ShiftCounter]]&gt;0, "Running", "Down")</f>
        <v>Running</v>
      </c>
    </row>
    <row r="1131" spans="1:5" x14ac:dyDescent="0.25">
      <c r="A1131" s="10">
        <v>44693</v>
      </c>
      <c r="B1131" s="11" t="s">
        <v>5</v>
      </c>
      <c r="C1131">
        <v>2314</v>
      </c>
      <c r="D1131" t="s">
        <v>6</v>
      </c>
      <c r="E1131" t="str">
        <f>IF(may[[#This Row],[ShiftCounter]]&gt;0, "Running", "Down")</f>
        <v>Running</v>
      </c>
    </row>
    <row r="1132" spans="1:5" x14ac:dyDescent="0.25">
      <c r="A1132" s="10">
        <v>44693</v>
      </c>
      <c r="B1132" s="11" t="s">
        <v>5</v>
      </c>
      <c r="C1132">
        <v>2160</v>
      </c>
      <c r="D1132" t="s">
        <v>7</v>
      </c>
      <c r="E1132" t="str">
        <f>IF(may[[#This Row],[ShiftCounter]]&gt;0, "Running", "Down")</f>
        <v>Running</v>
      </c>
    </row>
    <row r="1133" spans="1:5" x14ac:dyDescent="0.25">
      <c r="A1133" s="10">
        <v>44693</v>
      </c>
      <c r="B1133" s="11" t="s">
        <v>5</v>
      </c>
      <c r="C1133">
        <v>2040</v>
      </c>
      <c r="D1133" t="s">
        <v>8</v>
      </c>
      <c r="E1133" t="str">
        <f>IF(may[[#This Row],[ShiftCounter]]&gt;0, "Running", "Down")</f>
        <v>Running</v>
      </c>
    </row>
    <row r="1134" spans="1:5" x14ac:dyDescent="0.25">
      <c r="A1134" s="10">
        <v>44693</v>
      </c>
      <c r="B1134" s="11" t="s">
        <v>9</v>
      </c>
      <c r="C1134">
        <v>2423</v>
      </c>
      <c r="D1134" t="s">
        <v>6</v>
      </c>
      <c r="E1134" t="str">
        <f>IF(may[[#This Row],[ShiftCounter]]&gt;0, "Running", "Down")</f>
        <v>Running</v>
      </c>
    </row>
    <row r="1135" spans="1:5" x14ac:dyDescent="0.25">
      <c r="A1135" s="10">
        <v>44693</v>
      </c>
      <c r="B1135" s="11" t="s">
        <v>9</v>
      </c>
      <c r="C1135">
        <v>2305</v>
      </c>
      <c r="D1135" t="s">
        <v>7</v>
      </c>
      <c r="E1135" t="str">
        <f>IF(may[[#This Row],[ShiftCounter]]&gt;0, "Running", "Down")</f>
        <v>Running</v>
      </c>
    </row>
    <row r="1136" spans="1:5" x14ac:dyDescent="0.25">
      <c r="A1136" s="10">
        <v>44693</v>
      </c>
      <c r="B1136" s="11" t="s">
        <v>9</v>
      </c>
      <c r="C1136">
        <v>2062</v>
      </c>
      <c r="D1136" t="s">
        <v>8</v>
      </c>
      <c r="E1136" t="str">
        <f>IF(may[[#This Row],[ShiftCounter]]&gt;0, "Running", "Down")</f>
        <v>Running</v>
      </c>
    </row>
    <row r="1137" spans="1:5" x14ac:dyDescent="0.25">
      <c r="A1137" s="10">
        <v>44693</v>
      </c>
      <c r="B1137" s="11" t="s">
        <v>10</v>
      </c>
      <c r="C1137">
        <v>2346</v>
      </c>
      <c r="D1137" t="s">
        <v>6</v>
      </c>
      <c r="E1137" t="str">
        <f>IF(may[[#This Row],[ShiftCounter]]&gt;0, "Running", "Down")</f>
        <v>Running</v>
      </c>
    </row>
    <row r="1138" spans="1:5" x14ac:dyDescent="0.25">
      <c r="A1138" s="10">
        <v>44693</v>
      </c>
      <c r="B1138" s="11" t="s">
        <v>10</v>
      </c>
      <c r="C1138">
        <v>2245</v>
      </c>
      <c r="D1138" t="s">
        <v>7</v>
      </c>
      <c r="E1138" t="str">
        <f>IF(may[[#This Row],[ShiftCounter]]&gt;0, "Running", "Down")</f>
        <v>Running</v>
      </c>
    </row>
    <row r="1139" spans="1:5" x14ac:dyDescent="0.25">
      <c r="A1139" s="10">
        <v>44693</v>
      </c>
      <c r="B1139" s="11" t="s">
        <v>10</v>
      </c>
      <c r="C1139">
        <v>2030</v>
      </c>
      <c r="D1139" t="s">
        <v>8</v>
      </c>
      <c r="E1139" t="str">
        <f>IF(may[[#This Row],[ShiftCounter]]&gt;0, "Running", "Down")</f>
        <v>Running</v>
      </c>
    </row>
    <row r="1140" spans="1:5" x14ac:dyDescent="0.25">
      <c r="A1140" s="10">
        <v>44693</v>
      </c>
      <c r="B1140" s="11" t="s">
        <v>11</v>
      </c>
      <c r="C1140">
        <v>2472</v>
      </c>
      <c r="D1140" t="s">
        <v>6</v>
      </c>
      <c r="E1140" t="str">
        <f>IF(may[[#This Row],[ShiftCounter]]&gt;0, "Running", "Down")</f>
        <v>Running</v>
      </c>
    </row>
    <row r="1141" spans="1:5" x14ac:dyDescent="0.25">
      <c r="A1141" s="10">
        <v>44693</v>
      </c>
      <c r="B1141" s="11" t="s">
        <v>11</v>
      </c>
      <c r="C1141">
        <v>2053</v>
      </c>
      <c r="D1141" t="s">
        <v>7</v>
      </c>
      <c r="E1141" t="str">
        <f>IF(may[[#This Row],[ShiftCounter]]&gt;0, "Running", "Down")</f>
        <v>Running</v>
      </c>
    </row>
    <row r="1142" spans="1:5" x14ac:dyDescent="0.25">
      <c r="A1142" s="10">
        <v>44693</v>
      </c>
      <c r="B1142" s="11" t="s">
        <v>11</v>
      </c>
      <c r="C1142">
        <v>2106</v>
      </c>
      <c r="D1142" t="s">
        <v>8</v>
      </c>
      <c r="E1142" t="str">
        <f>IF(may[[#This Row],[ShiftCounter]]&gt;0, "Running", "Down")</f>
        <v>Running</v>
      </c>
    </row>
    <row r="1143" spans="1:5" x14ac:dyDescent="0.25">
      <c r="A1143" s="10">
        <v>44693</v>
      </c>
      <c r="B1143" s="11" t="s">
        <v>105</v>
      </c>
      <c r="C1143">
        <v>1090</v>
      </c>
      <c r="D1143" t="s">
        <v>6</v>
      </c>
      <c r="E1143" t="str">
        <f>IF(may[[#This Row],[ShiftCounter]]&gt;0, "Running", "Down")</f>
        <v>Running</v>
      </c>
    </row>
    <row r="1144" spans="1:5" x14ac:dyDescent="0.25">
      <c r="A1144" s="10">
        <v>44693</v>
      </c>
      <c r="B1144" s="11" t="s">
        <v>105</v>
      </c>
      <c r="C1144">
        <v>1089</v>
      </c>
      <c r="D1144" t="s">
        <v>7</v>
      </c>
      <c r="E1144" t="str">
        <f>IF(may[[#This Row],[ShiftCounter]]&gt;0, "Running", "Down")</f>
        <v>Running</v>
      </c>
    </row>
    <row r="1145" spans="1:5" x14ac:dyDescent="0.25">
      <c r="A1145" s="10">
        <v>44693</v>
      </c>
      <c r="B1145" s="11" t="s">
        <v>105</v>
      </c>
      <c r="C1145">
        <v>1512</v>
      </c>
      <c r="D1145" t="s">
        <v>8</v>
      </c>
      <c r="E1145" t="str">
        <f>IF(may[[#This Row],[ShiftCounter]]&gt;0, "Running", "Down")</f>
        <v>Running</v>
      </c>
    </row>
    <row r="1146" spans="1:5" x14ac:dyDescent="0.25">
      <c r="A1146" s="10">
        <v>44693</v>
      </c>
      <c r="B1146" s="11" t="s">
        <v>12</v>
      </c>
      <c r="C1146">
        <v>1508</v>
      </c>
      <c r="D1146" t="s">
        <v>6</v>
      </c>
      <c r="E1146" t="str">
        <f>IF(may[[#This Row],[ShiftCounter]]&gt;0, "Running", "Down")</f>
        <v>Running</v>
      </c>
    </row>
    <row r="1147" spans="1:5" x14ac:dyDescent="0.25">
      <c r="A1147" s="10">
        <v>44693</v>
      </c>
      <c r="B1147" s="11" t="s">
        <v>12</v>
      </c>
      <c r="C1147">
        <v>2092</v>
      </c>
      <c r="D1147" t="s">
        <v>7</v>
      </c>
      <c r="E1147" t="str">
        <f>IF(may[[#This Row],[ShiftCounter]]&gt;0, "Running", "Down")</f>
        <v>Running</v>
      </c>
    </row>
    <row r="1148" spans="1:5" x14ac:dyDescent="0.25">
      <c r="A1148" s="10">
        <v>44693</v>
      </c>
      <c r="B1148" s="11" t="s">
        <v>12</v>
      </c>
      <c r="C1148">
        <v>1865</v>
      </c>
      <c r="D1148" t="s">
        <v>8</v>
      </c>
      <c r="E1148" t="str">
        <f>IF(may[[#This Row],[ShiftCounter]]&gt;0, "Running", "Down")</f>
        <v>Running</v>
      </c>
    </row>
    <row r="1149" spans="1:5" x14ac:dyDescent="0.25">
      <c r="A1149" s="10">
        <v>44693</v>
      </c>
      <c r="B1149" s="11" t="s">
        <v>15</v>
      </c>
      <c r="C1149">
        <v>2203</v>
      </c>
      <c r="D1149" t="s">
        <v>6</v>
      </c>
      <c r="E1149" t="str">
        <f>IF(may[[#This Row],[ShiftCounter]]&gt;0, "Running", "Down")</f>
        <v>Running</v>
      </c>
    </row>
    <row r="1150" spans="1:5" x14ac:dyDescent="0.25">
      <c r="A1150" s="10">
        <v>44693</v>
      </c>
      <c r="B1150" s="11" t="s">
        <v>15</v>
      </c>
      <c r="C1150">
        <v>1946</v>
      </c>
      <c r="D1150" t="s">
        <v>7</v>
      </c>
      <c r="E1150" t="str">
        <f>IF(may[[#This Row],[ShiftCounter]]&gt;0, "Running", "Down")</f>
        <v>Running</v>
      </c>
    </row>
    <row r="1151" spans="1:5" x14ac:dyDescent="0.25">
      <c r="A1151" s="10">
        <v>44693</v>
      </c>
      <c r="B1151" s="11" t="s">
        <v>15</v>
      </c>
      <c r="C1151">
        <v>1904</v>
      </c>
      <c r="D1151" t="s">
        <v>8</v>
      </c>
      <c r="E1151" t="str">
        <f>IF(may[[#This Row],[ShiftCounter]]&gt;0, "Running", "Down")</f>
        <v>Running</v>
      </c>
    </row>
    <row r="1152" spans="1:5" x14ac:dyDescent="0.25">
      <c r="A1152" s="10">
        <v>44693</v>
      </c>
      <c r="B1152" s="11" t="s">
        <v>101</v>
      </c>
      <c r="C1152">
        <v>3396</v>
      </c>
      <c r="D1152" t="s">
        <v>6</v>
      </c>
      <c r="E1152" t="str">
        <f>IF(may[[#This Row],[ShiftCounter]]&gt;0, "Running", "Down")</f>
        <v>Running</v>
      </c>
    </row>
    <row r="1153" spans="1:5" x14ac:dyDescent="0.25">
      <c r="A1153" s="10">
        <v>44693</v>
      </c>
      <c r="B1153" s="11" t="s">
        <v>101</v>
      </c>
      <c r="C1153">
        <v>3396</v>
      </c>
      <c r="D1153" t="s">
        <v>7</v>
      </c>
      <c r="E1153" t="str">
        <f>IF(may[[#This Row],[ShiftCounter]]&gt;0, "Running", "Down")</f>
        <v>Running</v>
      </c>
    </row>
    <row r="1154" spans="1:5" x14ac:dyDescent="0.25">
      <c r="A1154" s="10">
        <v>44693</v>
      </c>
      <c r="B1154" s="11" t="s">
        <v>101</v>
      </c>
      <c r="C1154">
        <v>1705</v>
      </c>
      <c r="D1154" t="s">
        <v>8</v>
      </c>
      <c r="E1154" t="str">
        <f>IF(may[[#This Row],[ShiftCounter]]&gt;0, "Running", "Down")</f>
        <v>Running</v>
      </c>
    </row>
    <row r="1155" spans="1:5" x14ac:dyDescent="0.25">
      <c r="A1155" s="10">
        <v>44693</v>
      </c>
      <c r="B1155" s="11" t="s">
        <v>13</v>
      </c>
      <c r="C1155">
        <v>2358</v>
      </c>
      <c r="D1155" t="s">
        <v>6</v>
      </c>
      <c r="E1155" t="str">
        <f>IF(may[[#This Row],[ShiftCounter]]&gt;0, "Running", "Down")</f>
        <v>Running</v>
      </c>
    </row>
    <row r="1156" spans="1:5" x14ac:dyDescent="0.25">
      <c r="A1156" s="10">
        <v>44693</v>
      </c>
      <c r="B1156" s="11" t="s">
        <v>13</v>
      </c>
      <c r="C1156">
        <v>2132</v>
      </c>
      <c r="D1156" t="s">
        <v>7</v>
      </c>
      <c r="E1156" t="str">
        <f>IF(may[[#This Row],[ShiftCounter]]&gt;0, "Running", "Down")</f>
        <v>Running</v>
      </c>
    </row>
    <row r="1157" spans="1:5" x14ac:dyDescent="0.25">
      <c r="A1157" s="10">
        <v>44693</v>
      </c>
      <c r="B1157" s="11" t="s">
        <v>13</v>
      </c>
      <c r="C1157">
        <v>1938</v>
      </c>
      <c r="D1157" t="s">
        <v>8</v>
      </c>
      <c r="E1157" t="str">
        <f>IF(may[[#This Row],[ShiftCounter]]&gt;0, "Running", "Down")</f>
        <v>Running</v>
      </c>
    </row>
    <row r="1158" spans="1:5" x14ac:dyDescent="0.25">
      <c r="A1158" s="10">
        <v>44693</v>
      </c>
      <c r="B1158" s="11" t="s">
        <v>14</v>
      </c>
      <c r="C1158">
        <v>1901</v>
      </c>
      <c r="D1158" t="s">
        <v>6</v>
      </c>
      <c r="E1158" t="str">
        <f>IF(may[[#This Row],[ShiftCounter]]&gt;0, "Running", "Down")</f>
        <v>Running</v>
      </c>
    </row>
    <row r="1159" spans="1:5" x14ac:dyDescent="0.25">
      <c r="A1159" s="10">
        <v>44693</v>
      </c>
      <c r="B1159" s="11" t="s">
        <v>14</v>
      </c>
      <c r="C1159">
        <v>1704</v>
      </c>
      <c r="D1159" t="s">
        <v>7</v>
      </c>
      <c r="E1159" t="str">
        <f>IF(may[[#This Row],[ShiftCounter]]&gt;0, "Running", "Down")</f>
        <v>Running</v>
      </c>
    </row>
    <row r="1160" spans="1:5" x14ac:dyDescent="0.25">
      <c r="A1160" s="10">
        <v>44693</v>
      </c>
      <c r="B1160" s="11" t="s">
        <v>14</v>
      </c>
      <c r="C1160">
        <v>1591</v>
      </c>
      <c r="D1160" t="s">
        <v>8</v>
      </c>
      <c r="E1160" t="str">
        <f>IF(may[[#This Row],[ShiftCounter]]&gt;0, "Running", "Down")</f>
        <v>Running</v>
      </c>
    </row>
    <row r="1161" spans="1:5" x14ac:dyDescent="0.25">
      <c r="A1161" s="10">
        <v>44693</v>
      </c>
      <c r="B1161" s="11" t="s">
        <v>16</v>
      </c>
      <c r="C1161">
        <v>2505</v>
      </c>
      <c r="D1161" t="s">
        <v>6</v>
      </c>
      <c r="E1161" t="str">
        <f>IF(may[[#This Row],[ShiftCounter]]&gt;0, "Running", "Down")</f>
        <v>Running</v>
      </c>
    </row>
    <row r="1162" spans="1:5" x14ac:dyDescent="0.25">
      <c r="A1162" s="10">
        <v>44693</v>
      </c>
      <c r="B1162" s="11" t="s">
        <v>16</v>
      </c>
      <c r="C1162">
        <v>2207</v>
      </c>
      <c r="D1162" t="s">
        <v>7</v>
      </c>
      <c r="E1162" t="str">
        <f>IF(may[[#This Row],[ShiftCounter]]&gt;0, "Running", "Down")</f>
        <v>Running</v>
      </c>
    </row>
    <row r="1163" spans="1:5" x14ac:dyDescent="0.25">
      <c r="A1163" s="10">
        <v>44693</v>
      </c>
      <c r="B1163" s="11" t="s">
        <v>16</v>
      </c>
      <c r="C1163">
        <v>2194</v>
      </c>
      <c r="D1163" t="s">
        <v>8</v>
      </c>
      <c r="E1163" t="str">
        <f>IF(may[[#This Row],[ShiftCounter]]&gt;0, "Running", "Down")</f>
        <v>Running</v>
      </c>
    </row>
    <row r="1164" spans="1:5" x14ac:dyDescent="0.25">
      <c r="A1164" s="10">
        <v>44693</v>
      </c>
      <c r="B1164" s="11" t="s">
        <v>17</v>
      </c>
      <c r="C1164">
        <v>1538</v>
      </c>
      <c r="D1164" t="s">
        <v>6</v>
      </c>
      <c r="E1164" t="str">
        <f>IF(may[[#This Row],[ShiftCounter]]&gt;0, "Running", "Down")</f>
        <v>Running</v>
      </c>
    </row>
    <row r="1165" spans="1:5" x14ac:dyDescent="0.25">
      <c r="A1165" s="10">
        <v>44693</v>
      </c>
      <c r="B1165" s="11" t="s">
        <v>17</v>
      </c>
      <c r="C1165">
        <v>1539</v>
      </c>
      <c r="D1165" t="s">
        <v>7</v>
      </c>
      <c r="E1165" t="str">
        <f>IF(may[[#This Row],[ShiftCounter]]&gt;0, "Running", "Down")</f>
        <v>Running</v>
      </c>
    </row>
    <row r="1166" spans="1:5" x14ac:dyDescent="0.25">
      <c r="A1166" s="10">
        <v>44693</v>
      </c>
      <c r="B1166" s="11" t="s">
        <v>17</v>
      </c>
      <c r="C1166">
        <v>1962</v>
      </c>
      <c r="D1166" t="s">
        <v>8</v>
      </c>
      <c r="E1166" t="str">
        <f>IF(may[[#This Row],[ShiftCounter]]&gt;0, "Running", "Down")</f>
        <v>Running</v>
      </c>
    </row>
    <row r="1167" spans="1:5" x14ac:dyDescent="0.25">
      <c r="A1167" s="10">
        <v>44693</v>
      </c>
      <c r="B1167" s="11" t="s">
        <v>18</v>
      </c>
      <c r="C1167">
        <v>2433</v>
      </c>
      <c r="D1167" t="s">
        <v>6</v>
      </c>
      <c r="E1167" t="str">
        <f>IF(may[[#This Row],[ShiftCounter]]&gt;0, "Running", "Down")</f>
        <v>Running</v>
      </c>
    </row>
    <row r="1168" spans="1:5" x14ac:dyDescent="0.25">
      <c r="A1168" s="10">
        <v>44693</v>
      </c>
      <c r="B1168" s="11" t="s">
        <v>18</v>
      </c>
      <c r="C1168">
        <v>2259</v>
      </c>
      <c r="D1168" t="s">
        <v>7</v>
      </c>
      <c r="E1168" t="str">
        <f>IF(may[[#This Row],[ShiftCounter]]&gt;0, "Running", "Down")</f>
        <v>Running</v>
      </c>
    </row>
    <row r="1169" spans="1:5" x14ac:dyDescent="0.25">
      <c r="A1169" s="10">
        <v>44693</v>
      </c>
      <c r="B1169" s="11" t="s">
        <v>18</v>
      </c>
      <c r="C1169">
        <v>2218</v>
      </c>
      <c r="D1169" t="s">
        <v>8</v>
      </c>
      <c r="E1169" t="str">
        <f>IF(may[[#This Row],[ShiftCounter]]&gt;0, "Running", "Down")</f>
        <v>Running</v>
      </c>
    </row>
    <row r="1170" spans="1:5" x14ac:dyDescent="0.25">
      <c r="A1170" s="10">
        <v>44693</v>
      </c>
      <c r="B1170" s="11" t="s">
        <v>19</v>
      </c>
      <c r="C1170">
        <v>2057</v>
      </c>
      <c r="D1170" t="s">
        <v>6</v>
      </c>
      <c r="E1170" t="str">
        <f>IF(may[[#This Row],[ShiftCounter]]&gt;0, "Running", "Down")</f>
        <v>Running</v>
      </c>
    </row>
    <row r="1171" spans="1:5" x14ac:dyDescent="0.25">
      <c r="A1171" s="10">
        <v>44693</v>
      </c>
      <c r="B1171" s="11" t="s">
        <v>19</v>
      </c>
      <c r="C1171">
        <v>1868</v>
      </c>
      <c r="D1171" t="s">
        <v>7</v>
      </c>
      <c r="E1171" t="str">
        <f>IF(may[[#This Row],[ShiftCounter]]&gt;0, "Running", "Down")</f>
        <v>Running</v>
      </c>
    </row>
    <row r="1172" spans="1:5" x14ac:dyDescent="0.25">
      <c r="A1172" s="10">
        <v>44693</v>
      </c>
      <c r="B1172" s="11" t="s">
        <v>19</v>
      </c>
      <c r="C1172">
        <v>1482</v>
      </c>
      <c r="D1172" t="s">
        <v>8</v>
      </c>
      <c r="E1172" t="str">
        <f>IF(may[[#This Row],[ShiftCounter]]&gt;0, "Running", "Down")</f>
        <v>Running</v>
      </c>
    </row>
    <row r="1173" spans="1:5" x14ac:dyDescent="0.25">
      <c r="A1173" s="10">
        <v>44693</v>
      </c>
      <c r="B1173" s="11" t="s">
        <v>42</v>
      </c>
      <c r="C1173">
        <v>600</v>
      </c>
      <c r="D1173" t="s">
        <v>6</v>
      </c>
      <c r="E1173" t="str">
        <f>IF(may[[#This Row],[ShiftCounter]]&gt;0, "Running", "Down")</f>
        <v>Running</v>
      </c>
    </row>
    <row r="1174" spans="1:5" x14ac:dyDescent="0.25">
      <c r="A1174" s="10">
        <v>44693</v>
      </c>
      <c r="B1174" s="11" t="s">
        <v>42</v>
      </c>
      <c r="C1174">
        <v>2163</v>
      </c>
      <c r="D1174" t="s">
        <v>7</v>
      </c>
      <c r="E1174" t="str">
        <f>IF(may[[#This Row],[ShiftCounter]]&gt;0, "Running", "Down")</f>
        <v>Running</v>
      </c>
    </row>
    <row r="1175" spans="1:5" x14ac:dyDescent="0.25">
      <c r="A1175" s="10">
        <v>44693</v>
      </c>
      <c r="B1175" s="11" t="s">
        <v>42</v>
      </c>
      <c r="C1175">
        <v>2039</v>
      </c>
      <c r="D1175" t="s">
        <v>8</v>
      </c>
      <c r="E1175" t="str">
        <f>IF(may[[#This Row],[ShiftCounter]]&gt;0, "Running", "Down")</f>
        <v>Running</v>
      </c>
    </row>
    <row r="1176" spans="1:5" x14ac:dyDescent="0.25">
      <c r="A1176" s="10">
        <v>44693</v>
      </c>
      <c r="B1176" s="11" t="s">
        <v>20</v>
      </c>
      <c r="C1176">
        <v>2099</v>
      </c>
      <c r="D1176" t="s">
        <v>6</v>
      </c>
      <c r="E1176" t="str">
        <f>IF(may[[#This Row],[ShiftCounter]]&gt;0, "Running", "Down")</f>
        <v>Running</v>
      </c>
    </row>
    <row r="1177" spans="1:5" x14ac:dyDescent="0.25">
      <c r="A1177" s="10">
        <v>44693</v>
      </c>
      <c r="B1177" s="11" t="s">
        <v>20</v>
      </c>
      <c r="C1177">
        <v>2094</v>
      </c>
      <c r="D1177" t="s">
        <v>7</v>
      </c>
      <c r="E1177" t="str">
        <f>IF(may[[#This Row],[ShiftCounter]]&gt;0, "Running", "Down")</f>
        <v>Running</v>
      </c>
    </row>
    <row r="1178" spans="1:5" x14ac:dyDescent="0.25">
      <c r="A1178" s="10">
        <v>44693</v>
      </c>
      <c r="B1178" s="11" t="s">
        <v>20</v>
      </c>
      <c r="C1178">
        <v>1916</v>
      </c>
      <c r="D1178" t="s">
        <v>8</v>
      </c>
      <c r="E1178" t="str">
        <f>IF(may[[#This Row],[ShiftCounter]]&gt;0, "Running", "Down")</f>
        <v>Running</v>
      </c>
    </row>
    <row r="1179" spans="1:5" x14ac:dyDescent="0.25">
      <c r="A1179" s="10">
        <v>44693</v>
      </c>
      <c r="B1179" s="11" t="s">
        <v>21</v>
      </c>
      <c r="C1179">
        <v>2143</v>
      </c>
      <c r="D1179" t="s">
        <v>6</v>
      </c>
      <c r="E1179" t="str">
        <f>IF(may[[#This Row],[ShiftCounter]]&gt;0, "Running", "Down")</f>
        <v>Running</v>
      </c>
    </row>
    <row r="1180" spans="1:5" x14ac:dyDescent="0.25">
      <c r="A1180" s="10">
        <v>44693</v>
      </c>
      <c r="B1180" s="11" t="s">
        <v>21</v>
      </c>
      <c r="C1180">
        <v>2089</v>
      </c>
      <c r="D1180" t="s">
        <v>7</v>
      </c>
      <c r="E1180" t="str">
        <f>IF(may[[#This Row],[ShiftCounter]]&gt;0, "Running", "Down")</f>
        <v>Running</v>
      </c>
    </row>
    <row r="1181" spans="1:5" x14ac:dyDescent="0.25">
      <c r="A1181" s="10">
        <v>44693</v>
      </c>
      <c r="B1181" s="11" t="s">
        <v>21</v>
      </c>
      <c r="C1181">
        <v>1874</v>
      </c>
      <c r="D1181" t="s">
        <v>8</v>
      </c>
      <c r="E1181" t="str">
        <f>IF(may[[#This Row],[ShiftCounter]]&gt;0, "Running", "Down")</f>
        <v>Running</v>
      </c>
    </row>
    <row r="1182" spans="1:5" x14ac:dyDescent="0.25">
      <c r="A1182" s="10">
        <v>44693</v>
      </c>
      <c r="B1182" s="11" t="s">
        <v>22</v>
      </c>
      <c r="C1182">
        <v>2275</v>
      </c>
      <c r="D1182" t="s">
        <v>6</v>
      </c>
      <c r="E1182" t="str">
        <f>IF(may[[#This Row],[ShiftCounter]]&gt;0, "Running", "Down")</f>
        <v>Running</v>
      </c>
    </row>
    <row r="1183" spans="1:5" x14ac:dyDescent="0.25">
      <c r="A1183" s="10">
        <v>44693</v>
      </c>
      <c r="B1183" s="11" t="s">
        <v>22</v>
      </c>
      <c r="C1183">
        <v>2284</v>
      </c>
      <c r="D1183" t="s">
        <v>7</v>
      </c>
      <c r="E1183" t="str">
        <f>IF(may[[#This Row],[ShiftCounter]]&gt;0, "Running", "Down")</f>
        <v>Running</v>
      </c>
    </row>
    <row r="1184" spans="1:5" x14ac:dyDescent="0.25">
      <c r="A1184" s="10">
        <v>44693</v>
      </c>
      <c r="B1184" s="11" t="s">
        <v>22</v>
      </c>
      <c r="C1184">
        <v>1935</v>
      </c>
      <c r="D1184" t="s">
        <v>8</v>
      </c>
      <c r="E1184" t="str">
        <f>IF(may[[#This Row],[ShiftCounter]]&gt;0, "Running", "Down")</f>
        <v>Running</v>
      </c>
    </row>
    <row r="1185" spans="1:5" x14ac:dyDescent="0.25">
      <c r="A1185" s="10">
        <v>44693</v>
      </c>
      <c r="B1185" s="11" t="s">
        <v>23</v>
      </c>
      <c r="C1185">
        <v>2372</v>
      </c>
      <c r="D1185" t="s">
        <v>6</v>
      </c>
      <c r="E1185" t="str">
        <f>IF(may[[#This Row],[ShiftCounter]]&gt;0, "Running", "Down")</f>
        <v>Running</v>
      </c>
    </row>
    <row r="1186" spans="1:5" x14ac:dyDescent="0.25">
      <c r="A1186" s="10">
        <v>44693</v>
      </c>
      <c r="B1186" s="11" t="s">
        <v>23</v>
      </c>
      <c r="C1186">
        <v>2395</v>
      </c>
      <c r="D1186" t="s">
        <v>7</v>
      </c>
      <c r="E1186" t="str">
        <f>IF(may[[#This Row],[ShiftCounter]]&gt;0, "Running", "Down")</f>
        <v>Running</v>
      </c>
    </row>
    <row r="1187" spans="1:5" x14ac:dyDescent="0.25">
      <c r="A1187" s="10">
        <v>44693</v>
      </c>
      <c r="B1187" s="11" t="s">
        <v>23</v>
      </c>
      <c r="C1187">
        <v>2164</v>
      </c>
      <c r="D1187" t="s">
        <v>8</v>
      </c>
      <c r="E1187" t="str">
        <f>IF(may[[#This Row],[ShiftCounter]]&gt;0, "Running", "Down")</f>
        <v>Running</v>
      </c>
    </row>
    <row r="1188" spans="1:5" x14ac:dyDescent="0.25">
      <c r="A1188" s="10">
        <v>44693</v>
      </c>
      <c r="B1188" s="11" t="s">
        <v>24</v>
      </c>
      <c r="C1188">
        <v>2213</v>
      </c>
      <c r="D1188" t="s">
        <v>6</v>
      </c>
      <c r="E1188" t="str">
        <f>IF(may[[#This Row],[ShiftCounter]]&gt;0, "Running", "Down")</f>
        <v>Running</v>
      </c>
    </row>
    <row r="1189" spans="1:5" x14ac:dyDescent="0.25">
      <c r="A1189" s="10">
        <v>44693</v>
      </c>
      <c r="B1189" s="11" t="s">
        <v>24</v>
      </c>
      <c r="C1189">
        <v>2083</v>
      </c>
      <c r="D1189" t="s">
        <v>7</v>
      </c>
      <c r="E1189" t="str">
        <f>IF(may[[#This Row],[ShiftCounter]]&gt;0, "Running", "Down")</f>
        <v>Running</v>
      </c>
    </row>
    <row r="1190" spans="1:5" x14ac:dyDescent="0.25">
      <c r="A1190" s="10">
        <v>44693</v>
      </c>
      <c r="B1190" s="11" t="s">
        <v>24</v>
      </c>
      <c r="C1190">
        <v>1911</v>
      </c>
      <c r="D1190" t="s">
        <v>8</v>
      </c>
      <c r="E1190" t="str">
        <f>IF(may[[#This Row],[ShiftCounter]]&gt;0, "Running", "Down")</f>
        <v>Running</v>
      </c>
    </row>
    <row r="1191" spans="1:5" x14ac:dyDescent="0.25">
      <c r="A1191" s="10">
        <v>44693</v>
      </c>
      <c r="B1191" s="11" t="s">
        <v>25</v>
      </c>
      <c r="C1191">
        <v>2402</v>
      </c>
      <c r="D1191" t="s">
        <v>6</v>
      </c>
      <c r="E1191" t="str">
        <f>IF(may[[#This Row],[ShiftCounter]]&gt;0, "Running", "Down")</f>
        <v>Running</v>
      </c>
    </row>
    <row r="1192" spans="1:5" x14ac:dyDescent="0.25">
      <c r="A1192" s="10">
        <v>44693</v>
      </c>
      <c r="B1192" s="11" t="s">
        <v>25</v>
      </c>
      <c r="C1192">
        <v>2225</v>
      </c>
      <c r="D1192" t="s">
        <v>7</v>
      </c>
      <c r="E1192" t="str">
        <f>IF(may[[#This Row],[ShiftCounter]]&gt;0, "Running", "Down")</f>
        <v>Running</v>
      </c>
    </row>
    <row r="1193" spans="1:5" x14ac:dyDescent="0.25">
      <c r="A1193" s="10">
        <v>44693</v>
      </c>
      <c r="B1193" s="11" t="s">
        <v>25</v>
      </c>
      <c r="C1193">
        <v>2011</v>
      </c>
      <c r="D1193" t="s">
        <v>8</v>
      </c>
      <c r="E1193" t="str">
        <f>IF(may[[#This Row],[ShiftCounter]]&gt;0, "Running", "Down")</f>
        <v>Running</v>
      </c>
    </row>
    <row r="1194" spans="1:5" x14ac:dyDescent="0.25">
      <c r="A1194" s="10">
        <v>44693</v>
      </c>
      <c r="B1194" s="11" t="s">
        <v>26</v>
      </c>
      <c r="C1194">
        <v>2124</v>
      </c>
      <c r="D1194" t="s">
        <v>6</v>
      </c>
      <c r="E1194" t="str">
        <f>IF(may[[#This Row],[ShiftCounter]]&gt;0, "Running", "Down")</f>
        <v>Running</v>
      </c>
    </row>
    <row r="1195" spans="1:5" x14ac:dyDescent="0.25">
      <c r="A1195" s="10">
        <v>44693</v>
      </c>
      <c r="B1195" s="11" t="s">
        <v>26</v>
      </c>
      <c r="C1195">
        <v>2120</v>
      </c>
      <c r="D1195" t="s">
        <v>7</v>
      </c>
      <c r="E1195" t="str">
        <f>IF(may[[#This Row],[ShiftCounter]]&gt;0, "Running", "Down")</f>
        <v>Running</v>
      </c>
    </row>
    <row r="1196" spans="1:5" x14ac:dyDescent="0.25">
      <c r="A1196" s="10">
        <v>44693</v>
      </c>
      <c r="B1196" s="11" t="s">
        <v>26</v>
      </c>
      <c r="C1196">
        <v>1863</v>
      </c>
      <c r="D1196" t="s">
        <v>8</v>
      </c>
      <c r="E1196" t="str">
        <f>IF(may[[#This Row],[ShiftCounter]]&gt;0, "Running", "Down")</f>
        <v>Running</v>
      </c>
    </row>
    <row r="1197" spans="1:5" x14ac:dyDescent="0.25">
      <c r="A1197" s="10">
        <v>44693</v>
      </c>
      <c r="B1197" s="11" t="s">
        <v>27</v>
      </c>
      <c r="C1197">
        <v>2540</v>
      </c>
      <c r="D1197" t="s">
        <v>6</v>
      </c>
      <c r="E1197" t="str">
        <f>IF(may[[#This Row],[ShiftCounter]]&gt;0, "Running", "Down")</f>
        <v>Running</v>
      </c>
    </row>
    <row r="1198" spans="1:5" x14ac:dyDescent="0.25">
      <c r="A1198" s="10">
        <v>44693</v>
      </c>
      <c r="B1198" s="11" t="s">
        <v>27</v>
      </c>
      <c r="C1198">
        <v>2192</v>
      </c>
      <c r="D1198" t="s">
        <v>7</v>
      </c>
      <c r="E1198" t="str">
        <f>IF(may[[#This Row],[ShiftCounter]]&gt;0, "Running", "Down")</f>
        <v>Running</v>
      </c>
    </row>
    <row r="1199" spans="1:5" x14ac:dyDescent="0.25">
      <c r="A1199" s="10">
        <v>44693</v>
      </c>
      <c r="B1199" s="11" t="s">
        <v>27</v>
      </c>
      <c r="C1199">
        <v>1920</v>
      </c>
      <c r="D1199" t="s">
        <v>8</v>
      </c>
      <c r="E1199" t="str">
        <f>IF(may[[#This Row],[ShiftCounter]]&gt;0, "Running", "Down")</f>
        <v>Running</v>
      </c>
    </row>
    <row r="1200" spans="1:5" x14ac:dyDescent="0.25">
      <c r="A1200" s="10">
        <v>44693</v>
      </c>
      <c r="B1200" s="11" t="s">
        <v>28</v>
      </c>
      <c r="C1200">
        <v>2328</v>
      </c>
      <c r="D1200" t="s">
        <v>6</v>
      </c>
      <c r="E1200" t="str">
        <f>IF(may[[#This Row],[ShiftCounter]]&gt;0, "Running", "Down")</f>
        <v>Running</v>
      </c>
    </row>
    <row r="1201" spans="1:5" x14ac:dyDescent="0.25">
      <c r="A1201" s="10">
        <v>44693</v>
      </c>
      <c r="B1201" s="11" t="s">
        <v>28</v>
      </c>
      <c r="C1201">
        <v>2087</v>
      </c>
      <c r="D1201" t="s">
        <v>7</v>
      </c>
      <c r="E1201" t="str">
        <f>IF(may[[#This Row],[ShiftCounter]]&gt;0, "Running", "Down")</f>
        <v>Running</v>
      </c>
    </row>
    <row r="1202" spans="1:5" x14ac:dyDescent="0.25">
      <c r="A1202" s="10">
        <v>44693</v>
      </c>
      <c r="B1202" s="11" t="s">
        <v>28</v>
      </c>
      <c r="C1202">
        <v>1815</v>
      </c>
      <c r="D1202" t="s">
        <v>8</v>
      </c>
      <c r="E1202" t="str">
        <f>IF(may[[#This Row],[ShiftCounter]]&gt;0, "Running", "Down")</f>
        <v>Running</v>
      </c>
    </row>
    <row r="1203" spans="1:5" x14ac:dyDescent="0.25">
      <c r="A1203" s="10">
        <v>44693</v>
      </c>
      <c r="B1203" s="11" t="s">
        <v>29</v>
      </c>
      <c r="C1203">
        <v>2204</v>
      </c>
      <c r="D1203" t="s">
        <v>6</v>
      </c>
      <c r="E1203" t="str">
        <f>IF(may[[#This Row],[ShiftCounter]]&gt;0, "Running", "Down")</f>
        <v>Running</v>
      </c>
    </row>
    <row r="1204" spans="1:5" x14ac:dyDescent="0.25">
      <c r="A1204" s="10">
        <v>44693</v>
      </c>
      <c r="B1204" s="11" t="s">
        <v>29</v>
      </c>
      <c r="C1204">
        <v>2020</v>
      </c>
      <c r="D1204" t="s">
        <v>7</v>
      </c>
      <c r="E1204" t="str">
        <f>IF(may[[#This Row],[ShiftCounter]]&gt;0, "Running", "Down")</f>
        <v>Running</v>
      </c>
    </row>
    <row r="1205" spans="1:5" x14ac:dyDescent="0.25">
      <c r="A1205" s="10">
        <v>44693</v>
      </c>
      <c r="B1205" s="11" t="s">
        <v>29</v>
      </c>
      <c r="C1205">
        <v>1733</v>
      </c>
      <c r="D1205" t="s">
        <v>8</v>
      </c>
      <c r="E1205" t="str">
        <f>IF(may[[#This Row],[ShiftCounter]]&gt;0, "Running", "Down")</f>
        <v>Running</v>
      </c>
    </row>
    <row r="1206" spans="1:5" x14ac:dyDescent="0.25">
      <c r="A1206" s="10">
        <v>44693</v>
      </c>
      <c r="B1206" s="11" t="s">
        <v>30</v>
      </c>
      <c r="C1206">
        <v>2281</v>
      </c>
      <c r="D1206" t="s">
        <v>6</v>
      </c>
      <c r="E1206" t="str">
        <f>IF(may[[#This Row],[ShiftCounter]]&gt;0, "Running", "Down")</f>
        <v>Running</v>
      </c>
    </row>
    <row r="1207" spans="1:5" x14ac:dyDescent="0.25">
      <c r="A1207" s="10">
        <v>44693</v>
      </c>
      <c r="B1207" s="11" t="s">
        <v>30</v>
      </c>
      <c r="C1207">
        <v>2244</v>
      </c>
      <c r="D1207" t="s">
        <v>7</v>
      </c>
      <c r="E1207" t="str">
        <f>IF(may[[#This Row],[ShiftCounter]]&gt;0, "Running", "Down")</f>
        <v>Running</v>
      </c>
    </row>
    <row r="1208" spans="1:5" x14ac:dyDescent="0.25">
      <c r="A1208" s="10">
        <v>44693</v>
      </c>
      <c r="B1208" s="11" t="s">
        <v>30</v>
      </c>
      <c r="C1208">
        <v>1946</v>
      </c>
      <c r="D1208" t="s">
        <v>8</v>
      </c>
      <c r="E1208" t="str">
        <f>IF(may[[#This Row],[ShiftCounter]]&gt;0, "Running", "Down")</f>
        <v>Running</v>
      </c>
    </row>
    <row r="1209" spans="1:5" x14ac:dyDescent="0.25">
      <c r="A1209" s="10">
        <v>44693</v>
      </c>
      <c r="B1209" s="11" t="s">
        <v>31</v>
      </c>
      <c r="C1209">
        <v>2442</v>
      </c>
      <c r="D1209" t="s">
        <v>6</v>
      </c>
      <c r="E1209" t="str">
        <f>IF(may[[#This Row],[ShiftCounter]]&gt;0, "Running", "Down")</f>
        <v>Running</v>
      </c>
    </row>
    <row r="1210" spans="1:5" x14ac:dyDescent="0.25">
      <c r="A1210" s="10">
        <v>44693</v>
      </c>
      <c r="B1210" s="11" t="s">
        <v>31</v>
      </c>
      <c r="C1210">
        <v>2068</v>
      </c>
      <c r="D1210" t="s">
        <v>7</v>
      </c>
      <c r="E1210" t="str">
        <f>IF(may[[#This Row],[ShiftCounter]]&gt;0, "Running", "Down")</f>
        <v>Running</v>
      </c>
    </row>
    <row r="1211" spans="1:5" x14ac:dyDescent="0.25">
      <c r="A1211" s="10">
        <v>44693</v>
      </c>
      <c r="B1211" s="11" t="s">
        <v>31</v>
      </c>
      <c r="C1211">
        <v>1836</v>
      </c>
      <c r="D1211" t="s">
        <v>8</v>
      </c>
      <c r="E1211" t="str">
        <f>IF(may[[#This Row],[ShiftCounter]]&gt;0, "Running", "Down")</f>
        <v>Running</v>
      </c>
    </row>
    <row r="1212" spans="1:5" x14ac:dyDescent="0.25">
      <c r="A1212" s="10">
        <v>44693</v>
      </c>
      <c r="B1212" s="11" t="s">
        <v>32</v>
      </c>
      <c r="C1212">
        <v>2117</v>
      </c>
      <c r="D1212" t="s">
        <v>6</v>
      </c>
      <c r="E1212" t="str">
        <f>IF(may[[#This Row],[ShiftCounter]]&gt;0, "Running", "Down")</f>
        <v>Running</v>
      </c>
    </row>
    <row r="1213" spans="1:5" x14ac:dyDescent="0.25">
      <c r="A1213" s="10">
        <v>44693</v>
      </c>
      <c r="B1213" s="11" t="s">
        <v>32</v>
      </c>
      <c r="C1213">
        <v>1981</v>
      </c>
      <c r="D1213" t="s">
        <v>7</v>
      </c>
      <c r="E1213" t="str">
        <f>IF(may[[#This Row],[ShiftCounter]]&gt;0, "Running", "Down")</f>
        <v>Running</v>
      </c>
    </row>
    <row r="1214" spans="1:5" x14ac:dyDescent="0.25">
      <c r="A1214" s="10">
        <v>44693</v>
      </c>
      <c r="B1214" s="11" t="s">
        <v>32</v>
      </c>
      <c r="C1214">
        <v>1893</v>
      </c>
      <c r="D1214" t="s">
        <v>8</v>
      </c>
      <c r="E1214" t="str">
        <f>IF(may[[#This Row],[ShiftCounter]]&gt;0, "Running", "Down")</f>
        <v>Running</v>
      </c>
    </row>
    <row r="1215" spans="1:5" x14ac:dyDescent="0.25">
      <c r="A1215" s="10">
        <v>44693</v>
      </c>
      <c r="B1215" s="11" t="s">
        <v>33</v>
      </c>
      <c r="C1215">
        <v>2495</v>
      </c>
      <c r="D1215" t="s">
        <v>6</v>
      </c>
      <c r="E1215" t="str">
        <f>IF(may[[#This Row],[ShiftCounter]]&gt;0, "Running", "Down")</f>
        <v>Running</v>
      </c>
    </row>
    <row r="1216" spans="1:5" x14ac:dyDescent="0.25">
      <c r="A1216" s="10">
        <v>44693</v>
      </c>
      <c r="B1216" s="11" t="s">
        <v>33</v>
      </c>
      <c r="C1216">
        <v>2131</v>
      </c>
      <c r="D1216" t="s">
        <v>7</v>
      </c>
      <c r="E1216" t="str">
        <f>IF(may[[#This Row],[ShiftCounter]]&gt;0, "Running", "Down")</f>
        <v>Running</v>
      </c>
    </row>
    <row r="1217" spans="1:5" x14ac:dyDescent="0.25">
      <c r="A1217" s="10">
        <v>44693</v>
      </c>
      <c r="B1217" s="11" t="s">
        <v>33</v>
      </c>
      <c r="C1217">
        <v>2201</v>
      </c>
      <c r="D1217" t="s">
        <v>8</v>
      </c>
      <c r="E1217" t="str">
        <f>IF(may[[#This Row],[ShiftCounter]]&gt;0, "Running", "Down")</f>
        <v>Running</v>
      </c>
    </row>
    <row r="1218" spans="1:5" x14ac:dyDescent="0.25">
      <c r="A1218" s="10">
        <v>44693</v>
      </c>
      <c r="B1218" s="11" t="s">
        <v>35</v>
      </c>
      <c r="C1218">
        <v>2546</v>
      </c>
      <c r="D1218" t="s">
        <v>6</v>
      </c>
      <c r="E1218" t="str">
        <f>IF(may[[#This Row],[ShiftCounter]]&gt;0, "Running", "Down")</f>
        <v>Running</v>
      </c>
    </row>
    <row r="1219" spans="1:5" x14ac:dyDescent="0.25">
      <c r="A1219" s="10">
        <v>44693</v>
      </c>
      <c r="B1219" s="11" t="s">
        <v>35</v>
      </c>
      <c r="C1219">
        <v>2316</v>
      </c>
      <c r="D1219" t="s">
        <v>7</v>
      </c>
      <c r="E1219" t="str">
        <f>IF(may[[#This Row],[ShiftCounter]]&gt;0, "Running", "Down")</f>
        <v>Running</v>
      </c>
    </row>
    <row r="1220" spans="1:5" x14ac:dyDescent="0.25">
      <c r="A1220" s="10">
        <v>44693</v>
      </c>
      <c r="B1220" s="11" t="s">
        <v>35</v>
      </c>
      <c r="C1220">
        <v>2325</v>
      </c>
      <c r="D1220" t="s">
        <v>8</v>
      </c>
      <c r="E1220" t="str">
        <f>IF(may[[#This Row],[ShiftCounter]]&gt;0, "Running", "Down")</f>
        <v>Running</v>
      </c>
    </row>
    <row r="1221" spans="1:5" x14ac:dyDescent="0.25">
      <c r="A1221" s="10">
        <v>44693</v>
      </c>
      <c r="B1221" s="11" t="s">
        <v>34</v>
      </c>
      <c r="C1221">
        <v>1876</v>
      </c>
      <c r="D1221" t="s">
        <v>6</v>
      </c>
      <c r="E1221" t="str">
        <f>IF(may[[#This Row],[ShiftCounter]]&gt;0, "Running", "Down")</f>
        <v>Running</v>
      </c>
    </row>
    <row r="1222" spans="1:5" x14ac:dyDescent="0.25">
      <c r="A1222" s="10">
        <v>44693</v>
      </c>
      <c r="B1222" s="11" t="s">
        <v>34</v>
      </c>
      <c r="C1222">
        <v>1707</v>
      </c>
      <c r="D1222" t="s">
        <v>7</v>
      </c>
      <c r="E1222" t="str">
        <f>IF(may[[#This Row],[ShiftCounter]]&gt;0, "Running", "Down")</f>
        <v>Running</v>
      </c>
    </row>
    <row r="1223" spans="1:5" x14ac:dyDescent="0.25">
      <c r="A1223" s="10">
        <v>44693</v>
      </c>
      <c r="B1223" s="11" t="s">
        <v>34</v>
      </c>
      <c r="C1223">
        <v>1771</v>
      </c>
      <c r="D1223" t="s">
        <v>8</v>
      </c>
      <c r="E1223" t="str">
        <f>IF(may[[#This Row],[ShiftCounter]]&gt;0, "Running", "Down")</f>
        <v>Running</v>
      </c>
    </row>
    <row r="1224" spans="1:5" x14ac:dyDescent="0.25">
      <c r="A1224" s="10">
        <v>44693</v>
      </c>
      <c r="B1224" s="11" t="s">
        <v>36</v>
      </c>
      <c r="C1224">
        <v>2315</v>
      </c>
      <c r="D1224" t="s">
        <v>6</v>
      </c>
      <c r="E1224" t="str">
        <f>IF(may[[#This Row],[ShiftCounter]]&gt;0, "Running", "Down")</f>
        <v>Running</v>
      </c>
    </row>
    <row r="1225" spans="1:5" x14ac:dyDescent="0.25">
      <c r="A1225" s="10">
        <v>44693</v>
      </c>
      <c r="B1225" s="11" t="s">
        <v>36</v>
      </c>
      <c r="C1225">
        <v>2115</v>
      </c>
      <c r="D1225" t="s">
        <v>7</v>
      </c>
      <c r="E1225" t="str">
        <f>IF(may[[#This Row],[ShiftCounter]]&gt;0, "Running", "Down")</f>
        <v>Running</v>
      </c>
    </row>
    <row r="1226" spans="1:5" x14ac:dyDescent="0.25">
      <c r="A1226" s="10">
        <v>44693</v>
      </c>
      <c r="B1226" s="11" t="s">
        <v>36</v>
      </c>
      <c r="C1226">
        <v>2032</v>
      </c>
      <c r="D1226" t="s">
        <v>8</v>
      </c>
      <c r="E1226" t="str">
        <f>IF(may[[#This Row],[ShiftCounter]]&gt;0, "Running", "Down")</f>
        <v>Running</v>
      </c>
    </row>
    <row r="1227" spans="1:5" x14ac:dyDescent="0.25">
      <c r="A1227" s="10">
        <v>44693</v>
      </c>
      <c r="B1227" s="11" t="s">
        <v>37</v>
      </c>
      <c r="C1227">
        <v>2205</v>
      </c>
      <c r="D1227" t="s">
        <v>6</v>
      </c>
      <c r="E1227" t="str">
        <f>IF(may[[#This Row],[ShiftCounter]]&gt;0, "Running", "Down")</f>
        <v>Running</v>
      </c>
    </row>
    <row r="1228" spans="1:5" x14ac:dyDescent="0.25">
      <c r="A1228" s="10">
        <v>44693</v>
      </c>
      <c r="B1228" s="11" t="s">
        <v>37</v>
      </c>
      <c r="C1228">
        <v>2209</v>
      </c>
      <c r="D1228" t="s">
        <v>7</v>
      </c>
      <c r="E1228" t="str">
        <f>IF(may[[#This Row],[ShiftCounter]]&gt;0, "Running", "Down")</f>
        <v>Running</v>
      </c>
    </row>
    <row r="1229" spans="1:5" x14ac:dyDescent="0.25">
      <c r="A1229" s="10">
        <v>44693</v>
      </c>
      <c r="B1229" s="11" t="s">
        <v>37</v>
      </c>
      <c r="C1229">
        <v>2153</v>
      </c>
      <c r="D1229" t="s">
        <v>8</v>
      </c>
      <c r="E1229" t="str">
        <f>IF(may[[#This Row],[ShiftCounter]]&gt;0, "Running", "Down")</f>
        <v>Running</v>
      </c>
    </row>
    <row r="1230" spans="1:5" x14ac:dyDescent="0.25">
      <c r="A1230" s="10">
        <v>44694</v>
      </c>
      <c r="B1230" s="11" t="s">
        <v>40</v>
      </c>
      <c r="C1230">
        <v>2478</v>
      </c>
      <c r="D1230" t="s">
        <v>6</v>
      </c>
      <c r="E1230" t="str">
        <f>IF(may[[#This Row],[ShiftCounter]]&gt;0, "Running", "Down")</f>
        <v>Running</v>
      </c>
    </row>
    <row r="1231" spans="1:5" x14ac:dyDescent="0.25">
      <c r="A1231" s="10">
        <v>44694</v>
      </c>
      <c r="B1231" s="11" t="s">
        <v>40</v>
      </c>
      <c r="C1231">
        <v>2356</v>
      </c>
      <c r="D1231" t="s">
        <v>7</v>
      </c>
      <c r="E1231" t="str">
        <f>IF(may[[#This Row],[ShiftCounter]]&gt;0, "Running", "Down")</f>
        <v>Running</v>
      </c>
    </row>
    <row r="1232" spans="1:5" x14ac:dyDescent="0.25">
      <c r="A1232" s="10">
        <v>44694</v>
      </c>
      <c r="B1232" s="11" t="s">
        <v>40</v>
      </c>
      <c r="C1232">
        <v>2060</v>
      </c>
      <c r="D1232" t="s">
        <v>8</v>
      </c>
      <c r="E1232" t="str">
        <f>IF(may[[#This Row],[ShiftCounter]]&gt;0, "Running", "Down")</f>
        <v>Running</v>
      </c>
    </row>
    <row r="1233" spans="1:5" x14ac:dyDescent="0.25">
      <c r="A1233" s="10">
        <v>44694</v>
      </c>
      <c r="B1233" s="11" t="s">
        <v>39</v>
      </c>
      <c r="C1233">
        <v>2294</v>
      </c>
      <c r="D1233" t="s">
        <v>6</v>
      </c>
      <c r="E1233" t="str">
        <f>IF(may[[#This Row],[ShiftCounter]]&gt;0, "Running", "Down")</f>
        <v>Running</v>
      </c>
    </row>
    <row r="1234" spans="1:5" x14ac:dyDescent="0.25">
      <c r="A1234" s="10">
        <v>44694</v>
      </c>
      <c r="B1234" s="11" t="s">
        <v>39</v>
      </c>
      <c r="C1234">
        <v>2153</v>
      </c>
      <c r="D1234" t="s">
        <v>7</v>
      </c>
      <c r="E1234" t="str">
        <f>IF(may[[#This Row],[ShiftCounter]]&gt;0, "Running", "Down")</f>
        <v>Running</v>
      </c>
    </row>
    <row r="1235" spans="1:5" x14ac:dyDescent="0.25">
      <c r="A1235" s="10">
        <v>44694</v>
      </c>
      <c r="B1235" s="11" t="s">
        <v>39</v>
      </c>
      <c r="C1235">
        <v>1895</v>
      </c>
      <c r="D1235" t="s">
        <v>8</v>
      </c>
      <c r="E1235" t="str">
        <f>IF(may[[#This Row],[ShiftCounter]]&gt;0, "Running", "Down")</f>
        <v>Running</v>
      </c>
    </row>
    <row r="1236" spans="1:5" x14ac:dyDescent="0.25">
      <c r="A1236" s="10">
        <v>44694</v>
      </c>
      <c r="B1236" s="11" t="s">
        <v>41</v>
      </c>
      <c r="C1236">
        <v>2576</v>
      </c>
      <c r="D1236" t="s">
        <v>6</v>
      </c>
      <c r="E1236" t="str">
        <f>IF(may[[#This Row],[ShiftCounter]]&gt;0, "Running", "Down")</f>
        <v>Running</v>
      </c>
    </row>
    <row r="1237" spans="1:5" x14ac:dyDescent="0.25">
      <c r="A1237" s="10">
        <v>44694</v>
      </c>
      <c r="B1237" s="11" t="s">
        <v>41</v>
      </c>
      <c r="C1237">
        <v>2496</v>
      </c>
      <c r="D1237" t="s">
        <v>7</v>
      </c>
      <c r="E1237" t="str">
        <f>IF(may[[#This Row],[ShiftCounter]]&gt;0, "Running", "Down")</f>
        <v>Running</v>
      </c>
    </row>
    <row r="1238" spans="1:5" x14ac:dyDescent="0.25">
      <c r="A1238" s="10">
        <v>44694</v>
      </c>
      <c r="B1238" s="11" t="s">
        <v>41</v>
      </c>
      <c r="C1238">
        <v>860</v>
      </c>
      <c r="D1238" t="s">
        <v>8</v>
      </c>
      <c r="E1238" t="str">
        <f>IF(may[[#This Row],[ShiftCounter]]&gt;0, "Running", "Down")</f>
        <v>Running</v>
      </c>
    </row>
    <row r="1239" spans="1:5" x14ac:dyDescent="0.25">
      <c r="A1239" s="10">
        <v>44694</v>
      </c>
      <c r="B1239" s="11" t="s">
        <v>9</v>
      </c>
      <c r="C1239">
        <v>-1</v>
      </c>
      <c r="D1239" t="s">
        <v>6</v>
      </c>
      <c r="E1239" t="str">
        <f>IF(may[[#This Row],[ShiftCounter]]&gt;0, "Running", "Down")</f>
        <v>Down</v>
      </c>
    </row>
    <row r="1240" spans="1:5" x14ac:dyDescent="0.25">
      <c r="A1240" s="10">
        <v>44694</v>
      </c>
      <c r="B1240" s="11" t="s">
        <v>9</v>
      </c>
      <c r="C1240">
        <v>2429</v>
      </c>
      <c r="D1240" t="s">
        <v>7</v>
      </c>
      <c r="E1240" t="str">
        <f>IF(may[[#This Row],[ShiftCounter]]&gt;0, "Running", "Down")</f>
        <v>Running</v>
      </c>
    </row>
    <row r="1241" spans="1:5" x14ac:dyDescent="0.25">
      <c r="A1241" s="10">
        <v>44694</v>
      </c>
      <c r="B1241" s="11" t="s">
        <v>9</v>
      </c>
      <c r="C1241">
        <v>2190</v>
      </c>
      <c r="D1241" t="s">
        <v>8</v>
      </c>
      <c r="E1241" t="str">
        <f>IF(may[[#This Row],[ShiftCounter]]&gt;0, "Running", "Down")</f>
        <v>Running</v>
      </c>
    </row>
    <row r="1242" spans="1:5" x14ac:dyDescent="0.25">
      <c r="A1242" s="10">
        <v>44694</v>
      </c>
      <c r="B1242" s="11" t="s">
        <v>5</v>
      </c>
      <c r="C1242">
        <v>2584</v>
      </c>
      <c r="D1242" t="s">
        <v>6</v>
      </c>
      <c r="E1242" t="str">
        <f>IF(may[[#This Row],[ShiftCounter]]&gt;0, "Running", "Down")</f>
        <v>Running</v>
      </c>
    </row>
    <row r="1243" spans="1:5" x14ac:dyDescent="0.25">
      <c r="A1243" s="10">
        <v>44694</v>
      </c>
      <c r="B1243" s="11" t="s">
        <v>5</v>
      </c>
      <c r="C1243">
        <v>2459</v>
      </c>
      <c r="D1243" t="s">
        <v>7</v>
      </c>
      <c r="E1243" t="str">
        <f>IF(may[[#This Row],[ShiftCounter]]&gt;0, "Running", "Down")</f>
        <v>Running</v>
      </c>
    </row>
    <row r="1244" spans="1:5" x14ac:dyDescent="0.25">
      <c r="A1244" s="10">
        <v>44694</v>
      </c>
      <c r="B1244" s="11" t="s">
        <v>5</v>
      </c>
      <c r="C1244">
        <v>1990</v>
      </c>
      <c r="D1244" t="s">
        <v>8</v>
      </c>
      <c r="E1244" t="str">
        <f>IF(may[[#This Row],[ShiftCounter]]&gt;0, "Running", "Down")</f>
        <v>Running</v>
      </c>
    </row>
    <row r="1245" spans="1:5" x14ac:dyDescent="0.25">
      <c r="A1245" s="10">
        <v>44694</v>
      </c>
      <c r="B1245" s="11" t="s">
        <v>10</v>
      </c>
      <c r="C1245">
        <v>2457</v>
      </c>
      <c r="D1245" t="s">
        <v>6</v>
      </c>
      <c r="E1245" t="str">
        <f>IF(may[[#This Row],[ShiftCounter]]&gt;0, "Running", "Down")</f>
        <v>Running</v>
      </c>
    </row>
    <row r="1246" spans="1:5" x14ac:dyDescent="0.25">
      <c r="A1246" s="10">
        <v>44694</v>
      </c>
      <c r="B1246" s="11" t="s">
        <v>10</v>
      </c>
      <c r="C1246">
        <v>2397</v>
      </c>
      <c r="D1246" t="s">
        <v>7</v>
      </c>
      <c r="E1246" t="str">
        <f>IF(may[[#This Row],[ShiftCounter]]&gt;0, "Running", "Down")</f>
        <v>Running</v>
      </c>
    </row>
    <row r="1247" spans="1:5" x14ac:dyDescent="0.25">
      <c r="A1247" s="10">
        <v>44694</v>
      </c>
      <c r="B1247" s="11" t="s">
        <v>10</v>
      </c>
      <c r="C1247">
        <v>2140</v>
      </c>
      <c r="D1247" t="s">
        <v>8</v>
      </c>
      <c r="E1247" t="str">
        <f>IF(may[[#This Row],[ShiftCounter]]&gt;0, "Running", "Down")</f>
        <v>Running</v>
      </c>
    </row>
    <row r="1248" spans="1:5" x14ac:dyDescent="0.25">
      <c r="A1248" s="10">
        <v>44694</v>
      </c>
      <c r="B1248" s="11" t="s">
        <v>11</v>
      </c>
      <c r="C1248">
        <v>2410</v>
      </c>
      <c r="D1248" t="s">
        <v>6</v>
      </c>
      <c r="E1248" t="str">
        <f>IF(may[[#This Row],[ShiftCounter]]&gt;0, "Running", "Down")</f>
        <v>Running</v>
      </c>
    </row>
    <row r="1249" spans="1:5" x14ac:dyDescent="0.25">
      <c r="A1249" s="10">
        <v>44694</v>
      </c>
      <c r="B1249" s="11" t="s">
        <v>11</v>
      </c>
      <c r="C1249">
        <v>2386</v>
      </c>
      <c r="D1249" t="s">
        <v>7</v>
      </c>
      <c r="E1249" t="str">
        <f>IF(may[[#This Row],[ShiftCounter]]&gt;0, "Running", "Down")</f>
        <v>Running</v>
      </c>
    </row>
    <row r="1250" spans="1:5" x14ac:dyDescent="0.25">
      <c r="A1250" s="10">
        <v>44694</v>
      </c>
      <c r="B1250" s="11" t="s">
        <v>11</v>
      </c>
      <c r="C1250">
        <v>2210</v>
      </c>
      <c r="D1250" t="s">
        <v>8</v>
      </c>
      <c r="E1250" t="str">
        <f>IF(may[[#This Row],[ShiftCounter]]&gt;0, "Running", "Down")</f>
        <v>Running</v>
      </c>
    </row>
    <row r="1251" spans="1:5" x14ac:dyDescent="0.25">
      <c r="A1251" s="10">
        <v>44694</v>
      </c>
      <c r="B1251" s="11" t="s">
        <v>105</v>
      </c>
      <c r="C1251">
        <v>2070</v>
      </c>
      <c r="D1251" t="s">
        <v>6</v>
      </c>
      <c r="E1251" t="str">
        <f>IF(may[[#This Row],[ShiftCounter]]&gt;0, "Running", "Down")</f>
        <v>Running</v>
      </c>
    </row>
    <row r="1252" spans="1:5" x14ac:dyDescent="0.25">
      <c r="A1252" s="10">
        <v>44694</v>
      </c>
      <c r="B1252" s="11" t="s">
        <v>105</v>
      </c>
      <c r="C1252">
        <v>2097</v>
      </c>
      <c r="D1252" t="s">
        <v>7</v>
      </c>
      <c r="E1252" t="str">
        <f>IF(may[[#This Row],[ShiftCounter]]&gt;0, "Running", "Down")</f>
        <v>Running</v>
      </c>
    </row>
    <row r="1253" spans="1:5" x14ac:dyDescent="0.25">
      <c r="A1253" s="10">
        <v>44694</v>
      </c>
      <c r="B1253" s="11" t="s">
        <v>105</v>
      </c>
      <c r="C1253">
        <v>1935</v>
      </c>
      <c r="D1253" t="s">
        <v>8</v>
      </c>
      <c r="E1253" t="str">
        <f>IF(may[[#This Row],[ShiftCounter]]&gt;0, "Running", "Down")</f>
        <v>Running</v>
      </c>
    </row>
    <row r="1254" spans="1:5" x14ac:dyDescent="0.25">
      <c r="A1254" s="10">
        <v>44694</v>
      </c>
      <c r="B1254" s="11" t="s">
        <v>12</v>
      </c>
      <c r="C1254">
        <v>2270</v>
      </c>
      <c r="D1254" t="s">
        <v>6</v>
      </c>
      <c r="E1254" t="str">
        <f>IF(may[[#This Row],[ShiftCounter]]&gt;0, "Running", "Down")</f>
        <v>Running</v>
      </c>
    </row>
    <row r="1255" spans="1:5" x14ac:dyDescent="0.25">
      <c r="A1255" s="10">
        <v>44694</v>
      </c>
      <c r="B1255" s="11" t="s">
        <v>12</v>
      </c>
      <c r="C1255">
        <v>2186</v>
      </c>
      <c r="D1255" t="s">
        <v>7</v>
      </c>
      <c r="E1255" t="str">
        <f>IF(may[[#This Row],[ShiftCounter]]&gt;0, "Running", "Down")</f>
        <v>Running</v>
      </c>
    </row>
    <row r="1256" spans="1:5" x14ac:dyDescent="0.25">
      <c r="A1256" s="10">
        <v>44694</v>
      </c>
      <c r="B1256" s="11" t="s">
        <v>12</v>
      </c>
      <c r="C1256">
        <v>1945</v>
      </c>
      <c r="D1256" t="s">
        <v>8</v>
      </c>
      <c r="E1256" t="str">
        <f>IF(may[[#This Row],[ShiftCounter]]&gt;0, "Running", "Down")</f>
        <v>Running</v>
      </c>
    </row>
    <row r="1257" spans="1:5" x14ac:dyDescent="0.25">
      <c r="A1257" s="10">
        <v>44694</v>
      </c>
      <c r="B1257" s="11" t="s">
        <v>13</v>
      </c>
      <c r="C1257">
        <v>2388</v>
      </c>
      <c r="D1257" t="s">
        <v>6</v>
      </c>
      <c r="E1257" t="str">
        <f>IF(may[[#This Row],[ShiftCounter]]&gt;0, "Running", "Down")</f>
        <v>Running</v>
      </c>
    </row>
    <row r="1258" spans="1:5" x14ac:dyDescent="0.25">
      <c r="A1258" s="10">
        <v>44694</v>
      </c>
      <c r="B1258" s="11" t="s">
        <v>13</v>
      </c>
      <c r="C1258">
        <v>2234</v>
      </c>
      <c r="D1258" t="s">
        <v>7</v>
      </c>
      <c r="E1258" t="str">
        <f>IF(may[[#This Row],[ShiftCounter]]&gt;0, "Running", "Down")</f>
        <v>Running</v>
      </c>
    </row>
    <row r="1259" spans="1:5" x14ac:dyDescent="0.25">
      <c r="A1259" s="10">
        <v>44694</v>
      </c>
      <c r="B1259" s="11" t="s">
        <v>13</v>
      </c>
      <c r="C1259">
        <v>2157</v>
      </c>
      <c r="D1259" t="s">
        <v>8</v>
      </c>
      <c r="E1259" t="str">
        <f>IF(may[[#This Row],[ShiftCounter]]&gt;0, "Running", "Down")</f>
        <v>Running</v>
      </c>
    </row>
    <row r="1260" spans="1:5" x14ac:dyDescent="0.25">
      <c r="A1260" s="10">
        <v>44694</v>
      </c>
      <c r="B1260" s="11" t="s">
        <v>101</v>
      </c>
      <c r="C1260">
        <v>2068</v>
      </c>
      <c r="D1260" t="s">
        <v>6</v>
      </c>
      <c r="E1260" t="str">
        <f>IF(may[[#This Row],[ShiftCounter]]&gt;0, "Running", "Down")</f>
        <v>Running</v>
      </c>
    </row>
    <row r="1261" spans="1:5" x14ac:dyDescent="0.25">
      <c r="A1261" s="10">
        <v>44694</v>
      </c>
      <c r="B1261" s="11" t="s">
        <v>101</v>
      </c>
      <c r="C1261">
        <v>1960</v>
      </c>
      <c r="D1261" t="s">
        <v>7</v>
      </c>
      <c r="E1261" t="str">
        <f>IF(may[[#This Row],[ShiftCounter]]&gt;0, "Running", "Down")</f>
        <v>Running</v>
      </c>
    </row>
    <row r="1262" spans="1:5" x14ac:dyDescent="0.25">
      <c r="A1262" s="10">
        <v>44694</v>
      </c>
      <c r="B1262" s="11" t="s">
        <v>101</v>
      </c>
      <c r="C1262">
        <v>1871</v>
      </c>
      <c r="D1262" t="s">
        <v>8</v>
      </c>
      <c r="E1262" t="str">
        <f>IF(may[[#This Row],[ShiftCounter]]&gt;0, "Running", "Down")</f>
        <v>Running</v>
      </c>
    </row>
    <row r="1263" spans="1:5" x14ac:dyDescent="0.25">
      <c r="A1263" s="10">
        <v>44694</v>
      </c>
      <c r="B1263" s="11" t="s">
        <v>14</v>
      </c>
      <c r="C1263">
        <v>1891</v>
      </c>
      <c r="D1263" t="s">
        <v>6</v>
      </c>
      <c r="E1263" t="str">
        <f>IF(may[[#This Row],[ShiftCounter]]&gt;0, "Running", "Down")</f>
        <v>Running</v>
      </c>
    </row>
    <row r="1264" spans="1:5" x14ac:dyDescent="0.25">
      <c r="A1264" s="10">
        <v>44694</v>
      </c>
      <c r="B1264" s="11" t="s">
        <v>14</v>
      </c>
      <c r="C1264">
        <v>1836</v>
      </c>
      <c r="D1264" t="s">
        <v>7</v>
      </c>
      <c r="E1264" t="str">
        <f>IF(may[[#This Row],[ShiftCounter]]&gt;0, "Running", "Down")</f>
        <v>Running</v>
      </c>
    </row>
    <row r="1265" spans="1:5" x14ac:dyDescent="0.25">
      <c r="A1265" s="10">
        <v>44694</v>
      </c>
      <c r="B1265" s="11" t="s">
        <v>14</v>
      </c>
      <c r="C1265">
        <v>1730</v>
      </c>
      <c r="D1265" t="s">
        <v>8</v>
      </c>
      <c r="E1265" t="str">
        <f>IF(may[[#This Row],[ShiftCounter]]&gt;0, "Running", "Down")</f>
        <v>Running</v>
      </c>
    </row>
    <row r="1266" spans="1:5" x14ac:dyDescent="0.25">
      <c r="A1266" s="10">
        <v>44694</v>
      </c>
      <c r="B1266" s="11" t="s">
        <v>15</v>
      </c>
      <c r="C1266">
        <v>2132</v>
      </c>
      <c r="D1266" t="s">
        <v>6</v>
      </c>
      <c r="E1266" t="str">
        <f>IF(may[[#This Row],[ShiftCounter]]&gt;0, "Running", "Down")</f>
        <v>Running</v>
      </c>
    </row>
    <row r="1267" spans="1:5" x14ac:dyDescent="0.25">
      <c r="A1267" s="10">
        <v>44694</v>
      </c>
      <c r="B1267" s="11" t="s">
        <v>15</v>
      </c>
      <c r="C1267">
        <v>2126</v>
      </c>
      <c r="D1267" t="s">
        <v>7</v>
      </c>
      <c r="E1267" t="str">
        <f>IF(may[[#This Row],[ShiftCounter]]&gt;0, "Running", "Down")</f>
        <v>Running</v>
      </c>
    </row>
    <row r="1268" spans="1:5" x14ac:dyDescent="0.25">
      <c r="A1268" s="10">
        <v>44694</v>
      </c>
      <c r="B1268" s="11" t="s">
        <v>15</v>
      </c>
      <c r="C1268">
        <v>2003</v>
      </c>
      <c r="D1268" t="s">
        <v>8</v>
      </c>
      <c r="E1268" t="str">
        <f>IF(may[[#This Row],[ShiftCounter]]&gt;0, "Running", "Down")</f>
        <v>Running</v>
      </c>
    </row>
    <row r="1269" spans="1:5" x14ac:dyDescent="0.25">
      <c r="A1269" s="10">
        <v>44694</v>
      </c>
      <c r="B1269" s="11" t="s">
        <v>16</v>
      </c>
      <c r="C1269">
        <v>2440</v>
      </c>
      <c r="D1269" t="s">
        <v>6</v>
      </c>
      <c r="E1269" t="str">
        <f>IF(may[[#This Row],[ShiftCounter]]&gt;0, "Running", "Down")</f>
        <v>Running</v>
      </c>
    </row>
    <row r="1270" spans="1:5" x14ac:dyDescent="0.25">
      <c r="A1270" s="10">
        <v>44694</v>
      </c>
      <c r="B1270" s="11" t="s">
        <v>16</v>
      </c>
      <c r="C1270">
        <v>2403</v>
      </c>
      <c r="D1270" t="s">
        <v>7</v>
      </c>
      <c r="E1270" t="str">
        <f>IF(may[[#This Row],[ShiftCounter]]&gt;0, "Running", "Down")</f>
        <v>Running</v>
      </c>
    </row>
    <row r="1271" spans="1:5" x14ac:dyDescent="0.25">
      <c r="A1271" s="10">
        <v>44694</v>
      </c>
      <c r="B1271" s="11" t="s">
        <v>16</v>
      </c>
      <c r="C1271">
        <v>2272</v>
      </c>
      <c r="D1271" t="s">
        <v>8</v>
      </c>
      <c r="E1271" t="str">
        <f>IF(may[[#This Row],[ShiftCounter]]&gt;0, "Running", "Down")</f>
        <v>Running</v>
      </c>
    </row>
    <row r="1272" spans="1:5" x14ac:dyDescent="0.25">
      <c r="A1272" s="10">
        <v>44694</v>
      </c>
      <c r="B1272" s="11" t="s">
        <v>17</v>
      </c>
      <c r="C1272">
        <v>1646</v>
      </c>
      <c r="D1272" t="s">
        <v>6</v>
      </c>
      <c r="E1272" t="str">
        <f>IF(may[[#This Row],[ShiftCounter]]&gt;0, "Running", "Down")</f>
        <v>Running</v>
      </c>
    </row>
    <row r="1273" spans="1:5" x14ac:dyDescent="0.25">
      <c r="A1273" s="10">
        <v>44694</v>
      </c>
      <c r="B1273" s="11" t="s">
        <v>17</v>
      </c>
      <c r="C1273">
        <v>2210</v>
      </c>
      <c r="D1273" t="s">
        <v>7</v>
      </c>
      <c r="E1273" t="str">
        <f>IF(may[[#This Row],[ShiftCounter]]&gt;0, "Running", "Down")</f>
        <v>Running</v>
      </c>
    </row>
    <row r="1274" spans="1:5" x14ac:dyDescent="0.25">
      <c r="A1274" s="10">
        <v>44694</v>
      </c>
      <c r="B1274" s="11" t="s">
        <v>17</v>
      </c>
      <c r="C1274">
        <v>2133</v>
      </c>
      <c r="D1274" t="s">
        <v>8</v>
      </c>
      <c r="E1274" t="str">
        <f>IF(may[[#This Row],[ShiftCounter]]&gt;0, "Running", "Down")</f>
        <v>Running</v>
      </c>
    </row>
    <row r="1275" spans="1:5" x14ac:dyDescent="0.25">
      <c r="A1275" s="10">
        <v>44694</v>
      </c>
      <c r="B1275" s="11" t="s">
        <v>19</v>
      </c>
      <c r="C1275">
        <v>2114</v>
      </c>
      <c r="D1275" t="s">
        <v>6</v>
      </c>
      <c r="E1275" t="str">
        <f>IF(may[[#This Row],[ShiftCounter]]&gt;0, "Running", "Down")</f>
        <v>Running</v>
      </c>
    </row>
    <row r="1276" spans="1:5" x14ac:dyDescent="0.25">
      <c r="A1276" s="10">
        <v>44694</v>
      </c>
      <c r="B1276" s="11" t="s">
        <v>19</v>
      </c>
      <c r="C1276">
        <v>2102</v>
      </c>
      <c r="D1276" t="s">
        <v>7</v>
      </c>
      <c r="E1276" t="str">
        <f>IF(may[[#This Row],[ShiftCounter]]&gt;0, "Running", "Down")</f>
        <v>Running</v>
      </c>
    </row>
    <row r="1277" spans="1:5" x14ac:dyDescent="0.25">
      <c r="A1277" s="10">
        <v>44694</v>
      </c>
      <c r="B1277" s="11" t="s">
        <v>19</v>
      </c>
      <c r="C1277">
        <v>1776</v>
      </c>
      <c r="D1277" t="s">
        <v>8</v>
      </c>
      <c r="E1277" t="str">
        <f>IF(may[[#This Row],[ShiftCounter]]&gt;0, "Running", "Down")</f>
        <v>Running</v>
      </c>
    </row>
    <row r="1278" spans="1:5" x14ac:dyDescent="0.25">
      <c r="A1278" s="10">
        <v>44694</v>
      </c>
      <c r="B1278" s="11" t="s">
        <v>18</v>
      </c>
      <c r="C1278">
        <v>2421</v>
      </c>
      <c r="D1278" t="s">
        <v>6</v>
      </c>
      <c r="E1278" t="str">
        <f>IF(may[[#This Row],[ShiftCounter]]&gt;0, "Running", "Down")</f>
        <v>Running</v>
      </c>
    </row>
    <row r="1279" spans="1:5" x14ac:dyDescent="0.25">
      <c r="A1279" s="10">
        <v>44694</v>
      </c>
      <c r="B1279" s="11" t="s">
        <v>18</v>
      </c>
      <c r="C1279">
        <v>2441</v>
      </c>
      <c r="D1279" t="s">
        <v>7</v>
      </c>
      <c r="E1279" t="str">
        <f>IF(may[[#This Row],[ShiftCounter]]&gt;0, "Running", "Down")</f>
        <v>Running</v>
      </c>
    </row>
    <row r="1280" spans="1:5" x14ac:dyDescent="0.25">
      <c r="A1280" s="10">
        <v>44694</v>
      </c>
      <c r="B1280" s="11" t="s">
        <v>18</v>
      </c>
      <c r="C1280">
        <v>2178</v>
      </c>
      <c r="D1280" t="s">
        <v>8</v>
      </c>
      <c r="E1280" t="str">
        <f>IF(may[[#This Row],[ShiftCounter]]&gt;0, "Running", "Down")</f>
        <v>Running</v>
      </c>
    </row>
    <row r="1281" spans="1:5" x14ac:dyDescent="0.25">
      <c r="A1281" s="10">
        <v>44694</v>
      </c>
      <c r="B1281" s="11" t="s">
        <v>42</v>
      </c>
      <c r="C1281">
        <v>2132</v>
      </c>
      <c r="D1281" t="s">
        <v>6</v>
      </c>
      <c r="E1281" t="str">
        <f>IF(may[[#This Row],[ShiftCounter]]&gt;0, "Running", "Down")</f>
        <v>Running</v>
      </c>
    </row>
    <row r="1282" spans="1:5" x14ac:dyDescent="0.25">
      <c r="A1282" s="10">
        <v>44694</v>
      </c>
      <c r="B1282" s="11" t="s">
        <v>42</v>
      </c>
      <c r="C1282">
        <v>1811</v>
      </c>
      <c r="D1282" t="s">
        <v>7</v>
      </c>
      <c r="E1282" t="str">
        <f>IF(may[[#This Row],[ShiftCounter]]&gt;0, "Running", "Down")</f>
        <v>Running</v>
      </c>
    </row>
    <row r="1283" spans="1:5" x14ac:dyDescent="0.25">
      <c r="A1283" s="10">
        <v>44694</v>
      </c>
      <c r="B1283" s="11" t="s">
        <v>42</v>
      </c>
      <c r="C1283">
        <v>2089</v>
      </c>
      <c r="D1283" t="s">
        <v>8</v>
      </c>
      <c r="E1283" t="str">
        <f>IF(may[[#This Row],[ShiftCounter]]&gt;0, "Running", "Down")</f>
        <v>Running</v>
      </c>
    </row>
    <row r="1284" spans="1:5" x14ac:dyDescent="0.25">
      <c r="A1284" s="10">
        <v>44694</v>
      </c>
      <c r="B1284" s="11" t="s">
        <v>20</v>
      </c>
      <c r="C1284">
        <v>2089</v>
      </c>
      <c r="D1284" t="s">
        <v>6</v>
      </c>
      <c r="E1284" t="str">
        <f>IF(may[[#This Row],[ShiftCounter]]&gt;0, "Running", "Down")</f>
        <v>Running</v>
      </c>
    </row>
    <row r="1285" spans="1:5" x14ac:dyDescent="0.25">
      <c r="A1285" s="10">
        <v>44694</v>
      </c>
      <c r="B1285" s="11" t="s">
        <v>20</v>
      </c>
      <c r="C1285">
        <v>1744</v>
      </c>
      <c r="D1285" t="s">
        <v>7</v>
      </c>
      <c r="E1285" t="str">
        <f>IF(may[[#This Row],[ShiftCounter]]&gt;0, "Running", "Down")</f>
        <v>Running</v>
      </c>
    </row>
    <row r="1286" spans="1:5" x14ac:dyDescent="0.25">
      <c r="A1286" s="10">
        <v>44694</v>
      </c>
      <c r="B1286" s="11" t="s">
        <v>20</v>
      </c>
      <c r="C1286">
        <v>1886</v>
      </c>
      <c r="D1286" t="s">
        <v>8</v>
      </c>
      <c r="E1286" t="str">
        <f>IF(may[[#This Row],[ShiftCounter]]&gt;0, "Running", "Down")</f>
        <v>Running</v>
      </c>
    </row>
    <row r="1287" spans="1:5" x14ac:dyDescent="0.25">
      <c r="A1287" s="10">
        <v>44694</v>
      </c>
      <c r="B1287" s="11" t="s">
        <v>21</v>
      </c>
      <c r="C1287">
        <v>2096</v>
      </c>
      <c r="D1287" t="s">
        <v>6</v>
      </c>
      <c r="E1287" t="str">
        <f>IF(may[[#This Row],[ShiftCounter]]&gt;0, "Running", "Down")</f>
        <v>Running</v>
      </c>
    </row>
    <row r="1288" spans="1:5" x14ac:dyDescent="0.25">
      <c r="A1288" s="10">
        <v>44694</v>
      </c>
      <c r="B1288" s="11" t="s">
        <v>21</v>
      </c>
      <c r="C1288">
        <v>1897</v>
      </c>
      <c r="D1288" t="s">
        <v>7</v>
      </c>
      <c r="E1288" t="str">
        <f>IF(may[[#This Row],[ShiftCounter]]&gt;0, "Running", "Down")</f>
        <v>Running</v>
      </c>
    </row>
    <row r="1289" spans="1:5" x14ac:dyDescent="0.25">
      <c r="A1289" s="10">
        <v>44694</v>
      </c>
      <c r="B1289" s="11" t="s">
        <v>21</v>
      </c>
      <c r="C1289">
        <v>1957</v>
      </c>
      <c r="D1289" t="s">
        <v>8</v>
      </c>
      <c r="E1289" t="str">
        <f>IF(may[[#This Row],[ShiftCounter]]&gt;0, "Running", "Down")</f>
        <v>Running</v>
      </c>
    </row>
    <row r="1290" spans="1:5" x14ac:dyDescent="0.25">
      <c r="A1290" s="10">
        <v>44694</v>
      </c>
      <c r="B1290" s="11" t="s">
        <v>22</v>
      </c>
      <c r="C1290">
        <v>2264</v>
      </c>
      <c r="D1290" t="s">
        <v>6</v>
      </c>
      <c r="E1290" t="str">
        <f>IF(may[[#This Row],[ShiftCounter]]&gt;0, "Running", "Down")</f>
        <v>Running</v>
      </c>
    </row>
    <row r="1291" spans="1:5" x14ac:dyDescent="0.25">
      <c r="A1291" s="10">
        <v>44694</v>
      </c>
      <c r="B1291" s="11" t="s">
        <v>22</v>
      </c>
      <c r="C1291">
        <v>1964</v>
      </c>
      <c r="D1291" t="s">
        <v>7</v>
      </c>
      <c r="E1291" t="str">
        <f>IF(may[[#This Row],[ShiftCounter]]&gt;0, "Running", "Down")</f>
        <v>Running</v>
      </c>
    </row>
    <row r="1292" spans="1:5" x14ac:dyDescent="0.25">
      <c r="A1292" s="10">
        <v>44694</v>
      </c>
      <c r="B1292" s="11" t="s">
        <v>22</v>
      </c>
      <c r="C1292">
        <v>2120</v>
      </c>
      <c r="D1292" t="s">
        <v>8</v>
      </c>
      <c r="E1292" t="str">
        <f>IF(may[[#This Row],[ShiftCounter]]&gt;0, "Running", "Down")</f>
        <v>Running</v>
      </c>
    </row>
    <row r="1293" spans="1:5" x14ac:dyDescent="0.25">
      <c r="A1293" s="10">
        <v>44694</v>
      </c>
      <c r="B1293" s="11" t="s">
        <v>23</v>
      </c>
      <c r="C1293">
        <v>2351</v>
      </c>
      <c r="D1293" t="s">
        <v>6</v>
      </c>
      <c r="E1293" t="str">
        <f>IF(may[[#This Row],[ShiftCounter]]&gt;0, "Running", "Down")</f>
        <v>Running</v>
      </c>
    </row>
    <row r="1294" spans="1:5" x14ac:dyDescent="0.25">
      <c r="A1294" s="10">
        <v>44694</v>
      </c>
      <c r="B1294" s="11" t="s">
        <v>23</v>
      </c>
      <c r="C1294">
        <v>2374</v>
      </c>
      <c r="D1294" t="s">
        <v>7</v>
      </c>
      <c r="E1294" t="str">
        <f>IF(may[[#This Row],[ShiftCounter]]&gt;0, "Running", "Down")</f>
        <v>Running</v>
      </c>
    </row>
    <row r="1295" spans="1:5" x14ac:dyDescent="0.25">
      <c r="A1295" s="10">
        <v>44694</v>
      </c>
      <c r="B1295" s="11" t="s">
        <v>23</v>
      </c>
      <c r="C1295">
        <v>2253</v>
      </c>
      <c r="D1295" t="s">
        <v>8</v>
      </c>
      <c r="E1295" t="str">
        <f>IF(may[[#This Row],[ShiftCounter]]&gt;0, "Running", "Down")</f>
        <v>Running</v>
      </c>
    </row>
    <row r="1296" spans="1:5" x14ac:dyDescent="0.25">
      <c r="A1296" s="10">
        <v>44694</v>
      </c>
      <c r="B1296" s="11" t="s">
        <v>24</v>
      </c>
      <c r="C1296">
        <v>1704</v>
      </c>
      <c r="D1296" t="s">
        <v>6</v>
      </c>
      <c r="E1296" t="str">
        <f>IF(may[[#This Row],[ShiftCounter]]&gt;0, "Running", "Down")</f>
        <v>Running</v>
      </c>
    </row>
    <row r="1297" spans="1:5" x14ac:dyDescent="0.25">
      <c r="A1297" s="10">
        <v>44694</v>
      </c>
      <c r="B1297" s="11" t="s">
        <v>24</v>
      </c>
      <c r="C1297">
        <v>1910</v>
      </c>
      <c r="D1297" t="s">
        <v>7</v>
      </c>
      <c r="E1297" t="str">
        <f>IF(may[[#This Row],[ShiftCounter]]&gt;0, "Running", "Down")</f>
        <v>Running</v>
      </c>
    </row>
    <row r="1298" spans="1:5" x14ac:dyDescent="0.25">
      <c r="A1298" s="10">
        <v>44694</v>
      </c>
      <c r="B1298" s="11" t="s">
        <v>24</v>
      </c>
      <c r="C1298">
        <v>1974</v>
      </c>
      <c r="D1298" t="s">
        <v>8</v>
      </c>
      <c r="E1298" t="str">
        <f>IF(may[[#This Row],[ShiftCounter]]&gt;0, "Running", "Down")</f>
        <v>Running</v>
      </c>
    </row>
    <row r="1299" spans="1:5" x14ac:dyDescent="0.25">
      <c r="A1299" s="10">
        <v>44694</v>
      </c>
      <c r="B1299" s="11" t="s">
        <v>25</v>
      </c>
      <c r="C1299">
        <v>1584</v>
      </c>
      <c r="D1299" t="s">
        <v>6</v>
      </c>
      <c r="E1299" t="str">
        <f>IF(may[[#This Row],[ShiftCounter]]&gt;0, "Running", "Down")</f>
        <v>Running</v>
      </c>
    </row>
    <row r="1300" spans="1:5" x14ac:dyDescent="0.25">
      <c r="A1300" s="10">
        <v>44694</v>
      </c>
      <c r="B1300" s="11" t="s">
        <v>25</v>
      </c>
      <c r="C1300">
        <v>2352</v>
      </c>
      <c r="D1300" t="s">
        <v>7</v>
      </c>
      <c r="E1300" t="str">
        <f>IF(may[[#This Row],[ShiftCounter]]&gt;0, "Running", "Down")</f>
        <v>Running</v>
      </c>
    </row>
    <row r="1301" spans="1:5" x14ac:dyDescent="0.25">
      <c r="A1301" s="10">
        <v>44694</v>
      </c>
      <c r="B1301" s="11" t="s">
        <v>25</v>
      </c>
      <c r="C1301">
        <v>2136</v>
      </c>
      <c r="D1301" t="s">
        <v>8</v>
      </c>
      <c r="E1301" t="str">
        <f>IF(may[[#This Row],[ShiftCounter]]&gt;0, "Running", "Down")</f>
        <v>Running</v>
      </c>
    </row>
    <row r="1302" spans="1:5" x14ac:dyDescent="0.25">
      <c r="A1302" s="10">
        <v>44694</v>
      </c>
      <c r="B1302" s="11" t="s">
        <v>27</v>
      </c>
      <c r="C1302">
        <v>2272</v>
      </c>
      <c r="D1302" t="s">
        <v>6</v>
      </c>
      <c r="E1302" t="str">
        <f>IF(may[[#This Row],[ShiftCounter]]&gt;0, "Running", "Down")</f>
        <v>Running</v>
      </c>
    </row>
    <row r="1303" spans="1:5" x14ac:dyDescent="0.25">
      <c r="A1303" s="10">
        <v>44694</v>
      </c>
      <c r="B1303" s="11" t="s">
        <v>27</v>
      </c>
      <c r="C1303">
        <v>2285</v>
      </c>
      <c r="D1303" t="s">
        <v>7</v>
      </c>
      <c r="E1303" t="str">
        <f>IF(may[[#This Row],[ShiftCounter]]&gt;0, "Running", "Down")</f>
        <v>Running</v>
      </c>
    </row>
    <row r="1304" spans="1:5" x14ac:dyDescent="0.25">
      <c r="A1304" s="10">
        <v>44694</v>
      </c>
      <c r="B1304" s="11" t="s">
        <v>27</v>
      </c>
      <c r="C1304">
        <v>2081</v>
      </c>
      <c r="D1304" t="s">
        <v>8</v>
      </c>
      <c r="E1304" t="str">
        <f>IF(may[[#This Row],[ShiftCounter]]&gt;0, "Running", "Down")</f>
        <v>Running</v>
      </c>
    </row>
    <row r="1305" spans="1:5" x14ac:dyDescent="0.25">
      <c r="A1305" s="10">
        <v>44694</v>
      </c>
      <c r="B1305" s="11" t="s">
        <v>26</v>
      </c>
      <c r="C1305">
        <v>2229</v>
      </c>
      <c r="D1305" t="s">
        <v>6</v>
      </c>
      <c r="E1305" t="str">
        <f>IF(may[[#This Row],[ShiftCounter]]&gt;0, "Running", "Down")</f>
        <v>Running</v>
      </c>
    </row>
    <row r="1306" spans="1:5" x14ac:dyDescent="0.25">
      <c r="A1306" s="10">
        <v>44694</v>
      </c>
      <c r="B1306" s="11" t="s">
        <v>26</v>
      </c>
      <c r="C1306">
        <v>2186</v>
      </c>
      <c r="D1306" t="s">
        <v>7</v>
      </c>
      <c r="E1306" t="str">
        <f>IF(may[[#This Row],[ShiftCounter]]&gt;0, "Running", "Down")</f>
        <v>Running</v>
      </c>
    </row>
    <row r="1307" spans="1:5" x14ac:dyDescent="0.25">
      <c r="A1307" s="10">
        <v>44694</v>
      </c>
      <c r="B1307" s="11" t="s">
        <v>26</v>
      </c>
      <c r="C1307">
        <v>2039</v>
      </c>
      <c r="D1307" t="s">
        <v>8</v>
      </c>
      <c r="E1307" t="str">
        <f>IF(may[[#This Row],[ShiftCounter]]&gt;0, "Running", "Down")</f>
        <v>Running</v>
      </c>
    </row>
    <row r="1308" spans="1:5" x14ac:dyDescent="0.25">
      <c r="A1308" s="10">
        <v>44694</v>
      </c>
      <c r="B1308" s="11" t="s">
        <v>28</v>
      </c>
      <c r="C1308">
        <v>2176</v>
      </c>
      <c r="D1308" t="s">
        <v>6</v>
      </c>
      <c r="E1308" t="str">
        <f>IF(may[[#This Row],[ShiftCounter]]&gt;0, "Running", "Down")</f>
        <v>Running</v>
      </c>
    </row>
    <row r="1309" spans="1:5" x14ac:dyDescent="0.25">
      <c r="A1309" s="10">
        <v>44694</v>
      </c>
      <c r="B1309" s="11" t="s">
        <v>28</v>
      </c>
      <c r="C1309">
        <v>2154</v>
      </c>
      <c r="D1309" t="s">
        <v>7</v>
      </c>
      <c r="E1309" t="str">
        <f>IF(may[[#This Row],[ShiftCounter]]&gt;0, "Running", "Down")</f>
        <v>Running</v>
      </c>
    </row>
    <row r="1310" spans="1:5" x14ac:dyDescent="0.25">
      <c r="A1310" s="10">
        <v>44694</v>
      </c>
      <c r="B1310" s="11" t="s">
        <v>28</v>
      </c>
      <c r="C1310">
        <v>1982</v>
      </c>
      <c r="D1310" t="s">
        <v>8</v>
      </c>
      <c r="E1310" t="str">
        <f>IF(may[[#This Row],[ShiftCounter]]&gt;0, "Running", "Down")</f>
        <v>Running</v>
      </c>
    </row>
    <row r="1311" spans="1:5" x14ac:dyDescent="0.25">
      <c r="A1311" s="10">
        <v>44694</v>
      </c>
      <c r="B1311" s="11" t="s">
        <v>30</v>
      </c>
      <c r="C1311">
        <v>2298</v>
      </c>
      <c r="D1311" t="s">
        <v>6</v>
      </c>
      <c r="E1311" t="str">
        <f>IF(may[[#This Row],[ShiftCounter]]&gt;0, "Running", "Down")</f>
        <v>Running</v>
      </c>
    </row>
    <row r="1312" spans="1:5" x14ac:dyDescent="0.25">
      <c r="A1312" s="10">
        <v>44694</v>
      </c>
      <c r="B1312" s="11" t="s">
        <v>30</v>
      </c>
      <c r="C1312">
        <v>2316</v>
      </c>
      <c r="D1312" t="s">
        <v>7</v>
      </c>
      <c r="E1312" t="str">
        <f>IF(may[[#This Row],[ShiftCounter]]&gt;0, "Running", "Down")</f>
        <v>Running</v>
      </c>
    </row>
    <row r="1313" spans="1:5" x14ac:dyDescent="0.25">
      <c r="A1313" s="10">
        <v>44694</v>
      </c>
      <c r="B1313" s="11" t="s">
        <v>30</v>
      </c>
      <c r="C1313">
        <v>2087</v>
      </c>
      <c r="D1313" t="s">
        <v>8</v>
      </c>
      <c r="E1313" t="str">
        <f>IF(may[[#This Row],[ShiftCounter]]&gt;0, "Running", "Down")</f>
        <v>Running</v>
      </c>
    </row>
    <row r="1314" spans="1:5" x14ac:dyDescent="0.25">
      <c r="A1314" s="10">
        <v>44694</v>
      </c>
      <c r="B1314" s="11" t="s">
        <v>29</v>
      </c>
      <c r="C1314">
        <v>1960</v>
      </c>
      <c r="D1314" t="s">
        <v>6</v>
      </c>
      <c r="E1314" t="str">
        <f>IF(may[[#This Row],[ShiftCounter]]&gt;0, "Running", "Down")</f>
        <v>Running</v>
      </c>
    </row>
    <row r="1315" spans="1:5" x14ac:dyDescent="0.25">
      <c r="A1315" s="10">
        <v>44694</v>
      </c>
      <c r="B1315" s="11" t="s">
        <v>29</v>
      </c>
      <c r="C1315">
        <v>2056</v>
      </c>
      <c r="D1315" t="s">
        <v>7</v>
      </c>
      <c r="E1315" t="str">
        <f>IF(may[[#This Row],[ShiftCounter]]&gt;0, "Running", "Down")</f>
        <v>Running</v>
      </c>
    </row>
    <row r="1316" spans="1:5" x14ac:dyDescent="0.25">
      <c r="A1316" s="10">
        <v>44694</v>
      </c>
      <c r="B1316" s="11" t="s">
        <v>29</v>
      </c>
      <c r="C1316">
        <v>1902</v>
      </c>
      <c r="D1316" t="s">
        <v>8</v>
      </c>
      <c r="E1316" t="str">
        <f>IF(may[[#This Row],[ShiftCounter]]&gt;0, "Running", "Down")</f>
        <v>Running</v>
      </c>
    </row>
    <row r="1317" spans="1:5" x14ac:dyDescent="0.25">
      <c r="A1317" s="10">
        <v>44694</v>
      </c>
      <c r="B1317" s="11" t="s">
        <v>31</v>
      </c>
      <c r="C1317">
        <v>2114</v>
      </c>
      <c r="D1317" t="s">
        <v>6</v>
      </c>
      <c r="E1317" t="str">
        <f>IF(may[[#This Row],[ShiftCounter]]&gt;0, "Running", "Down")</f>
        <v>Running</v>
      </c>
    </row>
    <row r="1318" spans="1:5" x14ac:dyDescent="0.25">
      <c r="A1318" s="10">
        <v>44694</v>
      </c>
      <c r="B1318" s="11" t="s">
        <v>31</v>
      </c>
      <c r="C1318">
        <v>2211</v>
      </c>
      <c r="D1318" t="s">
        <v>7</v>
      </c>
      <c r="E1318" t="str">
        <f>IF(may[[#This Row],[ShiftCounter]]&gt;0, "Running", "Down")</f>
        <v>Running</v>
      </c>
    </row>
    <row r="1319" spans="1:5" x14ac:dyDescent="0.25">
      <c r="A1319" s="10">
        <v>44694</v>
      </c>
      <c r="B1319" s="11" t="s">
        <v>31</v>
      </c>
      <c r="C1319">
        <v>1989</v>
      </c>
      <c r="D1319" t="s">
        <v>8</v>
      </c>
      <c r="E1319" t="str">
        <f>IF(may[[#This Row],[ShiftCounter]]&gt;0, "Running", "Down")</f>
        <v>Running</v>
      </c>
    </row>
    <row r="1320" spans="1:5" x14ac:dyDescent="0.25">
      <c r="A1320" s="10">
        <v>44694</v>
      </c>
      <c r="B1320" s="11" t="s">
        <v>32</v>
      </c>
      <c r="C1320">
        <v>2075</v>
      </c>
      <c r="D1320" t="s">
        <v>6</v>
      </c>
      <c r="E1320" t="str">
        <f>IF(may[[#This Row],[ShiftCounter]]&gt;0, "Running", "Down")</f>
        <v>Running</v>
      </c>
    </row>
    <row r="1321" spans="1:5" x14ac:dyDescent="0.25">
      <c r="A1321" s="10">
        <v>44694</v>
      </c>
      <c r="B1321" s="11" t="s">
        <v>32</v>
      </c>
      <c r="C1321">
        <v>2189</v>
      </c>
      <c r="D1321" t="s">
        <v>7</v>
      </c>
      <c r="E1321" t="str">
        <f>IF(may[[#This Row],[ShiftCounter]]&gt;0, "Running", "Down")</f>
        <v>Running</v>
      </c>
    </row>
    <row r="1322" spans="1:5" x14ac:dyDescent="0.25">
      <c r="A1322" s="10">
        <v>44694</v>
      </c>
      <c r="B1322" s="11" t="s">
        <v>32</v>
      </c>
      <c r="C1322">
        <v>2003</v>
      </c>
      <c r="D1322" t="s">
        <v>8</v>
      </c>
      <c r="E1322" t="str">
        <f>IF(may[[#This Row],[ShiftCounter]]&gt;0, "Running", "Down")</f>
        <v>Running</v>
      </c>
    </row>
    <row r="1323" spans="1:5" x14ac:dyDescent="0.25">
      <c r="A1323" s="10">
        <v>44694</v>
      </c>
      <c r="B1323" s="11" t="s">
        <v>33</v>
      </c>
      <c r="C1323">
        <v>2149</v>
      </c>
      <c r="D1323" t="s">
        <v>6</v>
      </c>
      <c r="E1323" t="str">
        <f>IF(may[[#This Row],[ShiftCounter]]&gt;0, "Running", "Down")</f>
        <v>Running</v>
      </c>
    </row>
    <row r="1324" spans="1:5" x14ac:dyDescent="0.25">
      <c r="A1324" s="10">
        <v>44694</v>
      </c>
      <c r="B1324" s="11" t="s">
        <v>33</v>
      </c>
      <c r="C1324">
        <v>2353</v>
      </c>
      <c r="D1324" t="s">
        <v>7</v>
      </c>
      <c r="E1324" t="str">
        <f>IF(may[[#This Row],[ShiftCounter]]&gt;0, "Running", "Down")</f>
        <v>Running</v>
      </c>
    </row>
    <row r="1325" spans="1:5" x14ac:dyDescent="0.25">
      <c r="A1325" s="10">
        <v>44694</v>
      </c>
      <c r="B1325" s="11" t="s">
        <v>33</v>
      </c>
      <c r="C1325">
        <v>2085</v>
      </c>
      <c r="D1325" t="s">
        <v>8</v>
      </c>
      <c r="E1325" t="str">
        <f>IF(may[[#This Row],[ShiftCounter]]&gt;0, "Running", "Down")</f>
        <v>Running</v>
      </c>
    </row>
    <row r="1326" spans="1:5" x14ac:dyDescent="0.25">
      <c r="A1326" s="10">
        <v>44694</v>
      </c>
      <c r="B1326" s="11" t="s">
        <v>34</v>
      </c>
      <c r="C1326">
        <v>1955</v>
      </c>
      <c r="D1326" t="s">
        <v>6</v>
      </c>
      <c r="E1326" t="str">
        <f>IF(may[[#This Row],[ShiftCounter]]&gt;0, "Running", "Down")</f>
        <v>Running</v>
      </c>
    </row>
    <row r="1327" spans="1:5" x14ac:dyDescent="0.25">
      <c r="A1327" s="10">
        <v>44694</v>
      </c>
      <c r="B1327" s="11" t="s">
        <v>34</v>
      </c>
      <c r="C1327">
        <v>1952</v>
      </c>
      <c r="D1327" t="s">
        <v>7</v>
      </c>
      <c r="E1327" t="str">
        <f>IF(may[[#This Row],[ShiftCounter]]&gt;0, "Running", "Down")</f>
        <v>Running</v>
      </c>
    </row>
    <row r="1328" spans="1:5" x14ac:dyDescent="0.25">
      <c r="A1328" s="10">
        <v>44694</v>
      </c>
      <c r="B1328" s="11" t="s">
        <v>34</v>
      </c>
      <c r="C1328">
        <v>1705</v>
      </c>
      <c r="D1328" t="s">
        <v>8</v>
      </c>
      <c r="E1328" t="str">
        <f>IF(may[[#This Row],[ShiftCounter]]&gt;0, "Running", "Down")</f>
        <v>Running</v>
      </c>
    </row>
    <row r="1329" spans="1:5" x14ac:dyDescent="0.25">
      <c r="A1329" s="10">
        <v>44694</v>
      </c>
      <c r="B1329" s="11" t="s">
        <v>35</v>
      </c>
      <c r="C1329">
        <v>2391</v>
      </c>
      <c r="D1329" t="s">
        <v>6</v>
      </c>
      <c r="E1329" t="str">
        <f>IF(may[[#This Row],[ShiftCounter]]&gt;0, "Running", "Down")</f>
        <v>Running</v>
      </c>
    </row>
    <row r="1330" spans="1:5" x14ac:dyDescent="0.25">
      <c r="A1330" s="10">
        <v>44694</v>
      </c>
      <c r="B1330" s="11" t="s">
        <v>35</v>
      </c>
      <c r="C1330">
        <v>795</v>
      </c>
      <c r="D1330" t="s">
        <v>7</v>
      </c>
      <c r="E1330" t="str">
        <f>IF(may[[#This Row],[ShiftCounter]]&gt;0, "Running", "Down")</f>
        <v>Running</v>
      </c>
    </row>
    <row r="1331" spans="1:5" x14ac:dyDescent="0.25">
      <c r="A1331" s="10">
        <v>44694</v>
      </c>
      <c r="B1331" s="11" t="s">
        <v>35</v>
      </c>
      <c r="C1331">
        <v>0</v>
      </c>
      <c r="D1331" t="s">
        <v>8</v>
      </c>
      <c r="E1331" t="str">
        <f>IF(may[[#This Row],[ShiftCounter]]&gt;0, "Running", "Down")</f>
        <v>Down</v>
      </c>
    </row>
    <row r="1332" spans="1:5" x14ac:dyDescent="0.25">
      <c r="A1332" s="10">
        <v>44694</v>
      </c>
      <c r="B1332" s="11" t="s">
        <v>36</v>
      </c>
      <c r="C1332">
        <v>2185</v>
      </c>
      <c r="D1332" t="s">
        <v>6</v>
      </c>
      <c r="E1332" t="str">
        <f>IF(may[[#This Row],[ShiftCounter]]&gt;0, "Running", "Down")</f>
        <v>Running</v>
      </c>
    </row>
    <row r="1333" spans="1:5" x14ac:dyDescent="0.25">
      <c r="A1333" s="10">
        <v>44694</v>
      </c>
      <c r="B1333" s="11" t="s">
        <v>36</v>
      </c>
      <c r="C1333">
        <v>798</v>
      </c>
      <c r="D1333" t="s">
        <v>7</v>
      </c>
      <c r="E1333" t="str">
        <f>IF(may[[#This Row],[ShiftCounter]]&gt;0, "Running", "Down")</f>
        <v>Running</v>
      </c>
    </row>
    <row r="1334" spans="1:5" x14ac:dyDescent="0.25">
      <c r="A1334" s="10">
        <v>44694</v>
      </c>
      <c r="B1334" s="11" t="s">
        <v>36</v>
      </c>
      <c r="C1334">
        <v>0</v>
      </c>
      <c r="D1334" t="s">
        <v>8</v>
      </c>
      <c r="E1334" t="str">
        <f>IF(may[[#This Row],[ShiftCounter]]&gt;0, "Running", "Down")</f>
        <v>Down</v>
      </c>
    </row>
    <row r="1335" spans="1:5" x14ac:dyDescent="0.25">
      <c r="A1335" s="10">
        <v>44694</v>
      </c>
      <c r="B1335" s="11" t="s">
        <v>37</v>
      </c>
      <c r="C1335">
        <v>2176</v>
      </c>
      <c r="D1335" t="s">
        <v>6</v>
      </c>
      <c r="E1335" t="str">
        <f>IF(may[[#This Row],[ShiftCounter]]&gt;0, "Running", "Down")</f>
        <v>Running</v>
      </c>
    </row>
    <row r="1336" spans="1:5" x14ac:dyDescent="0.25">
      <c r="A1336" s="10">
        <v>44694</v>
      </c>
      <c r="B1336" s="11" t="s">
        <v>37</v>
      </c>
      <c r="C1336">
        <v>2387</v>
      </c>
      <c r="D1336" t="s">
        <v>7</v>
      </c>
      <c r="E1336" t="str">
        <f>IF(may[[#This Row],[ShiftCounter]]&gt;0, "Running", "Down")</f>
        <v>Running</v>
      </c>
    </row>
    <row r="1337" spans="1:5" x14ac:dyDescent="0.25">
      <c r="A1337" s="10">
        <v>44694</v>
      </c>
      <c r="B1337" s="11" t="s">
        <v>37</v>
      </c>
      <c r="C1337">
        <v>2052</v>
      </c>
      <c r="D1337" t="s">
        <v>8</v>
      </c>
      <c r="E1337" t="str">
        <f>IF(may[[#This Row],[ShiftCounter]]&gt;0, "Running", "Down")</f>
        <v>Running</v>
      </c>
    </row>
    <row r="1338" spans="1:5" x14ac:dyDescent="0.25">
      <c r="A1338" s="10">
        <v>44695</v>
      </c>
      <c r="B1338" s="11" t="s">
        <v>40</v>
      </c>
      <c r="C1338">
        <v>2205</v>
      </c>
      <c r="D1338" t="s">
        <v>6</v>
      </c>
      <c r="E1338" t="str">
        <f>IF(may[[#This Row],[ShiftCounter]]&gt;0, "Running", "Down")</f>
        <v>Running</v>
      </c>
    </row>
    <row r="1339" spans="1:5" x14ac:dyDescent="0.25">
      <c r="A1339" s="10">
        <v>44695</v>
      </c>
      <c r="B1339" s="11" t="s">
        <v>40</v>
      </c>
      <c r="C1339">
        <v>2314</v>
      </c>
      <c r="D1339" t="s">
        <v>7</v>
      </c>
      <c r="E1339" t="str">
        <f>IF(may[[#This Row],[ShiftCounter]]&gt;0, "Running", "Down")</f>
        <v>Running</v>
      </c>
    </row>
    <row r="1340" spans="1:5" x14ac:dyDescent="0.25">
      <c r="A1340" s="10">
        <v>44695</v>
      </c>
      <c r="B1340" s="11" t="s">
        <v>40</v>
      </c>
      <c r="C1340">
        <v>2075</v>
      </c>
      <c r="D1340" t="s">
        <v>8</v>
      </c>
      <c r="E1340" t="str">
        <f>IF(may[[#This Row],[ShiftCounter]]&gt;0, "Running", "Down")</f>
        <v>Running</v>
      </c>
    </row>
    <row r="1341" spans="1:5" x14ac:dyDescent="0.25">
      <c r="A1341" s="10">
        <v>44695</v>
      </c>
      <c r="B1341" s="11" t="s">
        <v>39</v>
      </c>
      <c r="C1341">
        <v>1994</v>
      </c>
      <c r="D1341" t="s">
        <v>6</v>
      </c>
      <c r="E1341" t="str">
        <f>IF(may[[#This Row],[ShiftCounter]]&gt;0, "Running", "Down")</f>
        <v>Running</v>
      </c>
    </row>
    <row r="1342" spans="1:5" x14ac:dyDescent="0.25">
      <c r="A1342" s="10">
        <v>44695</v>
      </c>
      <c r="B1342" s="11" t="s">
        <v>39</v>
      </c>
      <c r="C1342">
        <v>2000</v>
      </c>
      <c r="D1342" t="s">
        <v>7</v>
      </c>
      <c r="E1342" t="str">
        <f>IF(may[[#This Row],[ShiftCounter]]&gt;0, "Running", "Down")</f>
        <v>Running</v>
      </c>
    </row>
    <row r="1343" spans="1:5" x14ac:dyDescent="0.25">
      <c r="A1343" s="10">
        <v>44695</v>
      </c>
      <c r="B1343" s="11" t="s">
        <v>39</v>
      </c>
      <c r="C1343">
        <v>1815</v>
      </c>
      <c r="D1343" t="s">
        <v>8</v>
      </c>
      <c r="E1343" t="str">
        <f>IF(may[[#This Row],[ShiftCounter]]&gt;0, "Running", "Down")</f>
        <v>Running</v>
      </c>
    </row>
    <row r="1344" spans="1:5" x14ac:dyDescent="0.25">
      <c r="A1344" s="10">
        <v>44695</v>
      </c>
      <c r="B1344" s="11" t="s">
        <v>41</v>
      </c>
      <c r="C1344">
        <v>2313</v>
      </c>
      <c r="D1344" t="s">
        <v>6</v>
      </c>
      <c r="E1344" t="str">
        <f>IF(may[[#This Row],[ShiftCounter]]&gt;0, "Running", "Down")</f>
        <v>Running</v>
      </c>
    </row>
    <row r="1345" spans="1:5" x14ac:dyDescent="0.25">
      <c r="A1345" s="10">
        <v>44695</v>
      </c>
      <c r="B1345" s="11" t="s">
        <v>41</v>
      </c>
      <c r="C1345">
        <v>2342</v>
      </c>
      <c r="D1345" t="s">
        <v>7</v>
      </c>
      <c r="E1345" t="str">
        <f>IF(may[[#This Row],[ShiftCounter]]&gt;0, "Running", "Down")</f>
        <v>Running</v>
      </c>
    </row>
    <row r="1346" spans="1:5" x14ac:dyDescent="0.25">
      <c r="A1346" s="10">
        <v>44695</v>
      </c>
      <c r="B1346" s="11" t="s">
        <v>41</v>
      </c>
      <c r="C1346">
        <v>1663</v>
      </c>
      <c r="D1346" t="s">
        <v>8</v>
      </c>
      <c r="E1346" t="str">
        <f>IF(may[[#This Row],[ShiftCounter]]&gt;0, "Running", "Down")</f>
        <v>Running</v>
      </c>
    </row>
    <row r="1347" spans="1:5" x14ac:dyDescent="0.25">
      <c r="A1347" s="10">
        <v>44695</v>
      </c>
      <c r="B1347" s="11" t="s">
        <v>9</v>
      </c>
      <c r="C1347">
        <v>2325</v>
      </c>
      <c r="D1347" t="s">
        <v>6</v>
      </c>
      <c r="E1347" t="str">
        <f>IF(may[[#This Row],[ShiftCounter]]&gt;0, "Running", "Down")</f>
        <v>Running</v>
      </c>
    </row>
    <row r="1348" spans="1:5" x14ac:dyDescent="0.25">
      <c r="A1348" s="10">
        <v>44695</v>
      </c>
      <c r="B1348" s="11" t="s">
        <v>9</v>
      </c>
      <c r="C1348">
        <v>2266</v>
      </c>
      <c r="D1348" t="s">
        <v>7</v>
      </c>
      <c r="E1348" t="str">
        <f>IF(may[[#This Row],[ShiftCounter]]&gt;0, "Running", "Down")</f>
        <v>Running</v>
      </c>
    </row>
    <row r="1349" spans="1:5" x14ac:dyDescent="0.25">
      <c r="A1349" s="10">
        <v>44695</v>
      </c>
      <c r="B1349" s="11" t="s">
        <v>9</v>
      </c>
      <c r="C1349">
        <v>2124</v>
      </c>
      <c r="D1349" t="s">
        <v>8</v>
      </c>
      <c r="E1349" t="str">
        <f>IF(may[[#This Row],[ShiftCounter]]&gt;0, "Running", "Down")</f>
        <v>Running</v>
      </c>
    </row>
    <row r="1350" spans="1:5" x14ac:dyDescent="0.25">
      <c r="A1350" s="10">
        <v>44695</v>
      </c>
      <c r="B1350" s="11" t="s">
        <v>10</v>
      </c>
      <c r="C1350">
        <v>2310</v>
      </c>
      <c r="D1350" t="s">
        <v>6</v>
      </c>
      <c r="E1350" t="str">
        <f>IF(may[[#This Row],[ShiftCounter]]&gt;0, "Running", "Down")</f>
        <v>Running</v>
      </c>
    </row>
    <row r="1351" spans="1:5" x14ac:dyDescent="0.25">
      <c r="A1351" s="10">
        <v>44695</v>
      </c>
      <c r="B1351" s="11" t="s">
        <v>10</v>
      </c>
      <c r="C1351">
        <v>2335</v>
      </c>
      <c r="D1351" t="s">
        <v>7</v>
      </c>
      <c r="E1351" t="str">
        <f>IF(may[[#This Row],[ShiftCounter]]&gt;0, "Running", "Down")</f>
        <v>Running</v>
      </c>
    </row>
    <row r="1352" spans="1:5" x14ac:dyDescent="0.25">
      <c r="A1352" s="10">
        <v>44695</v>
      </c>
      <c r="B1352" s="11" t="s">
        <v>10</v>
      </c>
      <c r="C1352">
        <v>2121</v>
      </c>
      <c r="D1352" t="s">
        <v>8</v>
      </c>
      <c r="E1352" t="str">
        <f>IF(may[[#This Row],[ShiftCounter]]&gt;0, "Running", "Down")</f>
        <v>Running</v>
      </c>
    </row>
    <row r="1353" spans="1:5" x14ac:dyDescent="0.25">
      <c r="A1353" s="10">
        <v>44695</v>
      </c>
      <c r="B1353" s="11" t="s">
        <v>11</v>
      </c>
      <c r="C1353">
        <v>2410</v>
      </c>
      <c r="D1353" t="s">
        <v>6</v>
      </c>
      <c r="E1353" t="str">
        <f>IF(may[[#This Row],[ShiftCounter]]&gt;0, "Running", "Down")</f>
        <v>Running</v>
      </c>
    </row>
    <row r="1354" spans="1:5" x14ac:dyDescent="0.25">
      <c r="A1354" s="10">
        <v>44695</v>
      </c>
      <c r="B1354" s="11" t="s">
        <v>11</v>
      </c>
      <c r="C1354">
        <v>2430</v>
      </c>
      <c r="D1354" t="s">
        <v>7</v>
      </c>
      <c r="E1354" t="str">
        <f>IF(may[[#This Row],[ShiftCounter]]&gt;0, "Running", "Down")</f>
        <v>Running</v>
      </c>
    </row>
    <row r="1355" spans="1:5" x14ac:dyDescent="0.25">
      <c r="A1355" s="10">
        <v>44695</v>
      </c>
      <c r="B1355" s="11" t="s">
        <v>11</v>
      </c>
      <c r="C1355">
        <v>2166</v>
      </c>
      <c r="D1355" t="s">
        <v>8</v>
      </c>
      <c r="E1355" t="str">
        <f>IF(may[[#This Row],[ShiftCounter]]&gt;0, "Running", "Down")</f>
        <v>Running</v>
      </c>
    </row>
    <row r="1356" spans="1:5" x14ac:dyDescent="0.25">
      <c r="A1356" s="10">
        <v>44695</v>
      </c>
      <c r="B1356" s="11" t="s">
        <v>12</v>
      </c>
      <c r="C1356">
        <v>2159</v>
      </c>
      <c r="D1356" t="s">
        <v>6</v>
      </c>
      <c r="E1356" t="str">
        <f>IF(may[[#This Row],[ShiftCounter]]&gt;0, "Running", "Down")</f>
        <v>Running</v>
      </c>
    </row>
    <row r="1357" spans="1:5" x14ac:dyDescent="0.25">
      <c r="A1357" s="10">
        <v>44695</v>
      </c>
      <c r="B1357" s="11" t="s">
        <v>12</v>
      </c>
      <c r="C1357">
        <v>2203</v>
      </c>
      <c r="D1357" t="s">
        <v>7</v>
      </c>
      <c r="E1357" t="str">
        <f>IF(may[[#This Row],[ShiftCounter]]&gt;0, "Running", "Down")</f>
        <v>Running</v>
      </c>
    </row>
    <row r="1358" spans="1:5" x14ac:dyDescent="0.25">
      <c r="A1358" s="10">
        <v>44695</v>
      </c>
      <c r="B1358" s="11" t="s">
        <v>12</v>
      </c>
      <c r="C1358">
        <v>1938</v>
      </c>
      <c r="D1358" t="s">
        <v>8</v>
      </c>
      <c r="E1358" t="str">
        <f>IF(may[[#This Row],[ShiftCounter]]&gt;0, "Running", "Down")</f>
        <v>Running</v>
      </c>
    </row>
    <row r="1359" spans="1:5" x14ac:dyDescent="0.25">
      <c r="A1359" s="10">
        <v>44695</v>
      </c>
      <c r="B1359" s="11" t="s">
        <v>105</v>
      </c>
      <c r="C1359">
        <v>2154</v>
      </c>
      <c r="D1359" t="s">
        <v>6</v>
      </c>
      <c r="E1359" t="str">
        <f>IF(may[[#This Row],[ShiftCounter]]&gt;0, "Running", "Down")</f>
        <v>Running</v>
      </c>
    </row>
    <row r="1360" spans="1:5" x14ac:dyDescent="0.25">
      <c r="A1360" s="10">
        <v>44695</v>
      </c>
      <c r="B1360" s="11" t="s">
        <v>105</v>
      </c>
      <c r="C1360">
        <v>2192</v>
      </c>
      <c r="D1360" t="s">
        <v>7</v>
      </c>
      <c r="E1360" t="str">
        <f>IF(may[[#This Row],[ShiftCounter]]&gt;0, "Running", "Down")</f>
        <v>Running</v>
      </c>
    </row>
    <row r="1361" spans="1:5" x14ac:dyDescent="0.25">
      <c r="A1361" s="10">
        <v>44695</v>
      </c>
      <c r="B1361" s="11" t="s">
        <v>105</v>
      </c>
      <c r="C1361">
        <v>1924</v>
      </c>
      <c r="D1361" t="s">
        <v>8</v>
      </c>
      <c r="E1361" t="str">
        <f>IF(may[[#This Row],[ShiftCounter]]&gt;0, "Running", "Down")</f>
        <v>Running</v>
      </c>
    </row>
    <row r="1362" spans="1:5" x14ac:dyDescent="0.25">
      <c r="A1362" s="10">
        <v>44695</v>
      </c>
      <c r="B1362" s="11" t="s">
        <v>13</v>
      </c>
      <c r="C1362">
        <v>2183</v>
      </c>
      <c r="D1362" t="s">
        <v>6</v>
      </c>
      <c r="E1362" t="str">
        <f>IF(may[[#This Row],[ShiftCounter]]&gt;0, "Running", "Down")</f>
        <v>Running</v>
      </c>
    </row>
    <row r="1363" spans="1:5" x14ac:dyDescent="0.25">
      <c r="A1363" s="10">
        <v>44695</v>
      </c>
      <c r="B1363" s="11" t="s">
        <v>13</v>
      </c>
      <c r="C1363">
        <v>2322</v>
      </c>
      <c r="D1363" t="s">
        <v>7</v>
      </c>
      <c r="E1363" t="str">
        <f>IF(may[[#This Row],[ShiftCounter]]&gt;0, "Running", "Down")</f>
        <v>Running</v>
      </c>
    </row>
    <row r="1364" spans="1:5" x14ac:dyDescent="0.25">
      <c r="A1364" s="10">
        <v>44695</v>
      </c>
      <c r="B1364" s="11" t="s">
        <v>13</v>
      </c>
      <c r="C1364">
        <v>1917</v>
      </c>
      <c r="D1364" t="s">
        <v>8</v>
      </c>
      <c r="E1364" t="str">
        <f>IF(may[[#This Row],[ShiftCounter]]&gt;0, "Running", "Down")</f>
        <v>Running</v>
      </c>
    </row>
    <row r="1365" spans="1:5" x14ac:dyDescent="0.25">
      <c r="A1365" s="10">
        <v>44695</v>
      </c>
      <c r="B1365" s="11" t="s">
        <v>101</v>
      </c>
      <c r="C1365">
        <v>-1</v>
      </c>
      <c r="D1365" t="s">
        <v>6</v>
      </c>
      <c r="E1365" t="str">
        <f>IF(may[[#This Row],[ShiftCounter]]&gt;0, "Running", "Down")</f>
        <v>Down</v>
      </c>
    </row>
    <row r="1366" spans="1:5" x14ac:dyDescent="0.25">
      <c r="A1366" s="10">
        <v>44695</v>
      </c>
      <c r="B1366" s="11" t="s">
        <v>101</v>
      </c>
      <c r="C1366">
        <v>3565</v>
      </c>
      <c r="D1366" t="s">
        <v>7</v>
      </c>
      <c r="E1366" t="str">
        <f>IF(may[[#This Row],[ShiftCounter]]&gt;0, "Running", "Down")</f>
        <v>Running</v>
      </c>
    </row>
    <row r="1367" spans="1:5" x14ac:dyDescent="0.25">
      <c r="A1367" s="10">
        <v>44695</v>
      </c>
      <c r="B1367" s="11" t="s">
        <v>101</v>
      </c>
      <c r="C1367">
        <v>1670</v>
      </c>
      <c r="D1367" t="s">
        <v>8</v>
      </c>
      <c r="E1367" t="str">
        <f>IF(may[[#This Row],[ShiftCounter]]&gt;0, "Running", "Down")</f>
        <v>Running</v>
      </c>
    </row>
    <row r="1368" spans="1:5" x14ac:dyDescent="0.25">
      <c r="A1368" s="10">
        <v>44695</v>
      </c>
      <c r="B1368" s="11" t="s">
        <v>14</v>
      </c>
      <c r="C1368">
        <v>2085</v>
      </c>
      <c r="D1368" t="s">
        <v>6</v>
      </c>
      <c r="E1368" t="str">
        <f>IF(may[[#This Row],[ShiftCounter]]&gt;0, "Running", "Down")</f>
        <v>Running</v>
      </c>
    </row>
    <row r="1369" spans="1:5" x14ac:dyDescent="0.25">
      <c r="A1369" s="10">
        <v>44695</v>
      </c>
      <c r="B1369" s="11" t="s">
        <v>14</v>
      </c>
      <c r="C1369">
        <v>1923</v>
      </c>
      <c r="D1369" t="s">
        <v>7</v>
      </c>
      <c r="E1369" t="str">
        <f>IF(may[[#This Row],[ShiftCounter]]&gt;0, "Running", "Down")</f>
        <v>Running</v>
      </c>
    </row>
    <row r="1370" spans="1:5" x14ac:dyDescent="0.25">
      <c r="A1370" s="10">
        <v>44695</v>
      </c>
      <c r="B1370" s="11" t="s">
        <v>14</v>
      </c>
      <c r="C1370">
        <v>1577</v>
      </c>
      <c r="D1370" t="s">
        <v>8</v>
      </c>
      <c r="E1370" t="str">
        <f>IF(may[[#This Row],[ShiftCounter]]&gt;0, "Running", "Down")</f>
        <v>Running</v>
      </c>
    </row>
    <row r="1371" spans="1:5" x14ac:dyDescent="0.25">
      <c r="A1371" s="10">
        <v>44695</v>
      </c>
      <c r="B1371" s="11" t="s">
        <v>15</v>
      </c>
      <c r="C1371">
        <v>2138</v>
      </c>
      <c r="D1371" t="s">
        <v>6</v>
      </c>
      <c r="E1371" t="str">
        <f>IF(may[[#This Row],[ShiftCounter]]&gt;0, "Running", "Down")</f>
        <v>Running</v>
      </c>
    </row>
    <row r="1372" spans="1:5" x14ac:dyDescent="0.25">
      <c r="A1372" s="10">
        <v>44695</v>
      </c>
      <c r="B1372" s="11" t="s">
        <v>15</v>
      </c>
      <c r="C1372">
        <v>2211</v>
      </c>
      <c r="D1372" t="s">
        <v>7</v>
      </c>
      <c r="E1372" t="str">
        <f>IF(may[[#This Row],[ShiftCounter]]&gt;0, "Running", "Down")</f>
        <v>Running</v>
      </c>
    </row>
    <row r="1373" spans="1:5" x14ac:dyDescent="0.25">
      <c r="A1373" s="10">
        <v>44695</v>
      </c>
      <c r="B1373" s="11" t="s">
        <v>15</v>
      </c>
      <c r="C1373">
        <v>1829</v>
      </c>
      <c r="D1373" t="s">
        <v>8</v>
      </c>
      <c r="E1373" t="str">
        <f>IF(may[[#This Row],[ShiftCounter]]&gt;0, "Running", "Down")</f>
        <v>Running</v>
      </c>
    </row>
    <row r="1374" spans="1:5" x14ac:dyDescent="0.25">
      <c r="A1374" s="10">
        <v>44695</v>
      </c>
      <c r="B1374" s="11" t="s">
        <v>16</v>
      </c>
      <c r="C1374">
        <v>2280</v>
      </c>
      <c r="D1374" t="s">
        <v>6</v>
      </c>
      <c r="E1374" t="str">
        <f>IF(may[[#This Row],[ShiftCounter]]&gt;0, "Running", "Down")</f>
        <v>Running</v>
      </c>
    </row>
    <row r="1375" spans="1:5" x14ac:dyDescent="0.25">
      <c r="A1375" s="10">
        <v>44695</v>
      </c>
      <c r="B1375" s="11" t="s">
        <v>16</v>
      </c>
      <c r="C1375">
        <v>2180</v>
      </c>
      <c r="D1375" t="s">
        <v>7</v>
      </c>
      <c r="E1375" t="str">
        <f>IF(may[[#This Row],[ShiftCounter]]&gt;0, "Running", "Down")</f>
        <v>Running</v>
      </c>
    </row>
    <row r="1376" spans="1:5" x14ac:dyDescent="0.25">
      <c r="A1376" s="10">
        <v>44695</v>
      </c>
      <c r="B1376" s="11" t="s">
        <v>16</v>
      </c>
      <c r="C1376">
        <v>1886</v>
      </c>
      <c r="D1376" t="s">
        <v>8</v>
      </c>
      <c r="E1376" t="str">
        <f>IF(may[[#This Row],[ShiftCounter]]&gt;0, "Running", "Down")</f>
        <v>Running</v>
      </c>
    </row>
    <row r="1377" spans="1:5" x14ac:dyDescent="0.25">
      <c r="A1377" s="10">
        <v>44695</v>
      </c>
      <c r="B1377" s="11" t="s">
        <v>17</v>
      </c>
      <c r="C1377">
        <v>2043</v>
      </c>
      <c r="D1377" t="s">
        <v>6</v>
      </c>
      <c r="E1377" t="str">
        <f>IF(may[[#This Row],[ShiftCounter]]&gt;0, "Running", "Down")</f>
        <v>Running</v>
      </c>
    </row>
    <row r="1378" spans="1:5" x14ac:dyDescent="0.25">
      <c r="A1378" s="10">
        <v>44695</v>
      </c>
      <c r="B1378" s="11" t="s">
        <v>17</v>
      </c>
      <c r="C1378">
        <v>2235</v>
      </c>
      <c r="D1378" t="s">
        <v>7</v>
      </c>
      <c r="E1378" t="str">
        <f>IF(may[[#This Row],[ShiftCounter]]&gt;0, "Running", "Down")</f>
        <v>Running</v>
      </c>
    </row>
    <row r="1379" spans="1:5" x14ac:dyDescent="0.25">
      <c r="A1379" s="10">
        <v>44695</v>
      </c>
      <c r="B1379" s="11" t="s">
        <v>17</v>
      </c>
      <c r="C1379">
        <v>1982</v>
      </c>
      <c r="D1379" t="s">
        <v>8</v>
      </c>
      <c r="E1379" t="str">
        <f>IF(may[[#This Row],[ShiftCounter]]&gt;0, "Running", "Down")</f>
        <v>Running</v>
      </c>
    </row>
    <row r="1380" spans="1:5" x14ac:dyDescent="0.25">
      <c r="A1380" s="10">
        <v>44695</v>
      </c>
      <c r="B1380" s="11" t="s">
        <v>19</v>
      </c>
      <c r="C1380">
        <v>1920</v>
      </c>
      <c r="D1380" t="s">
        <v>6</v>
      </c>
      <c r="E1380" t="str">
        <f>IF(may[[#This Row],[ShiftCounter]]&gt;0, "Running", "Down")</f>
        <v>Running</v>
      </c>
    </row>
    <row r="1381" spans="1:5" x14ac:dyDescent="0.25">
      <c r="A1381" s="10">
        <v>44695</v>
      </c>
      <c r="B1381" s="11" t="s">
        <v>19</v>
      </c>
      <c r="C1381">
        <v>2003</v>
      </c>
      <c r="D1381" t="s">
        <v>7</v>
      </c>
      <c r="E1381" t="str">
        <f>IF(may[[#This Row],[ShiftCounter]]&gt;0, "Running", "Down")</f>
        <v>Running</v>
      </c>
    </row>
    <row r="1382" spans="1:5" x14ac:dyDescent="0.25">
      <c r="A1382" s="10">
        <v>44695</v>
      </c>
      <c r="B1382" s="11" t="s">
        <v>19</v>
      </c>
      <c r="C1382">
        <v>1792</v>
      </c>
      <c r="D1382" t="s">
        <v>8</v>
      </c>
      <c r="E1382" t="str">
        <f>IF(may[[#This Row],[ShiftCounter]]&gt;0, "Running", "Down")</f>
        <v>Running</v>
      </c>
    </row>
    <row r="1383" spans="1:5" x14ac:dyDescent="0.25">
      <c r="A1383" s="10">
        <v>44695</v>
      </c>
      <c r="B1383" s="11" t="s">
        <v>18</v>
      </c>
      <c r="C1383">
        <v>2322</v>
      </c>
      <c r="D1383" t="s">
        <v>6</v>
      </c>
      <c r="E1383" t="str">
        <f>IF(may[[#This Row],[ShiftCounter]]&gt;0, "Running", "Down")</f>
        <v>Running</v>
      </c>
    </row>
    <row r="1384" spans="1:5" x14ac:dyDescent="0.25">
      <c r="A1384" s="10">
        <v>44695</v>
      </c>
      <c r="B1384" s="11" t="s">
        <v>18</v>
      </c>
      <c r="C1384">
        <v>2363</v>
      </c>
      <c r="D1384" t="s">
        <v>7</v>
      </c>
      <c r="E1384" t="str">
        <f>IF(may[[#This Row],[ShiftCounter]]&gt;0, "Running", "Down")</f>
        <v>Running</v>
      </c>
    </row>
    <row r="1385" spans="1:5" x14ac:dyDescent="0.25">
      <c r="A1385" s="10">
        <v>44695</v>
      </c>
      <c r="B1385" s="11" t="s">
        <v>18</v>
      </c>
      <c r="C1385">
        <v>1963</v>
      </c>
      <c r="D1385" t="s">
        <v>8</v>
      </c>
      <c r="E1385" t="str">
        <f>IF(may[[#This Row],[ShiftCounter]]&gt;0, "Running", "Down")</f>
        <v>Running</v>
      </c>
    </row>
    <row r="1386" spans="1:5" x14ac:dyDescent="0.25">
      <c r="A1386" s="10">
        <v>44695</v>
      </c>
      <c r="B1386" s="11" t="s">
        <v>42</v>
      </c>
      <c r="C1386">
        <v>2158</v>
      </c>
      <c r="D1386" t="s">
        <v>6</v>
      </c>
      <c r="E1386" t="str">
        <f>IF(may[[#This Row],[ShiftCounter]]&gt;0, "Running", "Down")</f>
        <v>Running</v>
      </c>
    </row>
    <row r="1387" spans="1:5" x14ac:dyDescent="0.25">
      <c r="A1387" s="10">
        <v>44695</v>
      </c>
      <c r="B1387" s="11" t="s">
        <v>42</v>
      </c>
      <c r="C1387">
        <v>2155</v>
      </c>
      <c r="D1387" t="s">
        <v>7</v>
      </c>
      <c r="E1387" t="str">
        <f>IF(may[[#This Row],[ShiftCounter]]&gt;0, "Running", "Down")</f>
        <v>Running</v>
      </c>
    </row>
    <row r="1388" spans="1:5" x14ac:dyDescent="0.25">
      <c r="A1388" s="10">
        <v>44695</v>
      </c>
      <c r="B1388" s="11" t="s">
        <v>42</v>
      </c>
      <c r="C1388">
        <v>1758</v>
      </c>
      <c r="D1388" t="s">
        <v>8</v>
      </c>
      <c r="E1388" t="str">
        <f>IF(may[[#This Row],[ShiftCounter]]&gt;0, "Running", "Down")</f>
        <v>Running</v>
      </c>
    </row>
    <row r="1389" spans="1:5" x14ac:dyDescent="0.25">
      <c r="A1389" s="10">
        <v>44695</v>
      </c>
      <c r="B1389" s="11" t="s">
        <v>20</v>
      </c>
      <c r="C1389">
        <v>1990</v>
      </c>
      <c r="D1389" t="s">
        <v>6</v>
      </c>
      <c r="E1389" t="str">
        <f>IF(may[[#This Row],[ShiftCounter]]&gt;0, "Running", "Down")</f>
        <v>Running</v>
      </c>
    </row>
    <row r="1390" spans="1:5" x14ac:dyDescent="0.25">
      <c r="A1390" s="10">
        <v>44695</v>
      </c>
      <c r="B1390" s="11" t="s">
        <v>20</v>
      </c>
      <c r="C1390">
        <v>1937</v>
      </c>
      <c r="D1390" t="s">
        <v>7</v>
      </c>
      <c r="E1390" t="str">
        <f>IF(may[[#This Row],[ShiftCounter]]&gt;0, "Running", "Down")</f>
        <v>Running</v>
      </c>
    </row>
    <row r="1391" spans="1:5" x14ac:dyDescent="0.25">
      <c r="A1391" s="10">
        <v>44695</v>
      </c>
      <c r="B1391" s="11" t="s">
        <v>20</v>
      </c>
      <c r="C1391">
        <v>1544</v>
      </c>
      <c r="D1391" t="s">
        <v>8</v>
      </c>
      <c r="E1391" t="str">
        <f>IF(may[[#This Row],[ShiftCounter]]&gt;0, "Running", "Down")</f>
        <v>Running</v>
      </c>
    </row>
    <row r="1392" spans="1:5" x14ac:dyDescent="0.25">
      <c r="A1392" s="10">
        <v>44695</v>
      </c>
      <c r="B1392" s="11" t="s">
        <v>21</v>
      </c>
      <c r="C1392">
        <v>2033</v>
      </c>
      <c r="D1392" t="s">
        <v>6</v>
      </c>
      <c r="E1392" t="str">
        <f>IF(may[[#This Row],[ShiftCounter]]&gt;0, "Running", "Down")</f>
        <v>Running</v>
      </c>
    </row>
    <row r="1393" spans="1:5" x14ac:dyDescent="0.25">
      <c r="A1393" s="10">
        <v>44695</v>
      </c>
      <c r="B1393" s="11" t="s">
        <v>21</v>
      </c>
      <c r="C1393">
        <v>1905</v>
      </c>
      <c r="D1393" t="s">
        <v>7</v>
      </c>
      <c r="E1393" t="str">
        <f>IF(may[[#This Row],[ShiftCounter]]&gt;0, "Running", "Down")</f>
        <v>Running</v>
      </c>
    </row>
    <row r="1394" spans="1:5" x14ac:dyDescent="0.25">
      <c r="A1394" s="10">
        <v>44695</v>
      </c>
      <c r="B1394" s="11" t="s">
        <v>21</v>
      </c>
      <c r="C1394">
        <v>1612</v>
      </c>
      <c r="D1394" t="s">
        <v>8</v>
      </c>
      <c r="E1394" t="str">
        <f>IF(may[[#This Row],[ShiftCounter]]&gt;0, "Running", "Down")</f>
        <v>Running</v>
      </c>
    </row>
    <row r="1395" spans="1:5" x14ac:dyDescent="0.25">
      <c r="A1395" s="10">
        <v>44695</v>
      </c>
      <c r="B1395" s="11" t="s">
        <v>22</v>
      </c>
      <c r="C1395">
        <v>2225</v>
      </c>
      <c r="D1395" t="s">
        <v>6</v>
      </c>
      <c r="E1395" t="str">
        <f>IF(may[[#This Row],[ShiftCounter]]&gt;0, "Running", "Down")</f>
        <v>Running</v>
      </c>
    </row>
    <row r="1396" spans="1:5" x14ac:dyDescent="0.25">
      <c r="A1396" s="10">
        <v>44695</v>
      </c>
      <c r="B1396" s="11" t="s">
        <v>22</v>
      </c>
      <c r="C1396">
        <v>2233</v>
      </c>
      <c r="D1396" t="s">
        <v>7</v>
      </c>
      <c r="E1396" t="str">
        <f>IF(may[[#This Row],[ShiftCounter]]&gt;0, "Running", "Down")</f>
        <v>Running</v>
      </c>
    </row>
    <row r="1397" spans="1:5" x14ac:dyDescent="0.25">
      <c r="A1397" s="10">
        <v>44695</v>
      </c>
      <c r="B1397" s="11" t="s">
        <v>22</v>
      </c>
      <c r="C1397">
        <v>1806</v>
      </c>
      <c r="D1397" t="s">
        <v>8</v>
      </c>
      <c r="E1397" t="str">
        <f>IF(may[[#This Row],[ShiftCounter]]&gt;0, "Running", "Down")</f>
        <v>Running</v>
      </c>
    </row>
    <row r="1398" spans="1:5" x14ac:dyDescent="0.25">
      <c r="A1398" s="10">
        <v>44695</v>
      </c>
      <c r="B1398" s="11" t="s">
        <v>23</v>
      </c>
      <c r="C1398">
        <v>2320</v>
      </c>
      <c r="D1398" t="s">
        <v>6</v>
      </c>
      <c r="E1398" t="str">
        <f>IF(may[[#This Row],[ShiftCounter]]&gt;0, "Running", "Down")</f>
        <v>Running</v>
      </c>
    </row>
    <row r="1399" spans="1:5" x14ac:dyDescent="0.25">
      <c r="A1399" s="10">
        <v>44695</v>
      </c>
      <c r="B1399" s="11" t="s">
        <v>23</v>
      </c>
      <c r="C1399">
        <v>2331</v>
      </c>
      <c r="D1399" t="s">
        <v>7</v>
      </c>
      <c r="E1399" t="str">
        <f>IF(may[[#This Row],[ShiftCounter]]&gt;0, "Running", "Down")</f>
        <v>Running</v>
      </c>
    </row>
    <row r="1400" spans="1:5" x14ac:dyDescent="0.25">
      <c r="A1400" s="10">
        <v>44695</v>
      </c>
      <c r="B1400" s="11" t="s">
        <v>23</v>
      </c>
      <c r="C1400">
        <v>1951</v>
      </c>
      <c r="D1400" t="s">
        <v>8</v>
      </c>
      <c r="E1400" t="str">
        <f>IF(may[[#This Row],[ShiftCounter]]&gt;0, "Running", "Down")</f>
        <v>Running</v>
      </c>
    </row>
    <row r="1401" spans="1:5" x14ac:dyDescent="0.25">
      <c r="A1401" s="10">
        <v>44695</v>
      </c>
      <c r="B1401" s="11" t="s">
        <v>24</v>
      </c>
      <c r="C1401">
        <v>2031</v>
      </c>
      <c r="D1401" t="s">
        <v>6</v>
      </c>
      <c r="E1401" t="str">
        <f>IF(may[[#This Row],[ShiftCounter]]&gt;0, "Running", "Down")</f>
        <v>Running</v>
      </c>
    </row>
    <row r="1402" spans="1:5" x14ac:dyDescent="0.25">
      <c r="A1402" s="10">
        <v>44695</v>
      </c>
      <c r="B1402" s="11" t="s">
        <v>24</v>
      </c>
      <c r="C1402">
        <v>1882</v>
      </c>
      <c r="D1402" t="s">
        <v>7</v>
      </c>
      <c r="E1402" t="str">
        <f>IF(may[[#This Row],[ShiftCounter]]&gt;0, "Running", "Down")</f>
        <v>Running</v>
      </c>
    </row>
    <row r="1403" spans="1:5" x14ac:dyDescent="0.25">
      <c r="A1403" s="10">
        <v>44695</v>
      </c>
      <c r="B1403" s="11" t="s">
        <v>24</v>
      </c>
      <c r="C1403">
        <v>1803</v>
      </c>
      <c r="D1403" t="s">
        <v>8</v>
      </c>
      <c r="E1403" t="str">
        <f>IF(may[[#This Row],[ShiftCounter]]&gt;0, "Running", "Down")</f>
        <v>Running</v>
      </c>
    </row>
    <row r="1404" spans="1:5" x14ac:dyDescent="0.25">
      <c r="A1404" s="10">
        <v>44695</v>
      </c>
      <c r="B1404" s="11" t="s">
        <v>25</v>
      </c>
      <c r="C1404">
        <v>2205</v>
      </c>
      <c r="D1404" t="s">
        <v>6</v>
      </c>
      <c r="E1404" t="str">
        <f>IF(may[[#This Row],[ShiftCounter]]&gt;0, "Running", "Down")</f>
        <v>Running</v>
      </c>
    </row>
    <row r="1405" spans="1:5" x14ac:dyDescent="0.25">
      <c r="A1405" s="10">
        <v>44695</v>
      </c>
      <c r="B1405" s="11" t="s">
        <v>25</v>
      </c>
      <c r="C1405">
        <v>2111</v>
      </c>
      <c r="D1405" t="s">
        <v>7</v>
      </c>
      <c r="E1405" t="str">
        <f>IF(may[[#This Row],[ShiftCounter]]&gt;0, "Running", "Down")</f>
        <v>Running</v>
      </c>
    </row>
    <row r="1406" spans="1:5" x14ac:dyDescent="0.25">
      <c r="A1406" s="10">
        <v>44695</v>
      </c>
      <c r="B1406" s="11" t="s">
        <v>25</v>
      </c>
      <c r="C1406">
        <v>2086</v>
      </c>
      <c r="D1406" t="s">
        <v>8</v>
      </c>
      <c r="E1406" t="str">
        <f>IF(may[[#This Row],[ShiftCounter]]&gt;0, "Running", "Down")</f>
        <v>Running</v>
      </c>
    </row>
    <row r="1407" spans="1:5" x14ac:dyDescent="0.25">
      <c r="A1407" s="10">
        <v>44695</v>
      </c>
      <c r="B1407" s="11" t="s">
        <v>27</v>
      </c>
      <c r="C1407">
        <v>2281</v>
      </c>
      <c r="D1407" t="s">
        <v>6</v>
      </c>
      <c r="E1407" t="str">
        <f>IF(may[[#This Row],[ShiftCounter]]&gt;0, "Running", "Down")</f>
        <v>Running</v>
      </c>
    </row>
    <row r="1408" spans="1:5" x14ac:dyDescent="0.25">
      <c r="A1408" s="10">
        <v>44695</v>
      </c>
      <c r="B1408" s="11" t="s">
        <v>27</v>
      </c>
      <c r="C1408">
        <v>1968</v>
      </c>
      <c r="D1408" t="s">
        <v>7</v>
      </c>
      <c r="E1408" t="str">
        <f>IF(may[[#This Row],[ShiftCounter]]&gt;0, "Running", "Down")</f>
        <v>Running</v>
      </c>
    </row>
    <row r="1409" spans="1:5" x14ac:dyDescent="0.25">
      <c r="A1409" s="10">
        <v>44695</v>
      </c>
      <c r="B1409" s="11" t="s">
        <v>27</v>
      </c>
      <c r="C1409">
        <v>2027</v>
      </c>
      <c r="D1409" t="s">
        <v>8</v>
      </c>
      <c r="E1409" t="str">
        <f>IF(may[[#This Row],[ShiftCounter]]&gt;0, "Running", "Down")</f>
        <v>Running</v>
      </c>
    </row>
    <row r="1410" spans="1:5" x14ac:dyDescent="0.25">
      <c r="A1410" s="10">
        <v>44695</v>
      </c>
      <c r="B1410" s="11" t="s">
        <v>26</v>
      </c>
      <c r="C1410">
        <v>2201</v>
      </c>
      <c r="D1410" t="s">
        <v>6</v>
      </c>
      <c r="E1410" t="str">
        <f>IF(may[[#This Row],[ShiftCounter]]&gt;0, "Running", "Down")</f>
        <v>Running</v>
      </c>
    </row>
    <row r="1411" spans="1:5" x14ac:dyDescent="0.25">
      <c r="A1411" s="10">
        <v>44695</v>
      </c>
      <c r="B1411" s="11" t="s">
        <v>26</v>
      </c>
      <c r="C1411">
        <v>2032</v>
      </c>
      <c r="D1411" t="s">
        <v>7</v>
      </c>
      <c r="E1411" t="str">
        <f>IF(may[[#This Row],[ShiftCounter]]&gt;0, "Running", "Down")</f>
        <v>Running</v>
      </c>
    </row>
    <row r="1412" spans="1:5" x14ac:dyDescent="0.25">
      <c r="A1412" s="10">
        <v>44695</v>
      </c>
      <c r="B1412" s="11" t="s">
        <v>26</v>
      </c>
      <c r="C1412">
        <v>1926</v>
      </c>
      <c r="D1412" t="s">
        <v>8</v>
      </c>
      <c r="E1412" t="str">
        <f>IF(may[[#This Row],[ShiftCounter]]&gt;0, "Running", "Down")</f>
        <v>Running</v>
      </c>
    </row>
    <row r="1413" spans="1:5" x14ac:dyDescent="0.25">
      <c r="A1413" s="10">
        <v>44695</v>
      </c>
      <c r="B1413" s="11" t="s">
        <v>28</v>
      </c>
      <c r="C1413">
        <v>2156</v>
      </c>
      <c r="D1413" t="s">
        <v>6</v>
      </c>
      <c r="E1413" t="str">
        <f>IF(may[[#This Row],[ShiftCounter]]&gt;0, "Running", "Down")</f>
        <v>Running</v>
      </c>
    </row>
    <row r="1414" spans="1:5" x14ac:dyDescent="0.25">
      <c r="A1414" s="10">
        <v>44695</v>
      </c>
      <c r="B1414" s="11" t="s">
        <v>28</v>
      </c>
      <c r="C1414">
        <v>2169</v>
      </c>
      <c r="D1414" t="s">
        <v>7</v>
      </c>
      <c r="E1414" t="str">
        <f>IF(may[[#This Row],[ShiftCounter]]&gt;0, "Running", "Down")</f>
        <v>Running</v>
      </c>
    </row>
    <row r="1415" spans="1:5" x14ac:dyDescent="0.25">
      <c r="A1415" s="10">
        <v>44695</v>
      </c>
      <c r="B1415" s="11" t="s">
        <v>28</v>
      </c>
      <c r="C1415">
        <v>1957</v>
      </c>
      <c r="D1415" t="s">
        <v>8</v>
      </c>
      <c r="E1415" t="str">
        <f>IF(may[[#This Row],[ShiftCounter]]&gt;0, "Running", "Down")</f>
        <v>Running</v>
      </c>
    </row>
    <row r="1416" spans="1:5" x14ac:dyDescent="0.25">
      <c r="A1416" s="10">
        <v>44695</v>
      </c>
      <c r="B1416" s="11" t="s">
        <v>29</v>
      </c>
      <c r="C1416">
        <v>1925</v>
      </c>
      <c r="D1416" t="s">
        <v>6</v>
      </c>
      <c r="E1416" t="str">
        <f>IF(may[[#This Row],[ShiftCounter]]&gt;0, "Running", "Down")</f>
        <v>Running</v>
      </c>
    </row>
    <row r="1417" spans="1:5" x14ac:dyDescent="0.25">
      <c r="A1417" s="10">
        <v>44695</v>
      </c>
      <c r="B1417" s="11" t="s">
        <v>29</v>
      </c>
      <c r="C1417">
        <v>1991</v>
      </c>
      <c r="D1417" t="s">
        <v>7</v>
      </c>
      <c r="E1417" t="str">
        <f>IF(may[[#This Row],[ShiftCounter]]&gt;0, "Running", "Down")</f>
        <v>Running</v>
      </c>
    </row>
    <row r="1418" spans="1:5" x14ac:dyDescent="0.25">
      <c r="A1418" s="10">
        <v>44695</v>
      </c>
      <c r="B1418" s="11" t="s">
        <v>29</v>
      </c>
      <c r="C1418">
        <v>1827</v>
      </c>
      <c r="D1418" t="s">
        <v>8</v>
      </c>
      <c r="E1418" t="str">
        <f>IF(may[[#This Row],[ShiftCounter]]&gt;0, "Running", "Down")</f>
        <v>Running</v>
      </c>
    </row>
    <row r="1419" spans="1:5" x14ac:dyDescent="0.25">
      <c r="A1419" s="10">
        <v>44695</v>
      </c>
      <c r="B1419" s="11" t="s">
        <v>30</v>
      </c>
      <c r="C1419">
        <v>2209</v>
      </c>
      <c r="D1419" t="s">
        <v>6</v>
      </c>
      <c r="E1419" t="str">
        <f>IF(may[[#This Row],[ShiftCounter]]&gt;0, "Running", "Down")</f>
        <v>Running</v>
      </c>
    </row>
    <row r="1420" spans="1:5" x14ac:dyDescent="0.25">
      <c r="A1420" s="10">
        <v>44695</v>
      </c>
      <c r="B1420" s="11" t="s">
        <v>30</v>
      </c>
      <c r="C1420">
        <v>2307</v>
      </c>
      <c r="D1420" t="s">
        <v>7</v>
      </c>
      <c r="E1420" t="str">
        <f>IF(may[[#This Row],[ShiftCounter]]&gt;0, "Running", "Down")</f>
        <v>Running</v>
      </c>
    </row>
    <row r="1421" spans="1:5" x14ac:dyDescent="0.25">
      <c r="A1421" s="10">
        <v>44695</v>
      </c>
      <c r="B1421" s="11" t="s">
        <v>30</v>
      </c>
      <c r="C1421">
        <v>2084</v>
      </c>
      <c r="D1421" t="s">
        <v>8</v>
      </c>
      <c r="E1421" t="str">
        <f>IF(may[[#This Row],[ShiftCounter]]&gt;0, "Running", "Down")</f>
        <v>Running</v>
      </c>
    </row>
    <row r="1422" spans="1:5" x14ac:dyDescent="0.25">
      <c r="A1422" s="10">
        <v>44695</v>
      </c>
      <c r="B1422" s="11" t="s">
        <v>31</v>
      </c>
      <c r="C1422">
        <v>2056</v>
      </c>
      <c r="D1422" t="s">
        <v>6</v>
      </c>
      <c r="E1422" t="str">
        <f>IF(may[[#This Row],[ShiftCounter]]&gt;0, "Running", "Down")</f>
        <v>Running</v>
      </c>
    </row>
    <row r="1423" spans="1:5" x14ac:dyDescent="0.25">
      <c r="A1423" s="10">
        <v>44695</v>
      </c>
      <c r="B1423" s="11" t="s">
        <v>31</v>
      </c>
      <c r="C1423">
        <v>2082</v>
      </c>
      <c r="D1423" t="s">
        <v>7</v>
      </c>
      <c r="E1423" t="str">
        <f>IF(may[[#This Row],[ShiftCounter]]&gt;0, "Running", "Down")</f>
        <v>Running</v>
      </c>
    </row>
    <row r="1424" spans="1:5" x14ac:dyDescent="0.25">
      <c r="A1424" s="10">
        <v>44695</v>
      </c>
      <c r="B1424" s="11" t="s">
        <v>31</v>
      </c>
      <c r="C1424">
        <v>1931</v>
      </c>
      <c r="D1424" t="s">
        <v>8</v>
      </c>
      <c r="E1424" t="str">
        <f>IF(may[[#This Row],[ShiftCounter]]&gt;0, "Running", "Down")</f>
        <v>Running</v>
      </c>
    </row>
    <row r="1425" spans="1:5" x14ac:dyDescent="0.25">
      <c r="A1425" s="10">
        <v>44695</v>
      </c>
      <c r="B1425" s="11" t="s">
        <v>32</v>
      </c>
      <c r="C1425">
        <v>1989</v>
      </c>
      <c r="D1425" t="s">
        <v>6</v>
      </c>
      <c r="E1425" t="str">
        <f>IF(may[[#This Row],[ShiftCounter]]&gt;0, "Running", "Down")</f>
        <v>Running</v>
      </c>
    </row>
    <row r="1426" spans="1:5" x14ac:dyDescent="0.25">
      <c r="A1426" s="10">
        <v>44695</v>
      </c>
      <c r="B1426" s="11" t="s">
        <v>32</v>
      </c>
      <c r="C1426">
        <v>1944</v>
      </c>
      <c r="D1426" t="s">
        <v>7</v>
      </c>
      <c r="E1426" t="str">
        <f>IF(may[[#This Row],[ShiftCounter]]&gt;0, "Running", "Down")</f>
        <v>Running</v>
      </c>
    </row>
    <row r="1427" spans="1:5" x14ac:dyDescent="0.25">
      <c r="A1427" s="10">
        <v>44695</v>
      </c>
      <c r="B1427" s="11" t="s">
        <v>32</v>
      </c>
      <c r="C1427">
        <v>1978</v>
      </c>
      <c r="D1427" t="s">
        <v>8</v>
      </c>
      <c r="E1427" t="str">
        <f>IF(may[[#This Row],[ShiftCounter]]&gt;0, "Running", "Down")</f>
        <v>Running</v>
      </c>
    </row>
    <row r="1428" spans="1:5" x14ac:dyDescent="0.25">
      <c r="A1428" s="10">
        <v>44695</v>
      </c>
      <c r="B1428" s="11" t="s">
        <v>33</v>
      </c>
      <c r="C1428">
        <v>2333</v>
      </c>
      <c r="D1428" t="s">
        <v>6</v>
      </c>
      <c r="E1428" t="str">
        <f>IF(may[[#This Row],[ShiftCounter]]&gt;0, "Running", "Down")</f>
        <v>Running</v>
      </c>
    </row>
    <row r="1429" spans="1:5" x14ac:dyDescent="0.25">
      <c r="A1429" s="10">
        <v>44695</v>
      </c>
      <c r="B1429" s="11" t="s">
        <v>33</v>
      </c>
      <c r="C1429">
        <v>2394</v>
      </c>
      <c r="D1429" t="s">
        <v>7</v>
      </c>
      <c r="E1429" t="str">
        <f>IF(may[[#This Row],[ShiftCounter]]&gt;0, "Running", "Down")</f>
        <v>Running</v>
      </c>
    </row>
    <row r="1430" spans="1:5" x14ac:dyDescent="0.25">
      <c r="A1430" s="10">
        <v>44695</v>
      </c>
      <c r="B1430" s="11" t="s">
        <v>33</v>
      </c>
      <c r="C1430">
        <v>2111</v>
      </c>
      <c r="D1430" t="s">
        <v>8</v>
      </c>
      <c r="E1430" t="str">
        <f>IF(may[[#This Row],[ShiftCounter]]&gt;0, "Running", "Down")</f>
        <v>Running</v>
      </c>
    </row>
    <row r="1431" spans="1:5" x14ac:dyDescent="0.25">
      <c r="A1431" s="10">
        <v>44695</v>
      </c>
      <c r="B1431" s="11" t="s">
        <v>34</v>
      </c>
      <c r="C1431">
        <v>1970</v>
      </c>
      <c r="D1431" t="s">
        <v>6</v>
      </c>
      <c r="E1431" t="str">
        <f>IF(may[[#This Row],[ShiftCounter]]&gt;0, "Running", "Down")</f>
        <v>Running</v>
      </c>
    </row>
    <row r="1432" spans="1:5" x14ac:dyDescent="0.25">
      <c r="A1432" s="10">
        <v>44695</v>
      </c>
      <c r="B1432" s="11" t="s">
        <v>34</v>
      </c>
      <c r="C1432">
        <v>1946</v>
      </c>
      <c r="D1432" t="s">
        <v>7</v>
      </c>
      <c r="E1432" t="str">
        <f>IF(may[[#This Row],[ShiftCounter]]&gt;0, "Running", "Down")</f>
        <v>Running</v>
      </c>
    </row>
    <row r="1433" spans="1:5" x14ac:dyDescent="0.25">
      <c r="A1433" s="10">
        <v>44695</v>
      </c>
      <c r="B1433" s="11" t="s">
        <v>34</v>
      </c>
      <c r="C1433">
        <v>1797</v>
      </c>
      <c r="D1433" t="s">
        <v>8</v>
      </c>
      <c r="E1433" t="str">
        <f>IF(may[[#This Row],[ShiftCounter]]&gt;0, "Running", "Down")</f>
        <v>Running</v>
      </c>
    </row>
    <row r="1434" spans="1:5" x14ac:dyDescent="0.25">
      <c r="A1434" s="10">
        <v>44695</v>
      </c>
      <c r="B1434" s="11" t="s">
        <v>37</v>
      </c>
      <c r="C1434">
        <v>2318</v>
      </c>
      <c r="D1434" t="s">
        <v>6</v>
      </c>
      <c r="E1434" t="str">
        <f>IF(may[[#This Row],[ShiftCounter]]&gt;0, "Running", "Down")</f>
        <v>Running</v>
      </c>
    </row>
    <row r="1435" spans="1:5" x14ac:dyDescent="0.25">
      <c r="A1435" s="10">
        <v>44695</v>
      </c>
      <c r="B1435" s="11" t="s">
        <v>37</v>
      </c>
      <c r="C1435">
        <v>2288</v>
      </c>
      <c r="D1435" t="s">
        <v>7</v>
      </c>
      <c r="E1435" t="str">
        <f>IF(may[[#This Row],[ShiftCounter]]&gt;0, "Running", "Down")</f>
        <v>Running</v>
      </c>
    </row>
    <row r="1436" spans="1:5" x14ac:dyDescent="0.25">
      <c r="A1436" s="10">
        <v>44695</v>
      </c>
      <c r="B1436" s="11" t="s">
        <v>37</v>
      </c>
      <c r="C1436">
        <v>1929</v>
      </c>
      <c r="D1436" t="s">
        <v>8</v>
      </c>
      <c r="E1436" t="str">
        <f>IF(may[[#This Row],[ShiftCounter]]&gt;0, "Running", "Down")</f>
        <v>Running</v>
      </c>
    </row>
    <row r="1437" spans="1:5" x14ac:dyDescent="0.25">
      <c r="A1437" s="10">
        <v>44696</v>
      </c>
      <c r="B1437" s="11" t="s">
        <v>40</v>
      </c>
      <c r="C1437">
        <v>2246</v>
      </c>
      <c r="D1437" t="s">
        <v>6</v>
      </c>
      <c r="E1437" t="str">
        <f>IF(may[[#This Row],[ShiftCounter]]&gt;0, "Running", "Down")</f>
        <v>Running</v>
      </c>
    </row>
    <row r="1438" spans="1:5" x14ac:dyDescent="0.25">
      <c r="A1438" s="10">
        <v>44696</v>
      </c>
      <c r="B1438" s="11" t="s">
        <v>40</v>
      </c>
      <c r="C1438">
        <v>2358</v>
      </c>
      <c r="D1438" t="s">
        <v>7</v>
      </c>
      <c r="E1438" t="str">
        <f>IF(may[[#This Row],[ShiftCounter]]&gt;0, "Running", "Down")</f>
        <v>Running</v>
      </c>
    </row>
    <row r="1439" spans="1:5" x14ac:dyDescent="0.25">
      <c r="A1439" s="10">
        <v>44696</v>
      </c>
      <c r="B1439" s="11" t="s">
        <v>40</v>
      </c>
      <c r="C1439">
        <v>2132</v>
      </c>
      <c r="D1439" t="s">
        <v>8</v>
      </c>
      <c r="E1439" t="str">
        <f>IF(may[[#This Row],[ShiftCounter]]&gt;0, "Running", "Down")</f>
        <v>Running</v>
      </c>
    </row>
    <row r="1440" spans="1:5" x14ac:dyDescent="0.25">
      <c r="A1440" s="10">
        <v>44696</v>
      </c>
      <c r="B1440" s="11" t="s">
        <v>39</v>
      </c>
      <c r="C1440">
        <v>1966</v>
      </c>
      <c r="D1440" t="s">
        <v>6</v>
      </c>
      <c r="E1440" t="str">
        <f>IF(may[[#This Row],[ShiftCounter]]&gt;0, "Running", "Down")</f>
        <v>Running</v>
      </c>
    </row>
    <row r="1441" spans="1:5" x14ac:dyDescent="0.25">
      <c r="A1441" s="10">
        <v>44696</v>
      </c>
      <c r="B1441" s="11" t="s">
        <v>39</v>
      </c>
      <c r="C1441">
        <v>2028</v>
      </c>
      <c r="D1441" t="s">
        <v>7</v>
      </c>
      <c r="E1441" t="str">
        <f>IF(may[[#This Row],[ShiftCounter]]&gt;0, "Running", "Down")</f>
        <v>Running</v>
      </c>
    </row>
    <row r="1442" spans="1:5" x14ac:dyDescent="0.25">
      <c r="A1442" s="10">
        <v>44696</v>
      </c>
      <c r="B1442" s="11" t="s">
        <v>39</v>
      </c>
      <c r="C1442">
        <v>1868</v>
      </c>
      <c r="D1442" t="s">
        <v>8</v>
      </c>
      <c r="E1442" t="str">
        <f>IF(may[[#This Row],[ShiftCounter]]&gt;0, "Running", "Down")</f>
        <v>Running</v>
      </c>
    </row>
    <row r="1443" spans="1:5" x14ac:dyDescent="0.25">
      <c r="A1443" s="10">
        <v>44696</v>
      </c>
      <c r="B1443" s="11" t="s">
        <v>41</v>
      </c>
      <c r="C1443">
        <v>2290</v>
      </c>
      <c r="D1443" t="s">
        <v>6</v>
      </c>
      <c r="E1443" t="str">
        <f>IF(may[[#This Row],[ShiftCounter]]&gt;0, "Running", "Down")</f>
        <v>Running</v>
      </c>
    </row>
    <row r="1444" spans="1:5" x14ac:dyDescent="0.25">
      <c r="A1444" s="10">
        <v>44696</v>
      </c>
      <c r="B1444" s="11" t="s">
        <v>41</v>
      </c>
      <c r="C1444">
        <v>2295</v>
      </c>
      <c r="D1444" t="s">
        <v>7</v>
      </c>
      <c r="E1444" t="str">
        <f>IF(may[[#This Row],[ShiftCounter]]&gt;0, "Running", "Down")</f>
        <v>Running</v>
      </c>
    </row>
    <row r="1445" spans="1:5" x14ac:dyDescent="0.25">
      <c r="A1445" s="10">
        <v>44696</v>
      </c>
      <c r="B1445" s="11" t="s">
        <v>41</v>
      </c>
      <c r="C1445">
        <v>2220</v>
      </c>
      <c r="D1445" t="s">
        <v>8</v>
      </c>
      <c r="E1445" t="str">
        <f>IF(may[[#This Row],[ShiftCounter]]&gt;0, "Running", "Down")</f>
        <v>Running</v>
      </c>
    </row>
    <row r="1446" spans="1:5" x14ac:dyDescent="0.25">
      <c r="A1446" s="10">
        <v>44696</v>
      </c>
      <c r="B1446" s="11" t="s">
        <v>5</v>
      </c>
      <c r="C1446">
        <v>2100</v>
      </c>
      <c r="D1446" t="s">
        <v>6</v>
      </c>
      <c r="E1446" t="str">
        <f>IF(may[[#This Row],[ShiftCounter]]&gt;0, "Running", "Down")</f>
        <v>Running</v>
      </c>
    </row>
    <row r="1447" spans="1:5" x14ac:dyDescent="0.25">
      <c r="A1447" s="10">
        <v>44696</v>
      </c>
      <c r="B1447" s="11" t="s">
        <v>5</v>
      </c>
      <c r="C1447">
        <v>2232</v>
      </c>
      <c r="D1447" t="s">
        <v>7</v>
      </c>
      <c r="E1447" t="str">
        <f>IF(may[[#This Row],[ShiftCounter]]&gt;0, "Running", "Down")</f>
        <v>Running</v>
      </c>
    </row>
    <row r="1448" spans="1:5" x14ac:dyDescent="0.25">
      <c r="A1448" s="10">
        <v>44696</v>
      </c>
      <c r="B1448" s="11" t="s">
        <v>5</v>
      </c>
      <c r="C1448">
        <v>2219</v>
      </c>
      <c r="D1448" t="s">
        <v>8</v>
      </c>
      <c r="E1448" t="str">
        <f>IF(may[[#This Row],[ShiftCounter]]&gt;0, "Running", "Down")</f>
        <v>Running</v>
      </c>
    </row>
    <row r="1449" spans="1:5" x14ac:dyDescent="0.25">
      <c r="A1449" s="10">
        <v>44696</v>
      </c>
      <c r="B1449" s="11" t="s">
        <v>9</v>
      </c>
      <c r="C1449">
        <v>1580</v>
      </c>
      <c r="D1449" t="s">
        <v>6</v>
      </c>
      <c r="E1449" t="str">
        <f>IF(may[[#This Row],[ShiftCounter]]&gt;0, "Running", "Down")</f>
        <v>Running</v>
      </c>
    </row>
    <row r="1450" spans="1:5" x14ac:dyDescent="0.25">
      <c r="A1450" s="10">
        <v>44696</v>
      </c>
      <c r="B1450" s="11" t="s">
        <v>9</v>
      </c>
      <c r="C1450">
        <v>2343</v>
      </c>
      <c r="D1450" t="s">
        <v>7</v>
      </c>
      <c r="E1450" t="str">
        <f>IF(may[[#This Row],[ShiftCounter]]&gt;0, "Running", "Down")</f>
        <v>Running</v>
      </c>
    </row>
    <row r="1451" spans="1:5" x14ac:dyDescent="0.25">
      <c r="A1451" s="10">
        <v>44696</v>
      </c>
      <c r="B1451" s="11" t="s">
        <v>9</v>
      </c>
      <c r="C1451">
        <v>2161</v>
      </c>
      <c r="D1451" t="s">
        <v>8</v>
      </c>
      <c r="E1451" t="str">
        <f>IF(may[[#This Row],[ShiftCounter]]&gt;0, "Running", "Down")</f>
        <v>Running</v>
      </c>
    </row>
    <row r="1452" spans="1:5" x14ac:dyDescent="0.25">
      <c r="A1452" s="10">
        <v>44696</v>
      </c>
      <c r="B1452" s="11" t="s">
        <v>10</v>
      </c>
      <c r="C1452">
        <v>2260</v>
      </c>
      <c r="D1452" t="s">
        <v>6</v>
      </c>
      <c r="E1452" t="str">
        <f>IF(may[[#This Row],[ShiftCounter]]&gt;0, "Running", "Down")</f>
        <v>Running</v>
      </c>
    </row>
    <row r="1453" spans="1:5" x14ac:dyDescent="0.25">
      <c r="A1453" s="10">
        <v>44696</v>
      </c>
      <c r="B1453" s="11" t="s">
        <v>10</v>
      </c>
      <c r="C1453">
        <v>2344</v>
      </c>
      <c r="D1453" t="s">
        <v>7</v>
      </c>
      <c r="E1453" t="str">
        <f>IF(may[[#This Row],[ShiftCounter]]&gt;0, "Running", "Down")</f>
        <v>Running</v>
      </c>
    </row>
    <row r="1454" spans="1:5" x14ac:dyDescent="0.25">
      <c r="A1454" s="10">
        <v>44696</v>
      </c>
      <c r="B1454" s="11" t="s">
        <v>10</v>
      </c>
      <c r="C1454">
        <v>2157</v>
      </c>
      <c r="D1454" t="s">
        <v>8</v>
      </c>
      <c r="E1454" t="str">
        <f>IF(may[[#This Row],[ShiftCounter]]&gt;0, "Running", "Down")</f>
        <v>Running</v>
      </c>
    </row>
    <row r="1455" spans="1:5" x14ac:dyDescent="0.25">
      <c r="A1455" s="10">
        <v>44696</v>
      </c>
      <c r="B1455" s="11" t="s">
        <v>11</v>
      </c>
      <c r="C1455">
        <v>2353</v>
      </c>
      <c r="D1455" t="s">
        <v>6</v>
      </c>
      <c r="E1455" t="str">
        <f>IF(may[[#This Row],[ShiftCounter]]&gt;0, "Running", "Down")</f>
        <v>Running</v>
      </c>
    </row>
    <row r="1456" spans="1:5" x14ac:dyDescent="0.25">
      <c r="A1456" s="10">
        <v>44696</v>
      </c>
      <c r="B1456" s="11" t="s">
        <v>11</v>
      </c>
      <c r="C1456">
        <v>2438</v>
      </c>
      <c r="D1456" t="s">
        <v>7</v>
      </c>
      <c r="E1456" t="str">
        <f>IF(may[[#This Row],[ShiftCounter]]&gt;0, "Running", "Down")</f>
        <v>Running</v>
      </c>
    </row>
    <row r="1457" spans="1:5" x14ac:dyDescent="0.25">
      <c r="A1457" s="10">
        <v>44696</v>
      </c>
      <c r="B1457" s="11" t="s">
        <v>11</v>
      </c>
      <c r="C1457">
        <v>2267</v>
      </c>
      <c r="D1457" t="s">
        <v>8</v>
      </c>
      <c r="E1457" t="str">
        <f>IF(may[[#This Row],[ShiftCounter]]&gt;0, "Running", "Down")</f>
        <v>Running</v>
      </c>
    </row>
    <row r="1458" spans="1:5" x14ac:dyDescent="0.25">
      <c r="A1458" s="10">
        <v>44696</v>
      </c>
      <c r="B1458" s="11" t="s">
        <v>12</v>
      </c>
      <c r="C1458">
        <v>2050</v>
      </c>
      <c r="D1458" t="s">
        <v>6</v>
      </c>
      <c r="E1458" t="str">
        <f>IF(may[[#This Row],[ShiftCounter]]&gt;0, "Running", "Down")</f>
        <v>Running</v>
      </c>
    </row>
    <row r="1459" spans="1:5" x14ac:dyDescent="0.25">
      <c r="A1459" s="10">
        <v>44696</v>
      </c>
      <c r="B1459" s="11" t="s">
        <v>12</v>
      </c>
      <c r="C1459">
        <v>2174</v>
      </c>
      <c r="D1459" t="s">
        <v>7</v>
      </c>
      <c r="E1459" t="str">
        <f>IF(may[[#This Row],[ShiftCounter]]&gt;0, "Running", "Down")</f>
        <v>Running</v>
      </c>
    </row>
    <row r="1460" spans="1:5" x14ac:dyDescent="0.25">
      <c r="A1460" s="10">
        <v>44696</v>
      </c>
      <c r="B1460" s="11" t="s">
        <v>12</v>
      </c>
      <c r="C1460">
        <v>1997</v>
      </c>
      <c r="D1460" t="s">
        <v>8</v>
      </c>
      <c r="E1460" t="str">
        <f>IF(may[[#This Row],[ShiftCounter]]&gt;0, "Running", "Down")</f>
        <v>Running</v>
      </c>
    </row>
    <row r="1461" spans="1:5" x14ac:dyDescent="0.25">
      <c r="A1461" s="10">
        <v>44696</v>
      </c>
      <c r="B1461" s="11" t="s">
        <v>105</v>
      </c>
      <c r="C1461">
        <v>2062</v>
      </c>
      <c r="D1461" t="s">
        <v>6</v>
      </c>
      <c r="E1461" t="str">
        <f>IF(may[[#This Row],[ShiftCounter]]&gt;0, "Running", "Down")</f>
        <v>Running</v>
      </c>
    </row>
    <row r="1462" spans="1:5" x14ac:dyDescent="0.25">
      <c r="A1462" s="10">
        <v>44696</v>
      </c>
      <c r="B1462" s="11" t="s">
        <v>105</v>
      </c>
      <c r="C1462">
        <v>2176</v>
      </c>
      <c r="D1462" t="s">
        <v>7</v>
      </c>
      <c r="E1462" t="str">
        <f>IF(may[[#This Row],[ShiftCounter]]&gt;0, "Running", "Down")</f>
        <v>Running</v>
      </c>
    </row>
    <row r="1463" spans="1:5" x14ac:dyDescent="0.25">
      <c r="A1463" s="10">
        <v>44696</v>
      </c>
      <c r="B1463" s="11" t="s">
        <v>105</v>
      </c>
      <c r="C1463">
        <v>1992</v>
      </c>
      <c r="D1463" t="s">
        <v>8</v>
      </c>
      <c r="E1463" t="str">
        <f>IF(may[[#This Row],[ShiftCounter]]&gt;0, "Running", "Down")</f>
        <v>Running</v>
      </c>
    </row>
    <row r="1464" spans="1:5" x14ac:dyDescent="0.25">
      <c r="A1464" s="10">
        <v>44696</v>
      </c>
      <c r="B1464" s="11" t="s">
        <v>13</v>
      </c>
      <c r="C1464">
        <v>2265</v>
      </c>
      <c r="D1464" t="s">
        <v>6</v>
      </c>
      <c r="E1464" t="str">
        <f>IF(may[[#This Row],[ShiftCounter]]&gt;0, "Running", "Down")</f>
        <v>Running</v>
      </c>
    </row>
    <row r="1465" spans="1:5" x14ac:dyDescent="0.25">
      <c r="A1465" s="10">
        <v>44696</v>
      </c>
      <c r="B1465" s="11" t="s">
        <v>13</v>
      </c>
      <c r="C1465">
        <v>2248</v>
      </c>
      <c r="D1465" t="s">
        <v>7</v>
      </c>
      <c r="E1465" t="str">
        <f>IF(may[[#This Row],[ShiftCounter]]&gt;0, "Running", "Down")</f>
        <v>Running</v>
      </c>
    </row>
    <row r="1466" spans="1:5" x14ac:dyDescent="0.25">
      <c r="A1466" s="10">
        <v>44696</v>
      </c>
      <c r="B1466" s="11" t="s">
        <v>13</v>
      </c>
      <c r="C1466">
        <v>1923</v>
      </c>
      <c r="D1466" t="s">
        <v>8</v>
      </c>
      <c r="E1466" t="str">
        <f>IF(may[[#This Row],[ShiftCounter]]&gt;0, "Running", "Down")</f>
        <v>Running</v>
      </c>
    </row>
    <row r="1467" spans="1:5" x14ac:dyDescent="0.25">
      <c r="A1467" s="10">
        <v>44696</v>
      </c>
      <c r="B1467" s="11" t="s">
        <v>101</v>
      </c>
      <c r="C1467">
        <v>1185</v>
      </c>
      <c r="D1467" t="s">
        <v>6</v>
      </c>
      <c r="E1467" t="str">
        <f>IF(may[[#This Row],[ShiftCounter]]&gt;0, "Running", "Down")</f>
        <v>Running</v>
      </c>
    </row>
    <row r="1468" spans="1:5" x14ac:dyDescent="0.25">
      <c r="A1468" s="10">
        <v>44696</v>
      </c>
      <c r="B1468" s="11" t="s">
        <v>101</v>
      </c>
      <c r="C1468">
        <v>1966</v>
      </c>
      <c r="D1468" t="s">
        <v>7</v>
      </c>
      <c r="E1468" t="str">
        <f>IF(may[[#This Row],[ShiftCounter]]&gt;0, "Running", "Down")</f>
        <v>Running</v>
      </c>
    </row>
    <row r="1469" spans="1:5" x14ac:dyDescent="0.25">
      <c r="A1469" s="10">
        <v>44696</v>
      </c>
      <c r="B1469" s="11" t="s">
        <v>101</v>
      </c>
      <c r="C1469">
        <v>1673</v>
      </c>
      <c r="D1469" t="s">
        <v>8</v>
      </c>
      <c r="E1469" t="str">
        <f>IF(may[[#This Row],[ShiftCounter]]&gt;0, "Running", "Down")</f>
        <v>Running</v>
      </c>
    </row>
    <row r="1470" spans="1:5" x14ac:dyDescent="0.25">
      <c r="A1470" s="10">
        <v>44696</v>
      </c>
      <c r="B1470" s="11" t="s">
        <v>14</v>
      </c>
      <c r="C1470">
        <v>1836</v>
      </c>
      <c r="D1470" t="s">
        <v>6</v>
      </c>
      <c r="E1470" t="str">
        <f>IF(may[[#This Row],[ShiftCounter]]&gt;0, "Running", "Down")</f>
        <v>Running</v>
      </c>
    </row>
    <row r="1471" spans="1:5" x14ac:dyDescent="0.25">
      <c r="A1471" s="10">
        <v>44696</v>
      </c>
      <c r="B1471" s="11" t="s">
        <v>14</v>
      </c>
      <c r="C1471">
        <v>1811</v>
      </c>
      <c r="D1471" t="s">
        <v>7</v>
      </c>
      <c r="E1471" t="str">
        <f>IF(may[[#This Row],[ShiftCounter]]&gt;0, "Running", "Down")</f>
        <v>Running</v>
      </c>
    </row>
    <row r="1472" spans="1:5" x14ac:dyDescent="0.25">
      <c r="A1472" s="10">
        <v>44696</v>
      </c>
      <c r="B1472" s="11" t="s">
        <v>14</v>
      </c>
      <c r="C1472">
        <v>1543</v>
      </c>
      <c r="D1472" t="s">
        <v>8</v>
      </c>
      <c r="E1472" t="str">
        <f>IF(may[[#This Row],[ShiftCounter]]&gt;0, "Running", "Down")</f>
        <v>Running</v>
      </c>
    </row>
    <row r="1473" spans="1:5" x14ac:dyDescent="0.25">
      <c r="A1473" s="10">
        <v>44696</v>
      </c>
      <c r="B1473" s="11" t="s">
        <v>15</v>
      </c>
      <c r="C1473">
        <v>1839</v>
      </c>
      <c r="D1473" t="s">
        <v>6</v>
      </c>
      <c r="E1473" t="str">
        <f>IF(may[[#This Row],[ShiftCounter]]&gt;0, "Running", "Down")</f>
        <v>Running</v>
      </c>
    </row>
    <row r="1474" spans="1:5" x14ac:dyDescent="0.25">
      <c r="A1474" s="10">
        <v>44696</v>
      </c>
      <c r="B1474" s="11" t="s">
        <v>15</v>
      </c>
      <c r="C1474">
        <v>2105</v>
      </c>
      <c r="D1474" t="s">
        <v>7</v>
      </c>
      <c r="E1474" t="str">
        <f>IF(may[[#This Row],[ShiftCounter]]&gt;0, "Running", "Down")</f>
        <v>Running</v>
      </c>
    </row>
    <row r="1475" spans="1:5" x14ac:dyDescent="0.25">
      <c r="A1475" s="10">
        <v>44696</v>
      </c>
      <c r="B1475" s="11" t="s">
        <v>15</v>
      </c>
      <c r="C1475">
        <v>1778</v>
      </c>
      <c r="D1475" t="s">
        <v>8</v>
      </c>
      <c r="E1475" t="str">
        <f>IF(may[[#This Row],[ShiftCounter]]&gt;0, "Running", "Down")</f>
        <v>Running</v>
      </c>
    </row>
    <row r="1476" spans="1:5" x14ac:dyDescent="0.25">
      <c r="A1476" s="10">
        <v>44696</v>
      </c>
      <c r="B1476" s="11" t="s">
        <v>16</v>
      </c>
      <c r="C1476">
        <v>2314</v>
      </c>
      <c r="D1476" t="s">
        <v>6</v>
      </c>
      <c r="E1476" t="str">
        <f>IF(may[[#This Row],[ShiftCounter]]&gt;0, "Running", "Down")</f>
        <v>Running</v>
      </c>
    </row>
    <row r="1477" spans="1:5" x14ac:dyDescent="0.25">
      <c r="A1477" s="10">
        <v>44696</v>
      </c>
      <c r="B1477" s="11" t="s">
        <v>16</v>
      </c>
      <c r="C1477">
        <v>2251</v>
      </c>
      <c r="D1477" t="s">
        <v>7</v>
      </c>
      <c r="E1477" t="str">
        <f>IF(may[[#This Row],[ShiftCounter]]&gt;0, "Running", "Down")</f>
        <v>Running</v>
      </c>
    </row>
    <row r="1478" spans="1:5" x14ac:dyDescent="0.25">
      <c r="A1478" s="10">
        <v>44696</v>
      </c>
      <c r="B1478" s="11" t="s">
        <v>16</v>
      </c>
      <c r="C1478">
        <v>1875</v>
      </c>
      <c r="D1478" t="s">
        <v>8</v>
      </c>
      <c r="E1478" t="str">
        <f>IF(may[[#This Row],[ShiftCounter]]&gt;0, "Running", "Down")</f>
        <v>Running</v>
      </c>
    </row>
    <row r="1479" spans="1:5" x14ac:dyDescent="0.25">
      <c r="A1479" s="10">
        <v>44696</v>
      </c>
      <c r="B1479" s="11" t="s">
        <v>17</v>
      </c>
      <c r="C1479">
        <v>2359</v>
      </c>
      <c r="D1479" t="s">
        <v>6</v>
      </c>
      <c r="E1479" t="str">
        <f>IF(may[[#This Row],[ShiftCounter]]&gt;0, "Running", "Down")</f>
        <v>Running</v>
      </c>
    </row>
    <row r="1480" spans="1:5" x14ac:dyDescent="0.25">
      <c r="A1480" s="10">
        <v>44696</v>
      </c>
      <c r="B1480" s="11" t="s">
        <v>17</v>
      </c>
      <c r="C1480">
        <v>2318</v>
      </c>
      <c r="D1480" t="s">
        <v>7</v>
      </c>
      <c r="E1480" t="str">
        <f>IF(may[[#This Row],[ShiftCounter]]&gt;0, "Running", "Down")</f>
        <v>Running</v>
      </c>
    </row>
    <row r="1481" spans="1:5" x14ac:dyDescent="0.25">
      <c r="A1481" s="10">
        <v>44696</v>
      </c>
      <c r="B1481" s="11" t="s">
        <v>17</v>
      </c>
      <c r="C1481">
        <v>1956</v>
      </c>
      <c r="D1481" t="s">
        <v>8</v>
      </c>
      <c r="E1481" t="str">
        <f>IF(may[[#This Row],[ShiftCounter]]&gt;0, "Running", "Down")</f>
        <v>Running</v>
      </c>
    </row>
    <row r="1482" spans="1:5" x14ac:dyDescent="0.25">
      <c r="A1482" s="10">
        <v>44696</v>
      </c>
      <c r="B1482" s="11" t="s">
        <v>19</v>
      </c>
      <c r="C1482">
        <v>2034</v>
      </c>
      <c r="D1482" t="s">
        <v>6</v>
      </c>
      <c r="E1482" t="str">
        <f>IF(may[[#This Row],[ShiftCounter]]&gt;0, "Running", "Down")</f>
        <v>Running</v>
      </c>
    </row>
    <row r="1483" spans="1:5" x14ac:dyDescent="0.25">
      <c r="A1483" s="10">
        <v>44696</v>
      </c>
      <c r="B1483" s="11" t="s">
        <v>19</v>
      </c>
      <c r="C1483">
        <v>2034</v>
      </c>
      <c r="D1483" t="s">
        <v>7</v>
      </c>
      <c r="E1483" t="str">
        <f>IF(may[[#This Row],[ShiftCounter]]&gt;0, "Running", "Down")</f>
        <v>Running</v>
      </c>
    </row>
    <row r="1484" spans="1:5" x14ac:dyDescent="0.25">
      <c r="A1484" s="10">
        <v>44696</v>
      </c>
      <c r="B1484" s="11" t="s">
        <v>19</v>
      </c>
      <c r="C1484">
        <v>1826</v>
      </c>
      <c r="D1484" t="s">
        <v>8</v>
      </c>
      <c r="E1484" t="str">
        <f>IF(may[[#This Row],[ShiftCounter]]&gt;0, "Running", "Down")</f>
        <v>Running</v>
      </c>
    </row>
    <row r="1485" spans="1:5" x14ac:dyDescent="0.25">
      <c r="A1485" s="10">
        <v>44696</v>
      </c>
      <c r="B1485" s="11" t="s">
        <v>18</v>
      </c>
      <c r="C1485">
        <v>2578</v>
      </c>
      <c r="D1485" t="s">
        <v>6</v>
      </c>
      <c r="E1485" t="str">
        <f>IF(may[[#This Row],[ShiftCounter]]&gt;0, "Running", "Down")</f>
        <v>Running</v>
      </c>
    </row>
    <row r="1486" spans="1:5" x14ac:dyDescent="0.25">
      <c r="A1486" s="10">
        <v>44696</v>
      </c>
      <c r="B1486" s="11" t="s">
        <v>18</v>
      </c>
      <c r="C1486">
        <v>2408</v>
      </c>
      <c r="D1486" t="s">
        <v>7</v>
      </c>
      <c r="E1486" t="str">
        <f>IF(may[[#This Row],[ShiftCounter]]&gt;0, "Running", "Down")</f>
        <v>Running</v>
      </c>
    </row>
    <row r="1487" spans="1:5" x14ac:dyDescent="0.25">
      <c r="A1487" s="10">
        <v>44696</v>
      </c>
      <c r="B1487" s="11" t="s">
        <v>18</v>
      </c>
      <c r="C1487">
        <v>2024</v>
      </c>
      <c r="D1487" t="s">
        <v>8</v>
      </c>
      <c r="E1487" t="str">
        <f>IF(may[[#This Row],[ShiftCounter]]&gt;0, "Running", "Down")</f>
        <v>Running</v>
      </c>
    </row>
    <row r="1488" spans="1:5" x14ac:dyDescent="0.25">
      <c r="A1488" s="10">
        <v>44696</v>
      </c>
      <c r="B1488" s="11" t="s">
        <v>42</v>
      </c>
      <c r="C1488">
        <v>2328</v>
      </c>
      <c r="D1488" t="s">
        <v>6</v>
      </c>
      <c r="E1488" t="str">
        <f>IF(may[[#This Row],[ShiftCounter]]&gt;0, "Running", "Down")</f>
        <v>Running</v>
      </c>
    </row>
    <row r="1489" spans="1:5" x14ac:dyDescent="0.25">
      <c r="A1489" s="10">
        <v>44696</v>
      </c>
      <c r="B1489" s="11" t="s">
        <v>42</v>
      </c>
      <c r="C1489">
        <v>2258</v>
      </c>
      <c r="D1489" t="s">
        <v>7</v>
      </c>
      <c r="E1489" t="str">
        <f>IF(may[[#This Row],[ShiftCounter]]&gt;0, "Running", "Down")</f>
        <v>Running</v>
      </c>
    </row>
    <row r="1490" spans="1:5" x14ac:dyDescent="0.25">
      <c r="A1490" s="10">
        <v>44696</v>
      </c>
      <c r="B1490" s="11" t="s">
        <v>42</v>
      </c>
      <c r="C1490">
        <v>1906</v>
      </c>
      <c r="D1490" t="s">
        <v>8</v>
      </c>
      <c r="E1490" t="str">
        <f>IF(may[[#This Row],[ShiftCounter]]&gt;0, "Running", "Down")</f>
        <v>Running</v>
      </c>
    </row>
    <row r="1491" spans="1:5" x14ac:dyDescent="0.25">
      <c r="A1491" s="10">
        <v>44696</v>
      </c>
      <c r="B1491" s="11" t="s">
        <v>20</v>
      </c>
      <c r="C1491">
        <v>2158</v>
      </c>
      <c r="D1491" t="s">
        <v>6</v>
      </c>
      <c r="E1491" t="str">
        <f>IF(may[[#This Row],[ShiftCounter]]&gt;0, "Running", "Down")</f>
        <v>Running</v>
      </c>
    </row>
    <row r="1492" spans="1:5" x14ac:dyDescent="0.25">
      <c r="A1492" s="10">
        <v>44696</v>
      </c>
      <c r="B1492" s="11" t="s">
        <v>20</v>
      </c>
      <c r="C1492">
        <v>2025</v>
      </c>
      <c r="D1492" t="s">
        <v>7</v>
      </c>
      <c r="E1492" t="str">
        <f>IF(may[[#This Row],[ShiftCounter]]&gt;0, "Running", "Down")</f>
        <v>Running</v>
      </c>
    </row>
    <row r="1493" spans="1:5" x14ac:dyDescent="0.25">
      <c r="A1493" s="10">
        <v>44696</v>
      </c>
      <c r="B1493" s="11" t="s">
        <v>20</v>
      </c>
      <c r="C1493">
        <v>1702</v>
      </c>
      <c r="D1493" t="s">
        <v>8</v>
      </c>
      <c r="E1493" t="str">
        <f>IF(may[[#This Row],[ShiftCounter]]&gt;0, "Running", "Down")</f>
        <v>Running</v>
      </c>
    </row>
    <row r="1494" spans="1:5" x14ac:dyDescent="0.25">
      <c r="A1494" s="10">
        <v>44696</v>
      </c>
      <c r="B1494" s="11" t="s">
        <v>21</v>
      </c>
      <c r="C1494">
        <v>2169</v>
      </c>
      <c r="D1494" t="s">
        <v>6</v>
      </c>
      <c r="E1494" t="str">
        <f>IF(may[[#This Row],[ShiftCounter]]&gt;0, "Running", "Down")</f>
        <v>Running</v>
      </c>
    </row>
    <row r="1495" spans="1:5" x14ac:dyDescent="0.25">
      <c r="A1495" s="10">
        <v>44696</v>
      </c>
      <c r="B1495" s="11" t="s">
        <v>21</v>
      </c>
      <c r="C1495">
        <v>1987</v>
      </c>
      <c r="D1495" t="s">
        <v>7</v>
      </c>
      <c r="E1495" t="str">
        <f>IF(may[[#This Row],[ShiftCounter]]&gt;0, "Running", "Down")</f>
        <v>Running</v>
      </c>
    </row>
    <row r="1496" spans="1:5" x14ac:dyDescent="0.25">
      <c r="A1496" s="10">
        <v>44696</v>
      </c>
      <c r="B1496" s="11" t="s">
        <v>21</v>
      </c>
      <c r="C1496">
        <v>1782</v>
      </c>
      <c r="D1496" t="s">
        <v>8</v>
      </c>
      <c r="E1496" t="str">
        <f>IF(may[[#This Row],[ShiftCounter]]&gt;0, "Running", "Down")</f>
        <v>Running</v>
      </c>
    </row>
    <row r="1497" spans="1:5" x14ac:dyDescent="0.25">
      <c r="A1497" s="10">
        <v>44696</v>
      </c>
      <c r="B1497" s="11" t="s">
        <v>22</v>
      </c>
      <c r="C1497">
        <v>2398</v>
      </c>
      <c r="D1497" t="s">
        <v>6</v>
      </c>
      <c r="E1497" t="str">
        <f>IF(may[[#This Row],[ShiftCounter]]&gt;0, "Running", "Down")</f>
        <v>Running</v>
      </c>
    </row>
    <row r="1498" spans="1:5" x14ac:dyDescent="0.25">
      <c r="A1498" s="10">
        <v>44696</v>
      </c>
      <c r="B1498" s="11" t="s">
        <v>22</v>
      </c>
      <c r="C1498">
        <v>2184</v>
      </c>
      <c r="D1498" t="s">
        <v>7</v>
      </c>
      <c r="E1498" t="str">
        <f>IF(may[[#This Row],[ShiftCounter]]&gt;0, "Running", "Down")</f>
        <v>Running</v>
      </c>
    </row>
    <row r="1499" spans="1:5" x14ac:dyDescent="0.25">
      <c r="A1499" s="10">
        <v>44696</v>
      </c>
      <c r="B1499" s="11" t="s">
        <v>22</v>
      </c>
      <c r="C1499">
        <v>757</v>
      </c>
      <c r="D1499" t="s">
        <v>8</v>
      </c>
      <c r="E1499" t="str">
        <f>IF(may[[#This Row],[ShiftCounter]]&gt;0, "Running", "Down")</f>
        <v>Running</v>
      </c>
    </row>
    <row r="1500" spans="1:5" x14ac:dyDescent="0.25">
      <c r="A1500" s="10">
        <v>44696</v>
      </c>
      <c r="B1500" s="11" t="s">
        <v>23</v>
      </c>
      <c r="C1500">
        <v>2491</v>
      </c>
      <c r="D1500" t="s">
        <v>6</v>
      </c>
      <c r="E1500" t="str">
        <f>IF(may[[#This Row],[ShiftCounter]]&gt;0, "Running", "Down")</f>
        <v>Running</v>
      </c>
    </row>
    <row r="1501" spans="1:5" x14ac:dyDescent="0.25">
      <c r="A1501" s="10">
        <v>44696</v>
      </c>
      <c r="B1501" s="11" t="s">
        <v>23</v>
      </c>
      <c r="C1501">
        <v>2249</v>
      </c>
      <c r="D1501" t="s">
        <v>7</v>
      </c>
      <c r="E1501" t="str">
        <f>IF(may[[#This Row],[ShiftCounter]]&gt;0, "Running", "Down")</f>
        <v>Running</v>
      </c>
    </row>
    <row r="1502" spans="1:5" x14ac:dyDescent="0.25">
      <c r="A1502" s="10">
        <v>44696</v>
      </c>
      <c r="B1502" s="11" t="s">
        <v>23</v>
      </c>
      <c r="C1502">
        <v>2016</v>
      </c>
      <c r="D1502" t="s">
        <v>8</v>
      </c>
      <c r="E1502" t="str">
        <f>IF(may[[#This Row],[ShiftCounter]]&gt;0, "Running", "Down")</f>
        <v>Running</v>
      </c>
    </row>
    <row r="1503" spans="1:5" x14ac:dyDescent="0.25">
      <c r="A1503" s="10">
        <v>44696</v>
      </c>
      <c r="B1503" s="11" t="s">
        <v>24</v>
      </c>
      <c r="C1503">
        <v>1990</v>
      </c>
      <c r="D1503" t="s">
        <v>6</v>
      </c>
      <c r="E1503" t="str">
        <f>IF(may[[#This Row],[ShiftCounter]]&gt;0, "Running", "Down")</f>
        <v>Running</v>
      </c>
    </row>
    <row r="1504" spans="1:5" x14ac:dyDescent="0.25">
      <c r="A1504" s="10">
        <v>44696</v>
      </c>
      <c r="B1504" s="11" t="s">
        <v>24</v>
      </c>
      <c r="C1504">
        <v>0</v>
      </c>
      <c r="D1504" t="s">
        <v>7</v>
      </c>
      <c r="E1504" t="str">
        <f>IF(may[[#This Row],[ShiftCounter]]&gt;0, "Running", "Down")</f>
        <v>Down</v>
      </c>
    </row>
    <row r="1505" spans="1:5" x14ac:dyDescent="0.25">
      <c r="A1505" s="10">
        <v>44696</v>
      </c>
      <c r="B1505" s="11" t="s">
        <v>24</v>
      </c>
      <c r="C1505">
        <v>0</v>
      </c>
      <c r="D1505" t="s">
        <v>8</v>
      </c>
      <c r="E1505" t="str">
        <f>IF(may[[#This Row],[ShiftCounter]]&gt;0, "Running", "Down")</f>
        <v>Down</v>
      </c>
    </row>
    <row r="1506" spans="1:5" x14ac:dyDescent="0.25">
      <c r="A1506" s="10">
        <v>44696</v>
      </c>
      <c r="B1506" s="11" t="s">
        <v>25</v>
      </c>
      <c r="C1506">
        <v>2294</v>
      </c>
      <c r="D1506" t="s">
        <v>6</v>
      </c>
      <c r="E1506" t="str">
        <f>IF(may[[#This Row],[ShiftCounter]]&gt;0, "Running", "Down")</f>
        <v>Running</v>
      </c>
    </row>
    <row r="1507" spans="1:5" x14ac:dyDescent="0.25">
      <c r="A1507" s="10">
        <v>44696</v>
      </c>
      <c r="B1507" s="11" t="s">
        <v>25</v>
      </c>
      <c r="C1507">
        <v>2217</v>
      </c>
      <c r="D1507" t="s">
        <v>7</v>
      </c>
      <c r="E1507" t="str">
        <f>IF(may[[#This Row],[ShiftCounter]]&gt;0, "Running", "Down")</f>
        <v>Running</v>
      </c>
    </row>
    <row r="1508" spans="1:5" x14ac:dyDescent="0.25">
      <c r="A1508" s="10">
        <v>44696</v>
      </c>
      <c r="B1508" s="11" t="s">
        <v>25</v>
      </c>
      <c r="C1508">
        <v>1920</v>
      </c>
      <c r="D1508" t="s">
        <v>8</v>
      </c>
      <c r="E1508" t="str">
        <f>IF(may[[#This Row],[ShiftCounter]]&gt;0, "Running", "Down")</f>
        <v>Running</v>
      </c>
    </row>
    <row r="1509" spans="1:5" x14ac:dyDescent="0.25">
      <c r="A1509" s="10">
        <v>44696</v>
      </c>
      <c r="B1509" s="11" t="s">
        <v>26</v>
      </c>
      <c r="C1509">
        <v>2201</v>
      </c>
      <c r="D1509" t="s">
        <v>6</v>
      </c>
      <c r="E1509" t="str">
        <f>IF(may[[#This Row],[ShiftCounter]]&gt;0, "Running", "Down")</f>
        <v>Running</v>
      </c>
    </row>
    <row r="1510" spans="1:5" x14ac:dyDescent="0.25">
      <c r="A1510" s="10">
        <v>44696</v>
      </c>
      <c r="B1510" s="11" t="s">
        <v>26</v>
      </c>
      <c r="C1510">
        <v>2081</v>
      </c>
      <c r="D1510" t="s">
        <v>7</v>
      </c>
      <c r="E1510" t="str">
        <f>IF(may[[#This Row],[ShiftCounter]]&gt;0, "Running", "Down")</f>
        <v>Running</v>
      </c>
    </row>
    <row r="1511" spans="1:5" x14ac:dyDescent="0.25">
      <c r="A1511" s="10">
        <v>44696</v>
      </c>
      <c r="B1511" s="11" t="s">
        <v>26</v>
      </c>
      <c r="C1511">
        <v>1813</v>
      </c>
      <c r="D1511" t="s">
        <v>8</v>
      </c>
      <c r="E1511" t="str">
        <f>IF(may[[#This Row],[ShiftCounter]]&gt;0, "Running", "Down")</f>
        <v>Running</v>
      </c>
    </row>
    <row r="1512" spans="1:5" x14ac:dyDescent="0.25">
      <c r="A1512" s="10">
        <v>44696</v>
      </c>
      <c r="B1512" s="11" t="s">
        <v>27</v>
      </c>
      <c r="C1512">
        <v>2312</v>
      </c>
      <c r="D1512" t="s">
        <v>6</v>
      </c>
      <c r="E1512" t="str">
        <f>IF(may[[#This Row],[ShiftCounter]]&gt;0, "Running", "Down")</f>
        <v>Running</v>
      </c>
    </row>
    <row r="1513" spans="1:5" x14ac:dyDescent="0.25">
      <c r="A1513" s="10">
        <v>44696</v>
      </c>
      <c r="B1513" s="11" t="s">
        <v>27</v>
      </c>
      <c r="C1513">
        <v>2208</v>
      </c>
      <c r="D1513" t="s">
        <v>7</v>
      </c>
      <c r="E1513" t="str">
        <f>IF(may[[#This Row],[ShiftCounter]]&gt;0, "Running", "Down")</f>
        <v>Running</v>
      </c>
    </row>
    <row r="1514" spans="1:5" x14ac:dyDescent="0.25">
      <c r="A1514" s="10">
        <v>44696</v>
      </c>
      <c r="B1514" s="11" t="s">
        <v>27</v>
      </c>
      <c r="C1514">
        <v>1970</v>
      </c>
      <c r="D1514" t="s">
        <v>8</v>
      </c>
      <c r="E1514" t="str">
        <f>IF(may[[#This Row],[ShiftCounter]]&gt;0, "Running", "Down")</f>
        <v>Running</v>
      </c>
    </row>
    <row r="1515" spans="1:5" x14ac:dyDescent="0.25">
      <c r="A1515" s="10">
        <v>44696</v>
      </c>
      <c r="B1515" s="11" t="s">
        <v>28</v>
      </c>
      <c r="C1515">
        <v>2272</v>
      </c>
      <c r="D1515" t="s">
        <v>6</v>
      </c>
      <c r="E1515" t="str">
        <f>IF(may[[#This Row],[ShiftCounter]]&gt;0, "Running", "Down")</f>
        <v>Running</v>
      </c>
    </row>
    <row r="1516" spans="1:5" x14ac:dyDescent="0.25">
      <c r="A1516" s="10">
        <v>44696</v>
      </c>
      <c r="B1516" s="11" t="s">
        <v>28</v>
      </c>
      <c r="C1516">
        <v>2001</v>
      </c>
      <c r="D1516" t="s">
        <v>7</v>
      </c>
      <c r="E1516" t="str">
        <f>IF(may[[#This Row],[ShiftCounter]]&gt;0, "Running", "Down")</f>
        <v>Running</v>
      </c>
    </row>
    <row r="1517" spans="1:5" x14ac:dyDescent="0.25">
      <c r="A1517" s="10">
        <v>44696</v>
      </c>
      <c r="B1517" s="11" t="s">
        <v>28</v>
      </c>
      <c r="C1517">
        <v>1848</v>
      </c>
      <c r="D1517" t="s">
        <v>8</v>
      </c>
      <c r="E1517" t="str">
        <f>IF(may[[#This Row],[ShiftCounter]]&gt;0, "Running", "Down")</f>
        <v>Running</v>
      </c>
    </row>
    <row r="1518" spans="1:5" x14ac:dyDescent="0.25">
      <c r="A1518" s="10">
        <v>44696</v>
      </c>
      <c r="B1518" s="11" t="s">
        <v>29</v>
      </c>
      <c r="C1518">
        <v>1988</v>
      </c>
      <c r="D1518" t="s">
        <v>6</v>
      </c>
      <c r="E1518" t="str">
        <f>IF(may[[#This Row],[ShiftCounter]]&gt;0, "Running", "Down")</f>
        <v>Running</v>
      </c>
    </row>
    <row r="1519" spans="1:5" x14ac:dyDescent="0.25">
      <c r="A1519" s="10">
        <v>44696</v>
      </c>
      <c r="B1519" s="11" t="s">
        <v>29</v>
      </c>
      <c r="C1519">
        <v>886</v>
      </c>
      <c r="D1519" t="s">
        <v>7</v>
      </c>
      <c r="E1519" t="str">
        <f>IF(may[[#This Row],[ShiftCounter]]&gt;0, "Running", "Down")</f>
        <v>Running</v>
      </c>
    </row>
    <row r="1520" spans="1:5" x14ac:dyDescent="0.25">
      <c r="A1520" s="10">
        <v>44696</v>
      </c>
      <c r="B1520" s="11" t="s">
        <v>29</v>
      </c>
      <c r="C1520">
        <v>0</v>
      </c>
      <c r="D1520" t="s">
        <v>8</v>
      </c>
      <c r="E1520" t="str">
        <f>IF(may[[#This Row],[ShiftCounter]]&gt;0, "Running", "Down")</f>
        <v>Down</v>
      </c>
    </row>
    <row r="1521" spans="1:5" x14ac:dyDescent="0.25">
      <c r="A1521" s="10">
        <v>44696</v>
      </c>
      <c r="B1521" s="11" t="s">
        <v>30</v>
      </c>
      <c r="C1521">
        <v>1875</v>
      </c>
      <c r="D1521" t="s">
        <v>6</v>
      </c>
      <c r="E1521" t="str">
        <f>IF(may[[#This Row],[ShiftCounter]]&gt;0, "Running", "Down")</f>
        <v>Running</v>
      </c>
    </row>
    <row r="1522" spans="1:5" x14ac:dyDescent="0.25">
      <c r="A1522" s="10">
        <v>44696</v>
      </c>
      <c r="B1522" s="11" t="s">
        <v>30</v>
      </c>
      <c r="C1522">
        <v>2265</v>
      </c>
      <c r="D1522" t="s">
        <v>7</v>
      </c>
      <c r="E1522" t="str">
        <f>IF(may[[#This Row],[ShiftCounter]]&gt;0, "Running", "Down")</f>
        <v>Running</v>
      </c>
    </row>
    <row r="1523" spans="1:5" x14ac:dyDescent="0.25">
      <c r="A1523" s="10">
        <v>44696</v>
      </c>
      <c r="B1523" s="11" t="s">
        <v>30</v>
      </c>
      <c r="C1523">
        <v>1970</v>
      </c>
      <c r="D1523" t="s">
        <v>8</v>
      </c>
      <c r="E1523" t="str">
        <f>IF(may[[#This Row],[ShiftCounter]]&gt;0, "Running", "Down")</f>
        <v>Running</v>
      </c>
    </row>
    <row r="1524" spans="1:5" x14ac:dyDescent="0.25">
      <c r="A1524" s="10">
        <v>44696</v>
      </c>
      <c r="B1524" s="11" t="s">
        <v>31</v>
      </c>
      <c r="C1524">
        <v>2225</v>
      </c>
      <c r="D1524" t="s">
        <v>6</v>
      </c>
      <c r="E1524" t="str">
        <f>IF(may[[#This Row],[ShiftCounter]]&gt;0, "Running", "Down")</f>
        <v>Running</v>
      </c>
    </row>
    <row r="1525" spans="1:5" x14ac:dyDescent="0.25">
      <c r="A1525" s="10">
        <v>44696</v>
      </c>
      <c r="B1525" s="11" t="s">
        <v>31</v>
      </c>
      <c r="C1525">
        <v>2243</v>
      </c>
      <c r="D1525" t="s">
        <v>7</v>
      </c>
      <c r="E1525" t="str">
        <f>IF(may[[#This Row],[ShiftCounter]]&gt;0, "Running", "Down")</f>
        <v>Running</v>
      </c>
    </row>
    <row r="1526" spans="1:5" x14ac:dyDescent="0.25">
      <c r="A1526" s="10">
        <v>44696</v>
      </c>
      <c r="B1526" s="11" t="s">
        <v>31</v>
      </c>
      <c r="C1526">
        <v>1919</v>
      </c>
      <c r="D1526" t="s">
        <v>8</v>
      </c>
      <c r="E1526" t="str">
        <f>IF(may[[#This Row],[ShiftCounter]]&gt;0, "Running", "Down")</f>
        <v>Running</v>
      </c>
    </row>
    <row r="1527" spans="1:5" x14ac:dyDescent="0.25">
      <c r="A1527" s="10">
        <v>44696</v>
      </c>
      <c r="B1527" s="11" t="s">
        <v>32</v>
      </c>
      <c r="C1527">
        <v>2274</v>
      </c>
      <c r="D1527" t="s">
        <v>6</v>
      </c>
      <c r="E1527" t="str">
        <f>IF(may[[#This Row],[ShiftCounter]]&gt;0, "Running", "Down")</f>
        <v>Running</v>
      </c>
    </row>
    <row r="1528" spans="1:5" x14ac:dyDescent="0.25">
      <c r="A1528" s="10">
        <v>44696</v>
      </c>
      <c r="B1528" s="11" t="s">
        <v>32</v>
      </c>
      <c r="C1528">
        <v>2130</v>
      </c>
      <c r="D1528" t="s">
        <v>7</v>
      </c>
      <c r="E1528" t="str">
        <f>IF(may[[#This Row],[ShiftCounter]]&gt;0, "Running", "Down")</f>
        <v>Running</v>
      </c>
    </row>
    <row r="1529" spans="1:5" x14ac:dyDescent="0.25">
      <c r="A1529" s="10">
        <v>44696</v>
      </c>
      <c r="B1529" s="11" t="s">
        <v>32</v>
      </c>
      <c r="C1529">
        <v>1985</v>
      </c>
      <c r="D1529" t="s">
        <v>8</v>
      </c>
      <c r="E1529" t="str">
        <f>IF(may[[#This Row],[ShiftCounter]]&gt;0, "Running", "Down")</f>
        <v>Running</v>
      </c>
    </row>
    <row r="1530" spans="1:5" x14ac:dyDescent="0.25">
      <c r="A1530" s="10">
        <v>44696</v>
      </c>
      <c r="B1530" s="11" t="s">
        <v>33</v>
      </c>
      <c r="C1530">
        <v>2435</v>
      </c>
      <c r="D1530" t="s">
        <v>6</v>
      </c>
      <c r="E1530" t="str">
        <f>IF(may[[#This Row],[ShiftCounter]]&gt;0, "Running", "Down")</f>
        <v>Running</v>
      </c>
    </row>
    <row r="1531" spans="1:5" x14ac:dyDescent="0.25">
      <c r="A1531" s="10">
        <v>44696</v>
      </c>
      <c r="B1531" s="11" t="s">
        <v>33</v>
      </c>
      <c r="C1531">
        <v>2247</v>
      </c>
      <c r="D1531" t="s">
        <v>7</v>
      </c>
      <c r="E1531" t="str">
        <f>IF(may[[#This Row],[ShiftCounter]]&gt;0, "Running", "Down")</f>
        <v>Running</v>
      </c>
    </row>
    <row r="1532" spans="1:5" x14ac:dyDescent="0.25">
      <c r="A1532" s="10">
        <v>44696</v>
      </c>
      <c r="B1532" s="11" t="s">
        <v>33</v>
      </c>
      <c r="C1532">
        <v>2105</v>
      </c>
      <c r="D1532" t="s">
        <v>8</v>
      </c>
      <c r="E1532" t="str">
        <f>IF(may[[#This Row],[ShiftCounter]]&gt;0, "Running", "Down")</f>
        <v>Running</v>
      </c>
    </row>
    <row r="1533" spans="1:5" x14ac:dyDescent="0.25">
      <c r="A1533" s="10">
        <v>44696</v>
      </c>
      <c r="B1533" s="11" t="s">
        <v>34</v>
      </c>
      <c r="C1533">
        <v>2091</v>
      </c>
      <c r="D1533" t="s">
        <v>6</v>
      </c>
      <c r="E1533" t="str">
        <f>IF(may[[#This Row],[ShiftCounter]]&gt;0, "Running", "Down")</f>
        <v>Running</v>
      </c>
    </row>
    <row r="1534" spans="1:5" x14ac:dyDescent="0.25">
      <c r="A1534" s="10">
        <v>44696</v>
      </c>
      <c r="B1534" s="11" t="s">
        <v>34</v>
      </c>
      <c r="C1534">
        <v>1907</v>
      </c>
      <c r="D1534" t="s">
        <v>7</v>
      </c>
      <c r="E1534" t="str">
        <f>IF(may[[#This Row],[ShiftCounter]]&gt;0, "Running", "Down")</f>
        <v>Running</v>
      </c>
    </row>
    <row r="1535" spans="1:5" x14ac:dyDescent="0.25">
      <c r="A1535" s="10">
        <v>44696</v>
      </c>
      <c r="B1535" s="11" t="s">
        <v>34</v>
      </c>
      <c r="C1535">
        <v>1803</v>
      </c>
      <c r="D1535" t="s">
        <v>8</v>
      </c>
      <c r="E1535" t="str">
        <f>IF(may[[#This Row],[ShiftCounter]]&gt;0, "Running", "Down")</f>
        <v>Running</v>
      </c>
    </row>
    <row r="1536" spans="1:5" x14ac:dyDescent="0.25">
      <c r="A1536" s="10">
        <v>44696</v>
      </c>
      <c r="B1536" s="11" t="s">
        <v>37</v>
      </c>
      <c r="C1536">
        <v>2413</v>
      </c>
      <c r="D1536" t="s">
        <v>6</v>
      </c>
      <c r="E1536" t="str">
        <f>IF(may[[#This Row],[ShiftCounter]]&gt;0, "Running", "Down")</f>
        <v>Running</v>
      </c>
    </row>
    <row r="1537" spans="1:5" x14ac:dyDescent="0.25">
      <c r="A1537" s="10">
        <v>44696</v>
      </c>
      <c r="B1537" s="11" t="s">
        <v>37</v>
      </c>
      <c r="C1537">
        <v>2162</v>
      </c>
      <c r="D1537" t="s">
        <v>7</v>
      </c>
      <c r="E1537" t="str">
        <f>IF(may[[#This Row],[ShiftCounter]]&gt;0, "Running", "Down")</f>
        <v>Running</v>
      </c>
    </row>
    <row r="1538" spans="1:5" x14ac:dyDescent="0.25">
      <c r="A1538" s="10">
        <v>44696</v>
      </c>
      <c r="B1538" s="11" t="s">
        <v>37</v>
      </c>
      <c r="C1538">
        <v>2102</v>
      </c>
      <c r="D1538" t="s">
        <v>8</v>
      </c>
      <c r="E1538" t="str">
        <f>IF(may[[#This Row],[ShiftCounter]]&gt;0, "Running", "Down")</f>
        <v>Running</v>
      </c>
    </row>
    <row r="1539" spans="1:5" x14ac:dyDescent="0.25">
      <c r="A1539" s="10">
        <v>44697</v>
      </c>
      <c r="B1539" s="11" t="s">
        <v>40</v>
      </c>
      <c r="C1539">
        <v>2290</v>
      </c>
      <c r="D1539" t="s">
        <v>6</v>
      </c>
      <c r="E1539" t="str">
        <f>IF(may[[#This Row],[ShiftCounter]]&gt;0, "Running", "Down")</f>
        <v>Running</v>
      </c>
    </row>
    <row r="1540" spans="1:5" x14ac:dyDescent="0.25">
      <c r="A1540" s="10">
        <v>44697</v>
      </c>
      <c r="B1540" s="11" t="s">
        <v>40</v>
      </c>
      <c r="C1540">
        <v>2214</v>
      </c>
      <c r="D1540" t="s">
        <v>7</v>
      </c>
      <c r="E1540" t="str">
        <f>IF(may[[#This Row],[ShiftCounter]]&gt;0, "Running", "Down")</f>
        <v>Running</v>
      </c>
    </row>
    <row r="1541" spans="1:5" x14ac:dyDescent="0.25">
      <c r="A1541" s="10">
        <v>44697</v>
      </c>
      <c r="B1541" s="11" t="s">
        <v>40</v>
      </c>
      <c r="C1541">
        <v>2011</v>
      </c>
      <c r="D1541" t="s">
        <v>8</v>
      </c>
      <c r="E1541" t="str">
        <f>IF(may[[#This Row],[ShiftCounter]]&gt;0, "Running", "Down")</f>
        <v>Running</v>
      </c>
    </row>
    <row r="1542" spans="1:5" x14ac:dyDescent="0.25">
      <c r="A1542" s="10">
        <v>44697</v>
      </c>
      <c r="B1542" s="11" t="s">
        <v>39</v>
      </c>
      <c r="C1542">
        <v>2030</v>
      </c>
      <c r="D1542" t="s">
        <v>6</v>
      </c>
      <c r="E1542" t="str">
        <f>IF(may[[#This Row],[ShiftCounter]]&gt;0, "Running", "Down")</f>
        <v>Running</v>
      </c>
    </row>
    <row r="1543" spans="1:5" x14ac:dyDescent="0.25">
      <c r="A1543" s="10">
        <v>44697</v>
      </c>
      <c r="B1543" s="11" t="s">
        <v>39</v>
      </c>
      <c r="C1543">
        <v>1994</v>
      </c>
      <c r="D1543" t="s">
        <v>7</v>
      </c>
      <c r="E1543" t="str">
        <f>IF(may[[#This Row],[ShiftCounter]]&gt;0, "Running", "Down")</f>
        <v>Running</v>
      </c>
    </row>
    <row r="1544" spans="1:5" x14ac:dyDescent="0.25">
      <c r="A1544" s="10">
        <v>44697</v>
      </c>
      <c r="B1544" s="11" t="s">
        <v>39</v>
      </c>
      <c r="C1544">
        <v>1760</v>
      </c>
      <c r="D1544" t="s">
        <v>8</v>
      </c>
      <c r="E1544" t="str">
        <f>IF(may[[#This Row],[ShiftCounter]]&gt;0, "Running", "Down")</f>
        <v>Running</v>
      </c>
    </row>
    <row r="1545" spans="1:5" x14ac:dyDescent="0.25">
      <c r="A1545" s="10">
        <v>44697</v>
      </c>
      <c r="B1545" s="11" t="s">
        <v>41</v>
      </c>
      <c r="C1545">
        <v>2298</v>
      </c>
      <c r="D1545" t="s">
        <v>6</v>
      </c>
      <c r="E1545" t="str">
        <f>IF(may[[#This Row],[ShiftCounter]]&gt;0, "Running", "Down")</f>
        <v>Running</v>
      </c>
    </row>
    <row r="1546" spans="1:5" x14ac:dyDescent="0.25">
      <c r="A1546" s="10">
        <v>44697</v>
      </c>
      <c r="B1546" s="11" t="s">
        <v>41</v>
      </c>
      <c r="C1546">
        <v>2227</v>
      </c>
      <c r="D1546" t="s">
        <v>7</v>
      </c>
      <c r="E1546" t="str">
        <f>IF(may[[#This Row],[ShiftCounter]]&gt;0, "Running", "Down")</f>
        <v>Running</v>
      </c>
    </row>
    <row r="1547" spans="1:5" x14ac:dyDescent="0.25">
      <c r="A1547" s="10">
        <v>44697</v>
      </c>
      <c r="B1547" s="11" t="s">
        <v>41</v>
      </c>
      <c r="C1547">
        <v>1996</v>
      </c>
      <c r="D1547" t="s">
        <v>8</v>
      </c>
      <c r="E1547" t="str">
        <f>IF(may[[#This Row],[ShiftCounter]]&gt;0, "Running", "Down")</f>
        <v>Running</v>
      </c>
    </row>
    <row r="1548" spans="1:5" x14ac:dyDescent="0.25">
      <c r="A1548" s="10">
        <v>44697</v>
      </c>
      <c r="B1548" s="11" t="s">
        <v>5</v>
      </c>
      <c r="C1548">
        <v>2319</v>
      </c>
      <c r="D1548" t="s">
        <v>6</v>
      </c>
      <c r="E1548" t="str">
        <f>IF(may[[#This Row],[ShiftCounter]]&gt;0, "Running", "Down")</f>
        <v>Running</v>
      </c>
    </row>
    <row r="1549" spans="1:5" x14ac:dyDescent="0.25">
      <c r="A1549" s="10">
        <v>44697</v>
      </c>
      <c r="B1549" s="11" t="s">
        <v>5</v>
      </c>
      <c r="C1549">
        <v>2245</v>
      </c>
      <c r="D1549" t="s">
        <v>7</v>
      </c>
      <c r="E1549" t="str">
        <f>IF(may[[#This Row],[ShiftCounter]]&gt;0, "Running", "Down")</f>
        <v>Running</v>
      </c>
    </row>
    <row r="1550" spans="1:5" x14ac:dyDescent="0.25">
      <c r="A1550" s="10">
        <v>44697</v>
      </c>
      <c r="B1550" s="11" t="s">
        <v>5</v>
      </c>
      <c r="C1550">
        <v>1943</v>
      </c>
      <c r="D1550" t="s">
        <v>8</v>
      </c>
      <c r="E1550" t="str">
        <f>IF(may[[#This Row],[ShiftCounter]]&gt;0, "Running", "Down")</f>
        <v>Running</v>
      </c>
    </row>
    <row r="1551" spans="1:5" x14ac:dyDescent="0.25">
      <c r="A1551" s="10">
        <v>44697</v>
      </c>
      <c r="B1551" s="11" t="s">
        <v>9</v>
      </c>
      <c r="C1551">
        <v>2323</v>
      </c>
      <c r="D1551" t="s">
        <v>6</v>
      </c>
      <c r="E1551" t="str">
        <f>IF(may[[#This Row],[ShiftCounter]]&gt;0, "Running", "Down")</f>
        <v>Running</v>
      </c>
    </row>
    <row r="1552" spans="1:5" x14ac:dyDescent="0.25">
      <c r="A1552" s="10">
        <v>44697</v>
      </c>
      <c r="B1552" s="11" t="s">
        <v>9</v>
      </c>
      <c r="C1552">
        <v>2227</v>
      </c>
      <c r="D1552" t="s">
        <v>7</v>
      </c>
      <c r="E1552" t="str">
        <f>IF(may[[#This Row],[ShiftCounter]]&gt;0, "Running", "Down")</f>
        <v>Running</v>
      </c>
    </row>
    <row r="1553" spans="1:5" x14ac:dyDescent="0.25">
      <c r="A1553" s="10">
        <v>44697</v>
      </c>
      <c r="B1553" s="11" t="s">
        <v>9</v>
      </c>
      <c r="C1553">
        <v>-1</v>
      </c>
      <c r="D1553" t="s">
        <v>8</v>
      </c>
      <c r="E1553" t="str">
        <f>IF(may[[#This Row],[ShiftCounter]]&gt;0, "Running", "Down")</f>
        <v>Down</v>
      </c>
    </row>
    <row r="1554" spans="1:5" x14ac:dyDescent="0.25">
      <c r="A1554" s="10">
        <v>44697</v>
      </c>
      <c r="B1554" s="11" t="s">
        <v>10</v>
      </c>
      <c r="C1554">
        <v>2315</v>
      </c>
      <c r="D1554" t="s">
        <v>6</v>
      </c>
      <c r="E1554" t="str">
        <f>IF(may[[#This Row],[ShiftCounter]]&gt;0, "Running", "Down")</f>
        <v>Running</v>
      </c>
    </row>
    <row r="1555" spans="1:5" x14ac:dyDescent="0.25">
      <c r="A1555" s="10">
        <v>44697</v>
      </c>
      <c r="B1555" s="11" t="s">
        <v>10</v>
      </c>
      <c r="C1555">
        <v>2229</v>
      </c>
      <c r="D1555" t="s">
        <v>7</v>
      </c>
      <c r="E1555" t="str">
        <f>IF(may[[#This Row],[ShiftCounter]]&gt;0, "Running", "Down")</f>
        <v>Running</v>
      </c>
    </row>
    <row r="1556" spans="1:5" x14ac:dyDescent="0.25">
      <c r="A1556" s="10">
        <v>44697</v>
      </c>
      <c r="B1556" s="11" t="s">
        <v>10</v>
      </c>
      <c r="C1556">
        <v>2013</v>
      </c>
      <c r="D1556" t="s">
        <v>8</v>
      </c>
      <c r="E1556" t="str">
        <f>IF(may[[#This Row],[ShiftCounter]]&gt;0, "Running", "Down")</f>
        <v>Running</v>
      </c>
    </row>
    <row r="1557" spans="1:5" x14ac:dyDescent="0.25">
      <c r="A1557" s="10">
        <v>44697</v>
      </c>
      <c r="B1557" s="11" t="s">
        <v>11</v>
      </c>
      <c r="C1557">
        <v>2429</v>
      </c>
      <c r="D1557" t="s">
        <v>6</v>
      </c>
      <c r="E1557" t="str">
        <f>IF(may[[#This Row],[ShiftCounter]]&gt;0, "Running", "Down")</f>
        <v>Running</v>
      </c>
    </row>
    <row r="1558" spans="1:5" x14ac:dyDescent="0.25">
      <c r="A1558" s="10">
        <v>44697</v>
      </c>
      <c r="B1558" s="11" t="s">
        <v>11</v>
      </c>
      <c r="C1558">
        <v>2339</v>
      </c>
      <c r="D1558" t="s">
        <v>7</v>
      </c>
      <c r="E1558" t="str">
        <f>IF(may[[#This Row],[ShiftCounter]]&gt;0, "Running", "Down")</f>
        <v>Running</v>
      </c>
    </row>
    <row r="1559" spans="1:5" x14ac:dyDescent="0.25">
      <c r="A1559" s="10">
        <v>44697</v>
      </c>
      <c r="B1559" s="11" t="s">
        <v>11</v>
      </c>
      <c r="C1559">
        <v>2131</v>
      </c>
      <c r="D1559" t="s">
        <v>8</v>
      </c>
      <c r="E1559" t="str">
        <f>IF(may[[#This Row],[ShiftCounter]]&gt;0, "Running", "Down")</f>
        <v>Running</v>
      </c>
    </row>
    <row r="1560" spans="1:5" x14ac:dyDescent="0.25">
      <c r="A1560" s="10">
        <v>44697</v>
      </c>
      <c r="B1560" s="11" t="s">
        <v>105</v>
      </c>
      <c r="C1560">
        <v>2061</v>
      </c>
      <c r="D1560" t="s">
        <v>6</v>
      </c>
      <c r="E1560" t="str">
        <f>IF(may[[#This Row],[ShiftCounter]]&gt;0, "Running", "Down")</f>
        <v>Running</v>
      </c>
    </row>
    <row r="1561" spans="1:5" x14ac:dyDescent="0.25">
      <c r="A1561" s="10">
        <v>44697</v>
      </c>
      <c r="B1561" s="11" t="s">
        <v>105</v>
      </c>
      <c r="C1561">
        <v>2090</v>
      </c>
      <c r="D1561" t="s">
        <v>7</v>
      </c>
      <c r="E1561" t="str">
        <f>IF(may[[#This Row],[ShiftCounter]]&gt;0, "Running", "Down")</f>
        <v>Running</v>
      </c>
    </row>
    <row r="1562" spans="1:5" x14ac:dyDescent="0.25">
      <c r="A1562" s="10">
        <v>44697</v>
      </c>
      <c r="B1562" s="11" t="s">
        <v>105</v>
      </c>
      <c r="C1562">
        <v>-1</v>
      </c>
      <c r="D1562" t="s">
        <v>8</v>
      </c>
      <c r="E1562" t="str">
        <f>IF(may[[#This Row],[ShiftCounter]]&gt;0, "Running", "Down")</f>
        <v>Down</v>
      </c>
    </row>
    <row r="1563" spans="1:5" x14ac:dyDescent="0.25">
      <c r="A1563" s="10">
        <v>44697</v>
      </c>
      <c r="B1563" s="11" t="s">
        <v>12</v>
      </c>
      <c r="C1563">
        <v>2103</v>
      </c>
      <c r="D1563" t="s">
        <v>6</v>
      </c>
      <c r="E1563" t="str">
        <f>IF(may[[#This Row],[ShiftCounter]]&gt;0, "Running", "Down")</f>
        <v>Running</v>
      </c>
    </row>
    <row r="1564" spans="1:5" x14ac:dyDescent="0.25">
      <c r="A1564" s="10">
        <v>44697</v>
      </c>
      <c r="B1564" s="11" t="s">
        <v>12</v>
      </c>
      <c r="C1564">
        <v>2059</v>
      </c>
      <c r="D1564" t="s">
        <v>7</v>
      </c>
      <c r="E1564" t="str">
        <f>IF(may[[#This Row],[ShiftCounter]]&gt;0, "Running", "Down")</f>
        <v>Running</v>
      </c>
    </row>
    <row r="1565" spans="1:5" x14ac:dyDescent="0.25">
      <c r="A1565" s="10">
        <v>44697</v>
      </c>
      <c r="B1565" s="11" t="s">
        <v>12</v>
      </c>
      <c r="C1565">
        <v>1840</v>
      </c>
      <c r="D1565" t="s">
        <v>8</v>
      </c>
      <c r="E1565" t="str">
        <f>IF(may[[#This Row],[ShiftCounter]]&gt;0, "Running", "Down")</f>
        <v>Running</v>
      </c>
    </row>
    <row r="1566" spans="1:5" x14ac:dyDescent="0.25">
      <c r="A1566" s="10">
        <v>44697</v>
      </c>
      <c r="B1566" s="11" t="s">
        <v>13</v>
      </c>
      <c r="C1566">
        <v>2364</v>
      </c>
      <c r="D1566" t="s">
        <v>6</v>
      </c>
      <c r="E1566" t="str">
        <f>IF(may[[#This Row],[ShiftCounter]]&gt;0, "Running", "Down")</f>
        <v>Running</v>
      </c>
    </row>
    <row r="1567" spans="1:5" x14ac:dyDescent="0.25">
      <c r="A1567" s="10">
        <v>44697</v>
      </c>
      <c r="B1567" s="11" t="s">
        <v>13</v>
      </c>
      <c r="C1567">
        <v>2223</v>
      </c>
      <c r="D1567" t="s">
        <v>7</v>
      </c>
      <c r="E1567" t="str">
        <f>IF(may[[#This Row],[ShiftCounter]]&gt;0, "Running", "Down")</f>
        <v>Running</v>
      </c>
    </row>
    <row r="1568" spans="1:5" x14ac:dyDescent="0.25">
      <c r="A1568" s="10">
        <v>44697</v>
      </c>
      <c r="B1568" s="11" t="s">
        <v>13</v>
      </c>
      <c r="C1568">
        <v>2020</v>
      </c>
      <c r="D1568" t="s">
        <v>8</v>
      </c>
      <c r="E1568" t="str">
        <f>IF(may[[#This Row],[ShiftCounter]]&gt;0, "Running", "Down")</f>
        <v>Running</v>
      </c>
    </row>
    <row r="1569" spans="1:5" x14ac:dyDescent="0.25">
      <c r="A1569" s="10">
        <v>44697</v>
      </c>
      <c r="B1569" s="11" t="s">
        <v>101</v>
      </c>
      <c r="C1569">
        <v>2041</v>
      </c>
      <c r="D1569" t="s">
        <v>6</v>
      </c>
      <c r="E1569" t="str">
        <f>IF(may[[#This Row],[ShiftCounter]]&gt;0, "Running", "Down")</f>
        <v>Running</v>
      </c>
    </row>
    <row r="1570" spans="1:5" x14ac:dyDescent="0.25">
      <c r="A1570" s="10">
        <v>44697</v>
      </c>
      <c r="B1570" s="11" t="s">
        <v>101</v>
      </c>
      <c r="C1570">
        <v>1947</v>
      </c>
      <c r="D1570" t="s">
        <v>7</v>
      </c>
      <c r="E1570" t="str">
        <f>IF(may[[#This Row],[ShiftCounter]]&gt;0, "Running", "Down")</f>
        <v>Running</v>
      </c>
    </row>
    <row r="1571" spans="1:5" x14ac:dyDescent="0.25">
      <c r="A1571" s="10">
        <v>44697</v>
      </c>
      <c r="B1571" s="11" t="s">
        <v>101</v>
      </c>
      <c r="C1571">
        <v>1742</v>
      </c>
      <c r="D1571" t="s">
        <v>8</v>
      </c>
      <c r="E1571" t="str">
        <f>IF(may[[#This Row],[ShiftCounter]]&gt;0, "Running", "Down")</f>
        <v>Running</v>
      </c>
    </row>
    <row r="1572" spans="1:5" x14ac:dyDescent="0.25">
      <c r="A1572" s="10">
        <v>44697</v>
      </c>
      <c r="B1572" s="11" t="s">
        <v>14</v>
      </c>
      <c r="C1572">
        <v>1886</v>
      </c>
      <c r="D1572" t="s">
        <v>6</v>
      </c>
      <c r="E1572" t="str">
        <f>IF(may[[#This Row],[ShiftCounter]]&gt;0, "Running", "Down")</f>
        <v>Running</v>
      </c>
    </row>
    <row r="1573" spans="1:5" x14ac:dyDescent="0.25">
      <c r="A1573" s="10">
        <v>44697</v>
      </c>
      <c r="B1573" s="11" t="s">
        <v>14</v>
      </c>
      <c r="C1573">
        <v>1562</v>
      </c>
      <c r="D1573" t="s">
        <v>7</v>
      </c>
      <c r="E1573" t="str">
        <f>IF(may[[#This Row],[ShiftCounter]]&gt;0, "Running", "Down")</f>
        <v>Running</v>
      </c>
    </row>
    <row r="1574" spans="1:5" x14ac:dyDescent="0.25">
      <c r="A1574" s="10">
        <v>44697</v>
      </c>
      <c r="B1574" s="11" t="s">
        <v>14</v>
      </c>
      <c r="C1574">
        <v>1595</v>
      </c>
      <c r="D1574" t="s">
        <v>8</v>
      </c>
      <c r="E1574" t="str">
        <f>IF(may[[#This Row],[ShiftCounter]]&gt;0, "Running", "Down")</f>
        <v>Running</v>
      </c>
    </row>
    <row r="1575" spans="1:5" x14ac:dyDescent="0.25">
      <c r="A1575" s="10">
        <v>44697</v>
      </c>
      <c r="B1575" s="11" t="s">
        <v>15</v>
      </c>
      <c r="C1575">
        <v>2205</v>
      </c>
      <c r="D1575" t="s">
        <v>6</v>
      </c>
      <c r="E1575" t="str">
        <f>IF(may[[#This Row],[ShiftCounter]]&gt;0, "Running", "Down")</f>
        <v>Running</v>
      </c>
    </row>
    <row r="1576" spans="1:5" x14ac:dyDescent="0.25">
      <c r="A1576" s="10">
        <v>44697</v>
      </c>
      <c r="B1576" s="11" t="s">
        <v>15</v>
      </c>
      <c r="C1576">
        <v>2099</v>
      </c>
      <c r="D1576" t="s">
        <v>7</v>
      </c>
      <c r="E1576" t="str">
        <f>IF(may[[#This Row],[ShiftCounter]]&gt;0, "Running", "Down")</f>
        <v>Running</v>
      </c>
    </row>
    <row r="1577" spans="1:5" x14ac:dyDescent="0.25">
      <c r="A1577" s="10">
        <v>44697</v>
      </c>
      <c r="B1577" s="11" t="s">
        <v>15</v>
      </c>
      <c r="C1577">
        <v>1876</v>
      </c>
      <c r="D1577" t="s">
        <v>8</v>
      </c>
      <c r="E1577" t="str">
        <f>IF(may[[#This Row],[ShiftCounter]]&gt;0, "Running", "Down")</f>
        <v>Running</v>
      </c>
    </row>
    <row r="1578" spans="1:5" x14ac:dyDescent="0.25">
      <c r="A1578" s="10">
        <v>44697</v>
      </c>
      <c r="B1578" s="11" t="s">
        <v>16</v>
      </c>
      <c r="C1578">
        <v>2214</v>
      </c>
      <c r="D1578" t="s">
        <v>6</v>
      </c>
      <c r="E1578" t="str">
        <f>IF(may[[#This Row],[ShiftCounter]]&gt;0, "Running", "Down")</f>
        <v>Running</v>
      </c>
    </row>
    <row r="1579" spans="1:5" x14ac:dyDescent="0.25">
      <c r="A1579" s="10">
        <v>44697</v>
      </c>
      <c r="B1579" s="11" t="s">
        <v>16</v>
      </c>
      <c r="C1579">
        <v>2311</v>
      </c>
      <c r="D1579" t="s">
        <v>7</v>
      </c>
      <c r="E1579" t="str">
        <f>IF(may[[#This Row],[ShiftCounter]]&gt;0, "Running", "Down")</f>
        <v>Running</v>
      </c>
    </row>
    <row r="1580" spans="1:5" x14ac:dyDescent="0.25">
      <c r="A1580" s="10">
        <v>44697</v>
      </c>
      <c r="B1580" s="11" t="s">
        <v>16</v>
      </c>
      <c r="C1580">
        <v>1944</v>
      </c>
      <c r="D1580" t="s">
        <v>8</v>
      </c>
      <c r="E1580" t="str">
        <f>IF(may[[#This Row],[ShiftCounter]]&gt;0, "Running", "Down")</f>
        <v>Running</v>
      </c>
    </row>
    <row r="1581" spans="1:5" x14ac:dyDescent="0.25">
      <c r="A1581" s="10">
        <v>44697</v>
      </c>
      <c r="B1581" s="11" t="s">
        <v>17</v>
      </c>
      <c r="C1581">
        <v>2276</v>
      </c>
      <c r="D1581" t="s">
        <v>6</v>
      </c>
      <c r="E1581" t="str">
        <f>IF(may[[#This Row],[ShiftCounter]]&gt;0, "Running", "Down")</f>
        <v>Running</v>
      </c>
    </row>
    <row r="1582" spans="1:5" x14ac:dyDescent="0.25">
      <c r="A1582" s="10">
        <v>44697</v>
      </c>
      <c r="B1582" s="11" t="s">
        <v>17</v>
      </c>
      <c r="C1582">
        <v>2373</v>
      </c>
      <c r="D1582" t="s">
        <v>7</v>
      </c>
      <c r="E1582" t="str">
        <f>IF(may[[#This Row],[ShiftCounter]]&gt;0, "Running", "Down")</f>
        <v>Running</v>
      </c>
    </row>
    <row r="1583" spans="1:5" x14ac:dyDescent="0.25">
      <c r="A1583" s="10">
        <v>44697</v>
      </c>
      <c r="B1583" s="11" t="s">
        <v>17</v>
      </c>
      <c r="C1583">
        <v>2025</v>
      </c>
      <c r="D1583" t="s">
        <v>8</v>
      </c>
      <c r="E1583" t="str">
        <f>IF(may[[#This Row],[ShiftCounter]]&gt;0, "Running", "Down")</f>
        <v>Running</v>
      </c>
    </row>
    <row r="1584" spans="1:5" x14ac:dyDescent="0.25">
      <c r="A1584" s="10">
        <v>44697</v>
      </c>
      <c r="B1584" s="11" t="s">
        <v>19</v>
      </c>
      <c r="C1584">
        <v>2121</v>
      </c>
      <c r="D1584" t="s">
        <v>6</v>
      </c>
      <c r="E1584" t="str">
        <f>IF(may[[#This Row],[ShiftCounter]]&gt;0, "Running", "Down")</f>
        <v>Running</v>
      </c>
    </row>
    <row r="1585" spans="1:5" x14ac:dyDescent="0.25">
      <c r="A1585" s="10">
        <v>44697</v>
      </c>
      <c r="B1585" s="11" t="s">
        <v>19</v>
      </c>
      <c r="C1585">
        <v>2150</v>
      </c>
      <c r="D1585" t="s">
        <v>7</v>
      </c>
      <c r="E1585" t="str">
        <f>IF(may[[#This Row],[ShiftCounter]]&gt;0, "Running", "Down")</f>
        <v>Running</v>
      </c>
    </row>
    <row r="1586" spans="1:5" x14ac:dyDescent="0.25">
      <c r="A1586" s="10">
        <v>44697</v>
      </c>
      <c r="B1586" s="11" t="s">
        <v>19</v>
      </c>
      <c r="C1586">
        <v>1956</v>
      </c>
      <c r="D1586" t="s">
        <v>8</v>
      </c>
      <c r="E1586" t="str">
        <f>IF(may[[#This Row],[ShiftCounter]]&gt;0, "Running", "Down")</f>
        <v>Running</v>
      </c>
    </row>
    <row r="1587" spans="1:5" x14ac:dyDescent="0.25">
      <c r="A1587" s="10">
        <v>44697</v>
      </c>
      <c r="B1587" s="11" t="s">
        <v>18</v>
      </c>
      <c r="C1587">
        <v>313</v>
      </c>
      <c r="D1587" t="s">
        <v>6</v>
      </c>
      <c r="E1587" t="str">
        <f>IF(may[[#This Row],[ShiftCounter]]&gt;0, "Running", "Down")</f>
        <v>Running</v>
      </c>
    </row>
    <row r="1588" spans="1:5" x14ac:dyDescent="0.25">
      <c r="A1588" s="10">
        <v>44697</v>
      </c>
      <c r="B1588" s="11" t="s">
        <v>18</v>
      </c>
      <c r="C1588">
        <v>2300</v>
      </c>
      <c r="D1588" t="s">
        <v>7</v>
      </c>
      <c r="E1588" t="str">
        <f>IF(may[[#This Row],[ShiftCounter]]&gt;0, "Running", "Down")</f>
        <v>Running</v>
      </c>
    </row>
    <row r="1589" spans="1:5" x14ac:dyDescent="0.25">
      <c r="A1589" s="10">
        <v>44697</v>
      </c>
      <c r="B1589" s="11" t="s">
        <v>18</v>
      </c>
      <c r="C1589">
        <v>2215</v>
      </c>
      <c r="D1589" t="s">
        <v>8</v>
      </c>
      <c r="E1589" t="str">
        <f>IF(may[[#This Row],[ShiftCounter]]&gt;0, "Running", "Down")</f>
        <v>Running</v>
      </c>
    </row>
    <row r="1590" spans="1:5" x14ac:dyDescent="0.25">
      <c r="A1590" s="10">
        <v>44697</v>
      </c>
      <c r="B1590" s="11" t="s">
        <v>42</v>
      </c>
      <c r="C1590">
        <v>0</v>
      </c>
      <c r="D1590" t="s">
        <v>6</v>
      </c>
      <c r="E1590" t="str">
        <f>IF(may[[#This Row],[ShiftCounter]]&gt;0, "Running", "Down")</f>
        <v>Down</v>
      </c>
    </row>
    <row r="1591" spans="1:5" x14ac:dyDescent="0.25">
      <c r="A1591" s="10">
        <v>44697</v>
      </c>
      <c r="B1591" s="11" t="s">
        <v>42</v>
      </c>
      <c r="C1591">
        <v>0</v>
      </c>
      <c r="D1591" t="s">
        <v>7</v>
      </c>
      <c r="E1591" t="str">
        <f>IF(may[[#This Row],[ShiftCounter]]&gt;0, "Running", "Down")</f>
        <v>Down</v>
      </c>
    </row>
    <row r="1592" spans="1:5" x14ac:dyDescent="0.25">
      <c r="A1592" s="10">
        <v>44697</v>
      </c>
      <c r="B1592" s="11" t="s">
        <v>42</v>
      </c>
      <c r="C1592">
        <v>0</v>
      </c>
      <c r="D1592" t="s">
        <v>8</v>
      </c>
      <c r="E1592" t="str">
        <f>IF(may[[#This Row],[ShiftCounter]]&gt;0, "Running", "Down")</f>
        <v>Down</v>
      </c>
    </row>
    <row r="1593" spans="1:5" x14ac:dyDescent="0.25">
      <c r="A1593" s="10">
        <v>44697</v>
      </c>
      <c r="B1593" s="11" t="s">
        <v>20</v>
      </c>
      <c r="C1593">
        <v>1968</v>
      </c>
      <c r="D1593" t="s">
        <v>6</v>
      </c>
      <c r="E1593" t="str">
        <f>IF(may[[#This Row],[ShiftCounter]]&gt;0, "Running", "Down")</f>
        <v>Running</v>
      </c>
    </row>
    <row r="1594" spans="1:5" x14ac:dyDescent="0.25">
      <c r="A1594" s="10">
        <v>44697</v>
      </c>
      <c r="B1594" s="11" t="s">
        <v>20</v>
      </c>
      <c r="C1594">
        <v>2050</v>
      </c>
      <c r="D1594" t="s">
        <v>7</v>
      </c>
      <c r="E1594" t="str">
        <f>IF(may[[#This Row],[ShiftCounter]]&gt;0, "Running", "Down")</f>
        <v>Running</v>
      </c>
    </row>
    <row r="1595" spans="1:5" x14ac:dyDescent="0.25">
      <c r="A1595" s="10">
        <v>44697</v>
      </c>
      <c r="B1595" s="11" t="s">
        <v>20</v>
      </c>
      <c r="C1595">
        <v>1815</v>
      </c>
      <c r="D1595" t="s">
        <v>8</v>
      </c>
      <c r="E1595" t="str">
        <f>IF(may[[#This Row],[ShiftCounter]]&gt;0, "Running", "Down")</f>
        <v>Running</v>
      </c>
    </row>
    <row r="1596" spans="1:5" x14ac:dyDescent="0.25">
      <c r="A1596" s="10">
        <v>44697</v>
      </c>
      <c r="B1596" s="11" t="s">
        <v>21</v>
      </c>
      <c r="C1596">
        <v>2031</v>
      </c>
      <c r="D1596" t="s">
        <v>6</v>
      </c>
      <c r="E1596" t="str">
        <f>IF(may[[#This Row],[ShiftCounter]]&gt;0, "Running", "Down")</f>
        <v>Running</v>
      </c>
    </row>
    <row r="1597" spans="1:5" x14ac:dyDescent="0.25">
      <c r="A1597" s="10">
        <v>44697</v>
      </c>
      <c r="B1597" s="11" t="s">
        <v>21</v>
      </c>
      <c r="C1597">
        <v>2130</v>
      </c>
      <c r="D1597" t="s">
        <v>7</v>
      </c>
      <c r="E1597" t="str">
        <f>IF(may[[#This Row],[ShiftCounter]]&gt;0, "Running", "Down")</f>
        <v>Running</v>
      </c>
    </row>
    <row r="1598" spans="1:5" x14ac:dyDescent="0.25">
      <c r="A1598" s="10">
        <v>44697</v>
      </c>
      <c r="B1598" s="11" t="s">
        <v>21</v>
      </c>
      <c r="C1598">
        <v>1843</v>
      </c>
      <c r="D1598" t="s">
        <v>8</v>
      </c>
      <c r="E1598" t="str">
        <f>IF(may[[#This Row],[ShiftCounter]]&gt;0, "Running", "Down")</f>
        <v>Running</v>
      </c>
    </row>
    <row r="1599" spans="1:5" x14ac:dyDescent="0.25">
      <c r="A1599" s="10">
        <v>44697</v>
      </c>
      <c r="B1599" s="11" t="s">
        <v>22</v>
      </c>
      <c r="C1599">
        <v>1008</v>
      </c>
      <c r="D1599" t="s">
        <v>6</v>
      </c>
      <c r="E1599" t="str">
        <f>IF(may[[#This Row],[ShiftCounter]]&gt;0, "Running", "Down")</f>
        <v>Running</v>
      </c>
    </row>
    <row r="1600" spans="1:5" x14ac:dyDescent="0.25">
      <c r="A1600" s="10">
        <v>44697</v>
      </c>
      <c r="B1600" s="11" t="s">
        <v>22</v>
      </c>
      <c r="C1600">
        <v>2240</v>
      </c>
      <c r="D1600" t="s">
        <v>7</v>
      </c>
      <c r="E1600" t="str">
        <f>IF(may[[#This Row],[ShiftCounter]]&gt;0, "Running", "Down")</f>
        <v>Running</v>
      </c>
    </row>
    <row r="1601" spans="1:5" x14ac:dyDescent="0.25">
      <c r="A1601" s="10">
        <v>44697</v>
      </c>
      <c r="B1601" s="11" t="s">
        <v>22</v>
      </c>
      <c r="C1601">
        <v>2031</v>
      </c>
      <c r="D1601" t="s">
        <v>8</v>
      </c>
      <c r="E1601" t="str">
        <f>IF(may[[#This Row],[ShiftCounter]]&gt;0, "Running", "Down")</f>
        <v>Running</v>
      </c>
    </row>
    <row r="1602" spans="1:5" x14ac:dyDescent="0.25">
      <c r="A1602" s="10">
        <v>44697</v>
      </c>
      <c r="B1602" s="11" t="s">
        <v>23</v>
      </c>
      <c r="C1602">
        <v>2385</v>
      </c>
      <c r="D1602" t="s">
        <v>6</v>
      </c>
      <c r="E1602" t="str">
        <f>IF(may[[#This Row],[ShiftCounter]]&gt;0, "Running", "Down")</f>
        <v>Running</v>
      </c>
    </row>
    <row r="1603" spans="1:5" x14ac:dyDescent="0.25">
      <c r="A1603" s="10">
        <v>44697</v>
      </c>
      <c r="B1603" s="11" t="s">
        <v>23</v>
      </c>
      <c r="C1603">
        <v>2300</v>
      </c>
      <c r="D1603" t="s">
        <v>7</v>
      </c>
      <c r="E1603" t="str">
        <f>IF(may[[#This Row],[ShiftCounter]]&gt;0, "Running", "Down")</f>
        <v>Running</v>
      </c>
    </row>
    <row r="1604" spans="1:5" x14ac:dyDescent="0.25">
      <c r="A1604" s="10">
        <v>44697</v>
      </c>
      <c r="B1604" s="11" t="s">
        <v>23</v>
      </c>
      <c r="C1604">
        <v>2108</v>
      </c>
      <c r="D1604" t="s">
        <v>8</v>
      </c>
      <c r="E1604" t="str">
        <f>IF(may[[#This Row],[ShiftCounter]]&gt;0, "Running", "Down")</f>
        <v>Running</v>
      </c>
    </row>
    <row r="1605" spans="1:5" x14ac:dyDescent="0.25">
      <c r="A1605" s="10">
        <v>44697</v>
      </c>
      <c r="B1605" s="11" t="s">
        <v>75</v>
      </c>
      <c r="C1605">
        <v>1706</v>
      </c>
      <c r="D1605" t="s">
        <v>6</v>
      </c>
      <c r="E1605" t="str">
        <f>IF(may[[#This Row],[ShiftCounter]]&gt;0, "Running", "Down")</f>
        <v>Running</v>
      </c>
    </row>
    <row r="1606" spans="1:5" x14ac:dyDescent="0.25">
      <c r="A1606" s="10">
        <v>44697</v>
      </c>
      <c r="B1606" s="11" t="s">
        <v>75</v>
      </c>
      <c r="C1606">
        <v>0</v>
      </c>
      <c r="D1606" t="s">
        <v>7</v>
      </c>
      <c r="E1606" t="str">
        <f>IF(may[[#This Row],[ShiftCounter]]&gt;0, "Running", "Down")</f>
        <v>Down</v>
      </c>
    </row>
    <row r="1607" spans="1:5" x14ac:dyDescent="0.25">
      <c r="A1607" s="10">
        <v>44697</v>
      </c>
      <c r="B1607" s="11" t="s">
        <v>75</v>
      </c>
      <c r="C1607">
        <v>0</v>
      </c>
      <c r="D1607" t="s">
        <v>8</v>
      </c>
      <c r="E1607" t="str">
        <f>IF(may[[#This Row],[ShiftCounter]]&gt;0, "Running", "Down")</f>
        <v>Down</v>
      </c>
    </row>
    <row r="1608" spans="1:5" x14ac:dyDescent="0.25">
      <c r="A1608" s="10">
        <v>44697</v>
      </c>
      <c r="B1608" s="11" t="s">
        <v>24</v>
      </c>
      <c r="C1608">
        <v>845</v>
      </c>
      <c r="D1608" t="s">
        <v>6</v>
      </c>
      <c r="E1608" t="str">
        <f>IF(may[[#This Row],[ShiftCounter]]&gt;0, "Running", "Down")</f>
        <v>Running</v>
      </c>
    </row>
    <row r="1609" spans="1:5" x14ac:dyDescent="0.25">
      <c r="A1609" s="10">
        <v>44697</v>
      </c>
      <c r="B1609" s="11" t="s">
        <v>24</v>
      </c>
      <c r="C1609">
        <v>2080</v>
      </c>
      <c r="D1609" t="s">
        <v>7</v>
      </c>
      <c r="E1609" t="str">
        <f>IF(may[[#This Row],[ShiftCounter]]&gt;0, "Running", "Down")</f>
        <v>Running</v>
      </c>
    </row>
    <row r="1610" spans="1:5" x14ac:dyDescent="0.25">
      <c r="A1610" s="10">
        <v>44697</v>
      </c>
      <c r="B1610" s="11" t="s">
        <v>24</v>
      </c>
      <c r="C1610">
        <v>1888</v>
      </c>
      <c r="D1610" t="s">
        <v>8</v>
      </c>
      <c r="E1610" t="str">
        <f>IF(may[[#This Row],[ShiftCounter]]&gt;0, "Running", "Down")</f>
        <v>Running</v>
      </c>
    </row>
    <row r="1611" spans="1:5" x14ac:dyDescent="0.25">
      <c r="A1611" s="10">
        <v>44697</v>
      </c>
      <c r="B1611" s="11" t="s">
        <v>25</v>
      </c>
      <c r="C1611">
        <v>2356</v>
      </c>
      <c r="D1611" t="s">
        <v>6</v>
      </c>
      <c r="E1611" t="str">
        <f>IF(may[[#This Row],[ShiftCounter]]&gt;0, "Running", "Down")</f>
        <v>Running</v>
      </c>
    </row>
    <row r="1612" spans="1:5" x14ac:dyDescent="0.25">
      <c r="A1612" s="10">
        <v>44697</v>
      </c>
      <c r="B1612" s="11" t="s">
        <v>25</v>
      </c>
      <c r="C1612">
        <v>2225</v>
      </c>
      <c r="D1612" t="s">
        <v>7</v>
      </c>
      <c r="E1612" t="str">
        <f>IF(may[[#This Row],[ShiftCounter]]&gt;0, "Running", "Down")</f>
        <v>Running</v>
      </c>
    </row>
    <row r="1613" spans="1:5" x14ac:dyDescent="0.25">
      <c r="A1613" s="10">
        <v>44697</v>
      </c>
      <c r="B1613" s="11" t="s">
        <v>25</v>
      </c>
      <c r="C1613">
        <v>1941</v>
      </c>
      <c r="D1613" t="s">
        <v>8</v>
      </c>
      <c r="E1613" t="str">
        <f>IF(may[[#This Row],[ShiftCounter]]&gt;0, "Running", "Down")</f>
        <v>Running</v>
      </c>
    </row>
    <row r="1614" spans="1:5" x14ac:dyDescent="0.25">
      <c r="A1614" s="10">
        <v>44697</v>
      </c>
      <c r="B1614" s="11" t="s">
        <v>26</v>
      </c>
      <c r="C1614">
        <v>2023</v>
      </c>
      <c r="D1614" t="s">
        <v>6</v>
      </c>
      <c r="E1614" t="str">
        <f>IF(may[[#This Row],[ShiftCounter]]&gt;0, "Running", "Down")</f>
        <v>Running</v>
      </c>
    </row>
    <row r="1615" spans="1:5" x14ac:dyDescent="0.25">
      <c r="A1615" s="10">
        <v>44697</v>
      </c>
      <c r="B1615" s="11" t="s">
        <v>26</v>
      </c>
      <c r="C1615">
        <v>2130</v>
      </c>
      <c r="D1615" t="s">
        <v>7</v>
      </c>
      <c r="E1615" t="str">
        <f>IF(may[[#This Row],[ShiftCounter]]&gt;0, "Running", "Down")</f>
        <v>Running</v>
      </c>
    </row>
    <row r="1616" spans="1:5" x14ac:dyDescent="0.25">
      <c r="A1616" s="10">
        <v>44697</v>
      </c>
      <c r="B1616" s="11" t="s">
        <v>26</v>
      </c>
      <c r="C1616">
        <v>1885</v>
      </c>
      <c r="D1616" t="s">
        <v>8</v>
      </c>
      <c r="E1616" t="str">
        <f>IF(may[[#This Row],[ShiftCounter]]&gt;0, "Running", "Down")</f>
        <v>Running</v>
      </c>
    </row>
    <row r="1617" spans="1:5" x14ac:dyDescent="0.25">
      <c r="A1617" s="10">
        <v>44697</v>
      </c>
      <c r="B1617" s="11" t="s">
        <v>27</v>
      </c>
      <c r="C1617">
        <v>0</v>
      </c>
      <c r="D1617" t="s">
        <v>6</v>
      </c>
      <c r="E1617" t="str">
        <f>IF(may[[#This Row],[ShiftCounter]]&gt;0, "Running", "Down")</f>
        <v>Down</v>
      </c>
    </row>
    <row r="1618" spans="1:5" x14ac:dyDescent="0.25">
      <c r="A1618" s="10">
        <v>44697</v>
      </c>
      <c r="B1618" s="11" t="s">
        <v>27</v>
      </c>
      <c r="C1618">
        <v>2490</v>
      </c>
      <c r="D1618" t="s">
        <v>7</v>
      </c>
      <c r="E1618" t="str">
        <f>IF(may[[#This Row],[ShiftCounter]]&gt;0, "Running", "Down")</f>
        <v>Running</v>
      </c>
    </row>
    <row r="1619" spans="1:5" x14ac:dyDescent="0.25">
      <c r="A1619" s="10">
        <v>44697</v>
      </c>
      <c r="B1619" s="11" t="s">
        <v>27</v>
      </c>
      <c r="C1619">
        <v>2009</v>
      </c>
      <c r="D1619" t="s">
        <v>8</v>
      </c>
      <c r="E1619" t="str">
        <f>IF(may[[#This Row],[ShiftCounter]]&gt;0, "Running", "Down")</f>
        <v>Running</v>
      </c>
    </row>
    <row r="1620" spans="1:5" x14ac:dyDescent="0.25">
      <c r="A1620" s="10">
        <v>44697</v>
      </c>
      <c r="B1620" s="11" t="s">
        <v>28</v>
      </c>
      <c r="C1620">
        <v>2214</v>
      </c>
      <c r="D1620" t="s">
        <v>6</v>
      </c>
      <c r="E1620" t="str">
        <f>IF(may[[#This Row],[ShiftCounter]]&gt;0, "Running", "Down")</f>
        <v>Running</v>
      </c>
    </row>
    <row r="1621" spans="1:5" x14ac:dyDescent="0.25">
      <c r="A1621" s="10">
        <v>44697</v>
      </c>
      <c r="B1621" s="11" t="s">
        <v>28</v>
      </c>
      <c r="C1621">
        <v>2165</v>
      </c>
      <c r="D1621" t="s">
        <v>7</v>
      </c>
      <c r="E1621" t="str">
        <f>IF(may[[#This Row],[ShiftCounter]]&gt;0, "Running", "Down")</f>
        <v>Running</v>
      </c>
    </row>
    <row r="1622" spans="1:5" x14ac:dyDescent="0.25">
      <c r="A1622" s="10">
        <v>44697</v>
      </c>
      <c r="B1622" s="11" t="s">
        <v>28</v>
      </c>
      <c r="C1622">
        <v>1864</v>
      </c>
      <c r="D1622" t="s">
        <v>8</v>
      </c>
      <c r="E1622" t="str">
        <f>IF(may[[#This Row],[ShiftCounter]]&gt;0, "Running", "Down")</f>
        <v>Running</v>
      </c>
    </row>
    <row r="1623" spans="1:5" x14ac:dyDescent="0.25">
      <c r="A1623" s="10">
        <v>44697</v>
      </c>
      <c r="B1623" s="11" t="s">
        <v>29</v>
      </c>
      <c r="C1623">
        <v>0</v>
      </c>
      <c r="D1623" t="s">
        <v>6</v>
      </c>
      <c r="E1623" t="str">
        <f>IF(may[[#This Row],[ShiftCounter]]&gt;0, "Running", "Down")</f>
        <v>Down</v>
      </c>
    </row>
    <row r="1624" spans="1:5" x14ac:dyDescent="0.25">
      <c r="A1624" s="10">
        <v>44697</v>
      </c>
      <c r="B1624" s="11" t="s">
        <v>29</v>
      </c>
      <c r="C1624">
        <v>1794</v>
      </c>
      <c r="D1624" t="s">
        <v>7</v>
      </c>
      <c r="E1624" t="str">
        <f>IF(may[[#This Row],[ShiftCounter]]&gt;0, "Running", "Down")</f>
        <v>Running</v>
      </c>
    </row>
    <row r="1625" spans="1:5" x14ac:dyDescent="0.25">
      <c r="A1625" s="10">
        <v>44697</v>
      </c>
      <c r="B1625" s="11" t="s">
        <v>29</v>
      </c>
      <c r="C1625">
        <v>1715</v>
      </c>
      <c r="D1625" t="s">
        <v>8</v>
      </c>
      <c r="E1625" t="str">
        <f>IF(may[[#This Row],[ShiftCounter]]&gt;0, "Running", "Down")</f>
        <v>Running</v>
      </c>
    </row>
    <row r="1626" spans="1:5" x14ac:dyDescent="0.25">
      <c r="A1626" s="10">
        <v>44697</v>
      </c>
      <c r="B1626" s="11" t="s">
        <v>30</v>
      </c>
      <c r="C1626">
        <v>2288</v>
      </c>
      <c r="D1626" t="s">
        <v>6</v>
      </c>
      <c r="E1626" t="str">
        <f>IF(may[[#This Row],[ShiftCounter]]&gt;0, "Running", "Down")</f>
        <v>Running</v>
      </c>
    </row>
    <row r="1627" spans="1:5" x14ac:dyDescent="0.25">
      <c r="A1627" s="10">
        <v>44697</v>
      </c>
      <c r="B1627" s="11" t="s">
        <v>30</v>
      </c>
      <c r="C1627">
        <v>2245</v>
      </c>
      <c r="D1627" t="s">
        <v>7</v>
      </c>
      <c r="E1627" t="str">
        <f>IF(may[[#This Row],[ShiftCounter]]&gt;0, "Running", "Down")</f>
        <v>Running</v>
      </c>
    </row>
    <row r="1628" spans="1:5" x14ac:dyDescent="0.25">
      <c r="A1628" s="10">
        <v>44697</v>
      </c>
      <c r="B1628" s="11" t="s">
        <v>30</v>
      </c>
      <c r="C1628">
        <v>1999</v>
      </c>
      <c r="D1628" t="s">
        <v>8</v>
      </c>
      <c r="E1628" t="str">
        <f>IF(may[[#This Row],[ShiftCounter]]&gt;0, "Running", "Down")</f>
        <v>Running</v>
      </c>
    </row>
    <row r="1629" spans="1:5" x14ac:dyDescent="0.25">
      <c r="A1629" s="10">
        <v>44697</v>
      </c>
      <c r="B1629" s="11" t="s">
        <v>31</v>
      </c>
      <c r="C1629">
        <v>2242</v>
      </c>
      <c r="D1629" t="s">
        <v>6</v>
      </c>
      <c r="E1629" t="str">
        <f>IF(may[[#This Row],[ShiftCounter]]&gt;0, "Running", "Down")</f>
        <v>Running</v>
      </c>
    </row>
    <row r="1630" spans="1:5" x14ac:dyDescent="0.25">
      <c r="A1630" s="10">
        <v>44697</v>
      </c>
      <c r="B1630" s="11" t="s">
        <v>31</v>
      </c>
      <c r="C1630">
        <v>2113</v>
      </c>
      <c r="D1630" t="s">
        <v>7</v>
      </c>
      <c r="E1630" t="str">
        <f>IF(may[[#This Row],[ShiftCounter]]&gt;0, "Running", "Down")</f>
        <v>Running</v>
      </c>
    </row>
    <row r="1631" spans="1:5" x14ac:dyDescent="0.25">
      <c r="A1631" s="10">
        <v>44697</v>
      </c>
      <c r="B1631" s="11" t="s">
        <v>31</v>
      </c>
      <c r="C1631">
        <v>1821</v>
      </c>
      <c r="D1631" t="s">
        <v>8</v>
      </c>
      <c r="E1631" t="str">
        <f>IF(may[[#This Row],[ShiftCounter]]&gt;0, "Running", "Down")</f>
        <v>Running</v>
      </c>
    </row>
    <row r="1632" spans="1:5" x14ac:dyDescent="0.25">
      <c r="A1632" s="10">
        <v>44697</v>
      </c>
      <c r="B1632" s="11" t="s">
        <v>32</v>
      </c>
      <c r="C1632">
        <v>2354</v>
      </c>
      <c r="D1632" t="s">
        <v>6</v>
      </c>
      <c r="E1632" t="str">
        <f>IF(may[[#This Row],[ShiftCounter]]&gt;0, "Running", "Down")</f>
        <v>Running</v>
      </c>
    </row>
    <row r="1633" spans="1:5" x14ac:dyDescent="0.25">
      <c r="A1633" s="10">
        <v>44697</v>
      </c>
      <c r="B1633" s="11" t="s">
        <v>32</v>
      </c>
      <c r="C1633">
        <v>2161</v>
      </c>
      <c r="D1633" t="s">
        <v>7</v>
      </c>
      <c r="E1633" t="str">
        <f>IF(may[[#This Row],[ShiftCounter]]&gt;0, "Running", "Down")</f>
        <v>Running</v>
      </c>
    </row>
    <row r="1634" spans="1:5" x14ac:dyDescent="0.25">
      <c r="A1634" s="10">
        <v>44697</v>
      </c>
      <c r="B1634" s="11" t="s">
        <v>32</v>
      </c>
      <c r="C1634">
        <v>1883</v>
      </c>
      <c r="D1634" t="s">
        <v>8</v>
      </c>
      <c r="E1634" t="str">
        <f>IF(may[[#This Row],[ShiftCounter]]&gt;0, "Running", "Down")</f>
        <v>Running</v>
      </c>
    </row>
    <row r="1635" spans="1:5" x14ac:dyDescent="0.25">
      <c r="A1635" s="10">
        <v>44697</v>
      </c>
      <c r="B1635" s="11" t="s">
        <v>33</v>
      </c>
      <c r="C1635">
        <v>2497</v>
      </c>
      <c r="D1635" t="s">
        <v>6</v>
      </c>
      <c r="E1635" t="str">
        <f>IF(may[[#This Row],[ShiftCounter]]&gt;0, "Running", "Down")</f>
        <v>Running</v>
      </c>
    </row>
    <row r="1636" spans="1:5" x14ac:dyDescent="0.25">
      <c r="A1636" s="10">
        <v>44697</v>
      </c>
      <c r="B1636" s="11" t="s">
        <v>33</v>
      </c>
      <c r="C1636">
        <v>2295</v>
      </c>
      <c r="D1636" t="s">
        <v>7</v>
      </c>
      <c r="E1636" t="str">
        <f>IF(may[[#This Row],[ShiftCounter]]&gt;0, "Running", "Down")</f>
        <v>Running</v>
      </c>
    </row>
    <row r="1637" spans="1:5" x14ac:dyDescent="0.25">
      <c r="A1637" s="10">
        <v>44697</v>
      </c>
      <c r="B1637" s="11" t="s">
        <v>33</v>
      </c>
      <c r="C1637">
        <v>1994</v>
      </c>
      <c r="D1637" t="s">
        <v>8</v>
      </c>
      <c r="E1637" t="str">
        <f>IF(may[[#This Row],[ShiftCounter]]&gt;0, "Running", "Down")</f>
        <v>Running</v>
      </c>
    </row>
    <row r="1638" spans="1:5" x14ac:dyDescent="0.25">
      <c r="A1638" s="10">
        <v>44697</v>
      </c>
      <c r="B1638" s="11" t="s">
        <v>34</v>
      </c>
      <c r="C1638">
        <v>887</v>
      </c>
      <c r="D1638" t="s">
        <v>6</v>
      </c>
      <c r="E1638" t="str">
        <f>IF(may[[#This Row],[ShiftCounter]]&gt;0, "Running", "Down")</f>
        <v>Running</v>
      </c>
    </row>
    <row r="1639" spans="1:5" x14ac:dyDescent="0.25">
      <c r="A1639" s="10">
        <v>44697</v>
      </c>
      <c r="B1639" s="11" t="s">
        <v>34</v>
      </c>
      <c r="C1639">
        <v>1952</v>
      </c>
      <c r="D1639" t="s">
        <v>7</v>
      </c>
      <c r="E1639" t="str">
        <f>IF(may[[#This Row],[ShiftCounter]]&gt;0, "Running", "Down")</f>
        <v>Running</v>
      </c>
    </row>
    <row r="1640" spans="1:5" x14ac:dyDescent="0.25">
      <c r="A1640" s="10">
        <v>44697</v>
      </c>
      <c r="B1640" s="11" t="s">
        <v>34</v>
      </c>
      <c r="C1640">
        <v>1672</v>
      </c>
      <c r="D1640" t="s">
        <v>8</v>
      </c>
      <c r="E1640" t="str">
        <f>IF(may[[#This Row],[ShiftCounter]]&gt;0, "Running", "Down")</f>
        <v>Running</v>
      </c>
    </row>
    <row r="1641" spans="1:5" x14ac:dyDescent="0.25">
      <c r="A1641" s="10">
        <v>44697</v>
      </c>
      <c r="B1641" s="11" t="s">
        <v>37</v>
      </c>
      <c r="C1641">
        <v>1791</v>
      </c>
      <c r="D1641" t="s">
        <v>6</v>
      </c>
      <c r="E1641" t="str">
        <f>IF(may[[#This Row],[ShiftCounter]]&gt;0, "Running", "Down")</f>
        <v>Running</v>
      </c>
    </row>
    <row r="1642" spans="1:5" x14ac:dyDescent="0.25">
      <c r="A1642" s="10">
        <v>44697</v>
      </c>
      <c r="B1642" s="11" t="s">
        <v>37</v>
      </c>
      <c r="C1642">
        <v>2231</v>
      </c>
      <c r="D1642" t="s">
        <v>7</v>
      </c>
      <c r="E1642" t="str">
        <f>IF(may[[#This Row],[ShiftCounter]]&gt;0, "Running", "Down")</f>
        <v>Running</v>
      </c>
    </row>
    <row r="1643" spans="1:5" x14ac:dyDescent="0.25">
      <c r="A1643" s="10">
        <v>44697</v>
      </c>
      <c r="B1643" s="11" t="s">
        <v>37</v>
      </c>
      <c r="C1643">
        <v>1978</v>
      </c>
      <c r="D1643" t="s">
        <v>8</v>
      </c>
      <c r="E1643" t="str">
        <f>IF(may[[#This Row],[ShiftCounter]]&gt;0, "Running", "Down")</f>
        <v>Running</v>
      </c>
    </row>
    <row r="1644" spans="1:5" x14ac:dyDescent="0.25">
      <c r="A1644" s="10">
        <v>44698</v>
      </c>
      <c r="B1644" s="11" t="s">
        <v>40</v>
      </c>
      <c r="C1644">
        <v>2388</v>
      </c>
      <c r="D1644" t="s">
        <v>6</v>
      </c>
      <c r="E1644" t="str">
        <f>IF(may[[#This Row],[ShiftCounter]]&gt;0, "Running", "Down")</f>
        <v>Running</v>
      </c>
    </row>
    <row r="1645" spans="1:5" x14ac:dyDescent="0.25">
      <c r="A1645" s="10">
        <v>44698</v>
      </c>
      <c r="B1645" s="11" t="s">
        <v>40</v>
      </c>
      <c r="C1645">
        <v>2296</v>
      </c>
      <c r="D1645" t="s">
        <v>7</v>
      </c>
      <c r="E1645" t="str">
        <f>IF(may[[#This Row],[ShiftCounter]]&gt;0, "Running", "Down")</f>
        <v>Running</v>
      </c>
    </row>
    <row r="1646" spans="1:5" x14ac:dyDescent="0.25">
      <c r="A1646" s="10">
        <v>44698</v>
      </c>
      <c r="B1646" s="11" t="s">
        <v>40</v>
      </c>
      <c r="C1646">
        <v>2030</v>
      </c>
      <c r="D1646" t="s">
        <v>8</v>
      </c>
      <c r="E1646" t="str">
        <f>IF(may[[#This Row],[ShiftCounter]]&gt;0, "Running", "Down")</f>
        <v>Running</v>
      </c>
    </row>
    <row r="1647" spans="1:5" x14ac:dyDescent="0.25">
      <c r="A1647" s="10">
        <v>44698</v>
      </c>
      <c r="B1647" s="11" t="s">
        <v>39</v>
      </c>
      <c r="C1647">
        <v>2141</v>
      </c>
      <c r="D1647" t="s">
        <v>6</v>
      </c>
      <c r="E1647" t="str">
        <f>IF(may[[#This Row],[ShiftCounter]]&gt;0, "Running", "Down")</f>
        <v>Running</v>
      </c>
    </row>
    <row r="1648" spans="1:5" x14ac:dyDescent="0.25">
      <c r="A1648" s="10">
        <v>44698</v>
      </c>
      <c r="B1648" s="11" t="s">
        <v>39</v>
      </c>
      <c r="C1648">
        <v>2001</v>
      </c>
      <c r="D1648" t="s">
        <v>7</v>
      </c>
      <c r="E1648" t="str">
        <f>IF(may[[#This Row],[ShiftCounter]]&gt;0, "Running", "Down")</f>
        <v>Running</v>
      </c>
    </row>
    <row r="1649" spans="1:5" x14ac:dyDescent="0.25">
      <c r="A1649" s="10">
        <v>44698</v>
      </c>
      <c r="B1649" s="11" t="s">
        <v>39</v>
      </c>
      <c r="C1649">
        <v>1769</v>
      </c>
      <c r="D1649" t="s">
        <v>8</v>
      </c>
      <c r="E1649" t="str">
        <f>IF(may[[#This Row],[ShiftCounter]]&gt;0, "Running", "Down")</f>
        <v>Running</v>
      </c>
    </row>
    <row r="1650" spans="1:5" x14ac:dyDescent="0.25">
      <c r="A1650" s="10">
        <v>44698</v>
      </c>
      <c r="B1650" s="11" t="s">
        <v>41</v>
      </c>
      <c r="C1650">
        <v>2055</v>
      </c>
      <c r="D1650" t="s">
        <v>6</v>
      </c>
      <c r="E1650" t="str">
        <f>IF(may[[#This Row],[ShiftCounter]]&gt;0, "Running", "Down")</f>
        <v>Running</v>
      </c>
    </row>
    <row r="1651" spans="1:5" x14ac:dyDescent="0.25">
      <c r="A1651" s="10">
        <v>44698</v>
      </c>
      <c r="B1651" s="11" t="s">
        <v>41</v>
      </c>
      <c r="C1651">
        <v>2288</v>
      </c>
      <c r="D1651" t="s">
        <v>7</v>
      </c>
      <c r="E1651" t="str">
        <f>IF(may[[#This Row],[ShiftCounter]]&gt;0, "Running", "Down")</f>
        <v>Running</v>
      </c>
    </row>
    <row r="1652" spans="1:5" x14ac:dyDescent="0.25">
      <c r="A1652" s="10">
        <v>44698</v>
      </c>
      <c r="B1652" s="11" t="s">
        <v>41</v>
      </c>
      <c r="C1652">
        <v>2010</v>
      </c>
      <c r="D1652" t="s">
        <v>8</v>
      </c>
      <c r="E1652" t="str">
        <f>IF(may[[#This Row],[ShiftCounter]]&gt;0, "Running", "Down")</f>
        <v>Running</v>
      </c>
    </row>
    <row r="1653" spans="1:5" x14ac:dyDescent="0.25">
      <c r="A1653" s="10">
        <v>44698</v>
      </c>
      <c r="B1653" s="11" t="s">
        <v>5</v>
      </c>
      <c r="C1653">
        <v>2466</v>
      </c>
      <c r="D1653" t="s">
        <v>6</v>
      </c>
      <c r="E1653" t="str">
        <f>IF(may[[#This Row],[ShiftCounter]]&gt;0, "Running", "Down")</f>
        <v>Running</v>
      </c>
    </row>
    <row r="1654" spans="1:5" x14ac:dyDescent="0.25">
      <c r="A1654" s="10">
        <v>44698</v>
      </c>
      <c r="B1654" s="11" t="s">
        <v>5</v>
      </c>
      <c r="C1654">
        <v>2318</v>
      </c>
      <c r="D1654" t="s">
        <v>7</v>
      </c>
      <c r="E1654" t="str">
        <f>IF(may[[#This Row],[ShiftCounter]]&gt;0, "Running", "Down")</f>
        <v>Running</v>
      </c>
    </row>
    <row r="1655" spans="1:5" x14ac:dyDescent="0.25">
      <c r="A1655" s="10">
        <v>44698</v>
      </c>
      <c r="B1655" s="11" t="s">
        <v>5</v>
      </c>
      <c r="C1655">
        <v>2044</v>
      </c>
      <c r="D1655" t="s">
        <v>8</v>
      </c>
      <c r="E1655" t="str">
        <f>IF(may[[#This Row],[ShiftCounter]]&gt;0, "Running", "Down")</f>
        <v>Running</v>
      </c>
    </row>
    <row r="1656" spans="1:5" x14ac:dyDescent="0.25">
      <c r="A1656" s="10">
        <v>44698</v>
      </c>
      <c r="B1656" s="11" t="s">
        <v>9</v>
      </c>
      <c r="C1656">
        <v>2449</v>
      </c>
      <c r="D1656" t="s">
        <v>6</v>
      </c>
      <c r="E1656" t="str">
        <f>IF(may[[#This Row],[ShiftCounter]]&gt;0, "Running", "Down")</f>
        <v>Running</v>
      </c>
    </row>
    <row r="1657" spans="1:5" x14ac:dyDescent="0.25">
      <c r="A1657" s="10">
        <v>44698</v>
      </c>
      <c r="B1657" s="11" t="s">
        <v>9</v>
      </c>
      <c r="C1657">
        <v>2298</v>
      </c>
      <c r="D1657" t="s">
        <v>7</v>
      </c>
      <c r="E1657" t="str">
        <f>IF(may[[#This Row],[ShiftCounter]]&gt;0, "Running", "Down")</f>
        <v>Running</v>
      </c>
    </row>
    <row r="1658" spans="1:5" x14ac:dyDescent="0.25">
      <c r="A1658" s="10">
        <v>44698</v>
      </c>
      <c r="B1658" s="11" t="s">
        <v>9</v>
      </c>
      <c r="C1658">
        <v>2012</v>
      </c>
      <c r="D1658" t="s">
        <v>8</v>
      </c>
      <c r="E1658" t="str">
        <f>IF(may[[#This Row],[ShiftCounter]]&gt;0, "Running", "Down")</f>
        <v>Running</v>
      </c>
    </row>
    <row r="1659" spans="1:5" x14ac:dyDescent="0.25">
      <c r="A1659" s="10">
        <v>44698</v>
      </c>
      <c r="B1659" s="11" t="s">
        <v>10</v>
      </c>
      <c r="C1659">
        <v>2125</v>
      </c>
      <c r="D1659" t="s">
        <v>6</v>
      </c>
      <c r="E1659" t="str">
        <f>IF(may[[#This Row],[ShiftCounter]]&gt;0, "Running", "Down")</f>
        <v>Running</v>
      </c>
    </row>
    <row r="1660" spans="1:5" x14ac:dyDescent="0.25">
      <c r="A1660" s="10">
        <v>44698</v>
      </c>
      <c r="B1660" s="11" t="s">
        <v>10</v>
      </c>
      <c r="C1660">
        <v>0</v>
      </c>
      <c r="D1660" t="s">
        <v>7</v>
      </c>
      <c r="E1660" t="str">
        <f>IF(may[[#This Row],[ShiftCounter]]&gt;0, "Running", "Down")</f>
        <v>Down</v>
      </c>
    </row>
    <row r="1661" spans="1:5" x14ac:dyDescent="0.25">
      <c r="A1661" s="10">
        <v>44698</v>
      </c>
      <c r="B1661" s="11" t="s">
        <v>10</v>
      </c>
      <c r="C1661">
        <v>0</v>
      </c>
      <c r="D1661" t="s">
        <v>8</v>
      </c>
      <c r="E1661" t="str">
        <f>IF(may[[#This Row],[ShiftCounter]]&gt;0, "Running", "Down")</f>
        <v>Down</v>
      </c>
    </row>
    <row r="1662" spans="1:5" x14ac:dyDescent="0.25">
      <c r="A1662" s="10">
        <v>44698</v>
      </c>
      <c r="B1662" s="11" t="s">
        <v>11</v>
      </c>
      <c r="C1662">
        <v>2510</v>
      </c>
      <c r="D1662" t="s">
        <v>6</v>
      </c>
      <c r="E1662" t="str">
        <f>IF(may[[#This Row],[ShiftCounter]]&gt;0, "Running", "Down")</f>
        <v>Running</v>
      </c>
    </row>
    <row r="1663" spans="1:5" x14ac:dyDescent="0.25">
      <c r="A1663" s="10">
        <v>44698</v>
      </c>
      <c r="B1663" s="11" t="s">
        <v>11</v>
      </c>
      <c r="C1663">
        <v>2416</v>
      </c>
      <c r="D1663" t="s">
        <v>7</v>
      </c>
      <c r="E1663" t="str">
        <f>IF(may[[#This Row],[ShiftCounter]]&gt;0, "Running", "Down")</f>
        <v>Running</v>
      </c>
    </row>
    <row r="1664" spans="1:5" x14ac:dyDescent="0.25">
      <c r="A1664" s="10">
        <v>44698</v>
      </c>
      <c r="B1664" s="11" t="s">
        <v>11</v>
      </c>
      <c r="C1664">
        <v>2159</v>
      </c>
      <c r="D1664" t="s">
        <v>8</v>
      </c>
      <c r="E1664" t="str">
        <f>IF(may[[#This Row],[ShiftCounter]]&gt;0, "Running", "Down")</f>
        <v>Running</v>
      </c>
    </row>
    <row r="1665" spans="1:5" x14ac:dyDescent="0.25">
      <c r="A1665" s="10">
        <v>44698</v>
      </c>
      <c r="B1665" s="11" t="s">
        <v>12</v>
      </c>
      <c r="C1665">
        <v>2204</v>
      </c>
      <c r="D1665" t="s">
        <v>6</v>
      </c>
      <c r="E1665" t="str">
        <f>IF(may[[#This Row],[ShiftCounter]]&gt;0, "Running", "Down")</f>
        <v>Running</v>
      </c>
    </row>
    <row r="1666" spans="1:5" x14ac:dyDescent="0.25">
      <c r="A1666" s="10">
        <v>44698</v>
      </c>
      <c r="B1666" s="11" t="s">
        <v>12</v>
      </c>
      <c r="C1666">
        <v>2122</v>
      </c>
      <c r="D1666" t="s">
        <v>7</v>
      </c>
      <c r="E1666" t="str">
        <f>IF(may[[#This Row],[ShiftCounter]]&gt;0, "Running", "Down")</f>
        <v>Running</v>
      </c>
    </row>
    <row r="1667" spans="1:5" x14ac:dyDescent="0.25">
      <c r="A1667" s="10">
        <v>44698</v>
      </c>
      <c r="B1667" s="11" t="s">
        <v>12</v>
      </c>
      <c r="C1667">
        <v>1953</v>
      </c>
      <c r="D1667" t="s">
        <v>8</v>
      </c>
      <c r="E1667" t="str">
        <f>IF(may[[#This Row],[ShiftCounter]]&gt;0, "Running", "Down")</f>
        <v>Running</v>
      </c>
    </row>
    <row r="1668" spans="1:5" x14ac:dyDescent="0.25">
      <c r="A1668" s="10">
        <v>44698</v>
      </c>
      <c r="B1668" s="11" t="s">
        <v>105</v>
      </c>
      <c r="C1668">
        <v>3675</v>
      </c>
      <c r="D1668" t="s">
        <v>6</v>
      </c>
      <c r="E1668" t="str">
        <f>IF(may[[#This Row],[ShiftCounter]]&gt;0, "Running", "Down")</f>
        <v>Running</v>
      </c>
    </row>
    <row r="1669" spans="1:5" x14ac:dyDescent="0.25">
      <c r="A1669" s="10">
        <v>44698</v>
      </c>
      <c r="B1669" s="11" t="s">
        <v>105</v>
      </c>
      <c r="C1669">
        <v>2097</v>
      </c>
      <c r="D1669" t="s">
        <v>7</v>
      </c>
      <c r="E1669" t="str">
        <f>IF(may[[#This Row],[ShiftCounter]]&gt;0, "Running", "Down")</f>
        <v>Running</v>
      </c>
    </row>
    <row r="1670" spans="1:5" x14ac:dyDescent="0.25">
      <c r="A1670" s="10">
        <v>44698</v>
      </c>
      <c r="B1670" s="11" t="s">
        <v>105</v>
      </c>
      <c r="C1670">
        <v>-1</v>
      </c>
      <c r="D1670" t="s">
        <v>8</v>
      </c>
      <c r="E1670" t="str">
        <f>IF(may[[#This Row],[ShiftCounter]]&gt;0, "Running", "Down")</f>
        <v>Down</v>
      </c>
    </row>
    <row r="1671" spans="1:5" x14ac:dyDescent="0.25">
      <c r="A1671" s="10">
        <v>44698</v>
      </c>
      <c r="B1671" s="11" t="s">
        <v>13</v>
      </c>
      <c r="C1671">
        <v>2320</v>
      </c>
      <c r="D1671" t="s">
        <v>6</v>
      </c>
      <c r="E1671" t="str">
        <f>IF(may[[#This Row],[ShiftCounter]]&gt;0, "Running", "Down")</f>
        <v>Running</v>
      </c>
    </row>
    <row r="1672" spans="1:5" x14ac:dyDescent="0.25">
      <c r="A1672" s="10">
        <v>44698</v>
      </c>
      <c r="B1672" s="11" t="s">
        <v>13</v>
      </c>
      <c r="C1672">
        <v>2194</v>
      </c>
      <c r="D1672" t="s">
        <v>7</v>
      </c>
      <c r="E1672" t="str">
        <f>IF(may[[#This Row],[ShiftCounter]]&gt;0, "Running", "Down")</f>
        <v>Running</v>
      </c>
    </row>
    <row r="1673" spans="1:5" x14ac:dyDescent="0.25">
      <c r="A1673" s="10">
        <v>44698</v>
      </c>
      <c r="B1673" s="11" t="s">
        <v>13</v>
      </c>
      <c r="C1673">
        <v>1991</v>
      </c>
      <c r="D1673" t="s">
        <v>8</v>
      </c>
      <c r="E1673" t="str">
        <f>IF(may[[#This Row],[ShiftCounter]]&gt;0, "Running", "Down")</f>
        <v>Running</v>
      </c>
    </row>
    <row r="1674" spans="1:5" x14ac:dyDescent="0.25">
      <c r="A1674" s="10">
        <v>44698</v>
      </c>
      <c r="B1674" s="11" t="s">
        <v>101</v>
      </c>
      <c r="C1674">
        <v>2019</v>
      </c>
      <c r="D1674" t="s">
        <v>6</v>
      </c>
      <c r="E1674" t="str">
        <f>IF(may[[#This Row],[ShiftCounter]]&gt;0, "Running", "Down")</f>
        <v>Running</v>
      </c>
    </row>
    <row r="1675" spans="1:5" x14ac:dyDescent="0.25">
      <c r="A1675" s="10">
        <v>44698</v>
      </c>
      <c r="B1675" s="11" t="s">
        <v>101</v>
      </c>
      <c r="C1675">
        <v>1905</v>
      </c>
      <c r="D1675" t="s">
        <v>7</v>
      </c>
      <c r="E1675" t="str">
        <f>IF(may[[#This Row],[ShiftCounter]]&gt;0, "Running", "Down")</f>
        <v>Running</v>
      </c>
    </row>
    <row r="1676" spans="1:5" x14ac:dyDescent="0.25">
      <c r="A1676" s="10">
        <v>44698</v>
      </c>
      <c r="B1676" s="11" t="s">
        <v>101</v>
      </c>
      <c r="C1676">
        <v>1718</v>
      </c>
      <c r="D1676" t="s">
        <v>8</v>
      </c>
      <c r="E1676" t="str">
        <f>IF(may[[#This Row],[ShiftCounter]]&gt;0, "Running", "Down")</f>
        <v>Running</v>
      </c>
    </row>
    <row r="1677" spans="1:5" x14ac:dyDescent="0.25">
      <c r="A1677" s="10">
        <v>44698</v>
      </c>
      <c r="B1677" s="11" t="s">
        <v>14</v>
      </c>
      <c r="C1677">
        <v>1863</v>
      </c>
      <c r="D1677" t="s">
        <v>6</v>
      </c>
      <c r="E1677" t="str">
        <f>IF(may[[#This Row],[ShiftCounter]]&gt;0, "Running", "Down")</f>
        <v>Running</v>
      </c>
    </row>
    <row r="1678" spans="1:5" x14ac:dyDescent="0.25">
      <c r="A1678" s="10">
        <v>44698</v>
      </c>
      <c r="B1678" s="11" t="s">
        <v>14</v>
      </c>
      <c r="C1678">
        <v>1712</v>
      </c>
      <c r="D1678" t="s">
        <v>7</v>
      </c>
      <c r="E1678" t="str">
        <f>IF(may[[#This Row],[ShiftCounter]]&gt;0, "Running", "Down")</f>
        <v>Running</v>
      </c>
    </row>
    <row r="1679" spans="1:5" x14ac:dyDescent="0.25">
      <c r="A1679" s="10">
        <v>44698</v>
      </c>
      <c r="B1679" s="11" t="s">
        <v>14</v>
      </c>
      <c r="C1679">
        <v>1592</v>
      </c>
      <c r="D1679" t="s">
        <v>8</v>
      </c>
      <c r="E1679" t="str">
        <f>IF(may[[#This Row],[ShiftCounter]]&gt;0, "Running", "Down")</f>
        <v>Running</v>
      </c>
    </row>
    <row r="1680" spans="1:5" x14ac:dyDescent="0.25">
      <c r="A1680" s="10">
        <v>44698</v>
      </c>
      <c r="B1680" s="11" t="s">
        <v>15</v>
      </c>
      <c r="C1680">
        <v>2174</v>
      </c>
      <c r="D1680" t="s">
        <v>6</v>
      </c>
      <c r="E1680" t="str">
        <f>IF(may[[#This Row],[ShiftCounter]]&gt;0, "Running", "Down")</f>
        <v>Running</v>
      </c>
    </row>
    <row r="1681" spans="1:5" x14ac:dyDescent="0.25">
      <c r="A1681" s="10">
        <v>44698</v>
      </c>
      <c r="B1681" s="11" t="s">
        <v>15</v>
      </c>
      <c r="C1681">
        <v>2043</v>
      </c>
      <c r="D1681" t="s">
        <v>7</v>
      </c>
      <c r="E1681" t="str">
        <f>IF(may[[#This Row],[ShiftCounter]]&gt;0, "Running", "Down")</f>
        <v>Running</v>
      </c>
    </row>
    <row r="1682" spans="1:5" x14ac:dyDescent="0.25">
      <c r="A1682" s="10">
        <v>44698</v>
      </c>
      <c r="B1682" s="11" t="s">
        <v>15</v>
      </c>
      <c r="C1682">
        <v>1843</v>
      </c>
      <c r="D1682" t="s">
        <v>8</v>
      </c>
      <c r="E1682" t="str">
        <f>IF(may[[#This Row],[ShiftCounter]]&gt;0, "Running", "Down")</f>
        <v>Running</v>
      </c>
    </row>
    <row r="1683" spans="1:5" x14ac:dyDescent="0.25">
      <c r="A1683" s="10">
        <v>44698</v>
      </c>
      <c r="B1683" s="11" t="s">
        <v>16</v>
      </c>
      <c r="C1683">
        <v>2235</v>
      </c>
      <c r="D1683" t="s">
        <v>6</v>
      </c>
      <c r="E1683" t="str">
        <f>IF(may[[#This Row],[ShiftCounter]]&gt;0, "Running", "Down")</f>
        <v>Running</v>
      </c>
    </row>
    <row r="1684" spans="1:5" x14ac:dyDescent="0.25">
      <c r="A1684" s="10">
        <v>44698</v>
      </c>
      <c r="B1684" s="11" t="s">
        <v>16</v>
      </c>
      <c r="C1684">
        <v>2205</v>
      </c>
      <c r="D1684" t="s">
        <v>7</v>
      </c>
      <c r="E1684" t="str">
        <f>IF(may[[#This Row],[ShiftCounter]]&gt;0, "Running", "Down")</f>
        <v>Running</v>
      </c>
    </row>
    <row r="1685" spans="1:5" x14ac:dyDescent="0.25">
      <c r="A1685" s="10">
        <v>44698</v>
      </c>
      <c r="B1685" s="11" t="s">
        <v>16</v>
      </c>
      <c r="C1685">
        <v>1932</v>
      </c>
      <c r="D1685" t="s">
        <v>8</v>
      </c>
      <c r="E1685" t="str">
        <f>IF(may[[#This Row],[ShiftCounter]]&gt;0, "Running", "Down")</f>
        <v>Running</v>
      </c>
    </row>
    <row r="1686" spans="1:5" x14ac:dyDescent="0.25">
      <c r="A1686" s="10">
        <v>44698</v>
      </c>
      <c r="B1686" s="11" t="s">
        <v>17</v>
      </c>
      <c r="C1686">
        <v>2298</v>
      </c>
      <c r="D1686" t="s">
        <v>6</v>
      </c>
      <c r="E1686" t="str">
        <f>IF(may[[#This Row],[ShiftCounter]]&gt;0, "Running", "Down")</f>
        <v>Running</v>
      </c>
    </row>
    <row r="1687" spans="1:5" x14ac:dyDescent="0.25">
      <c r="A1687" s="10">
        <v>44698</v>
      </c>
      <c r="B1687" s="11" t="s">
        <v>17</v>
      </c>
      <c r="C1687">
        <v>2201</v>
      </c>
      <c r="D1687" t="s">
        <v>7</v>
      </c>
      <c r="E1687" t="str">
        <f>IF(may[[#This Row],[ShiftCounter]]&gt;0, "Running", "Down")</f>
        <v>Running</v>
      </c>
    </row>
    <row r="1688" spans="1:5" x14ac:dyDescent="0.25">
      <c r="A1688" s="10">
        <v>44698</v>
      </c>
      <c r="B1688" s="11" t="s">
        <v>17</v>
      </c>
      <c r="C1688">
        <v>1964</v>
      </c>
      <c r="D1688" t="s">
        <v>8</v>
      </c>
      <c r="E1688" t="str">
        <f>IF(may[[#This Row],[ShiftCounter]]&gt;0, "Running", "Down")</f>
        <v>Running</v>
      </c>
    </row>
    <row r="1689" spans="1:5" x14ac:dyDescent="0.25">
      <c r="A1689" s="10">
        <v>44698</v>
      </c>
      <c r="B1689" s="11" t="s">
        <v>19</v>
      </c>
      <c r="C1689">
        <v>2108</v>
      </c>
      <c r="D1689" t="s">
        <v>6</v>
      </c>
      <c r="E1689" t="str">
        <f>IF(may[[#This Row],[ShiftCounter]]&gt;0, "Running", "Down")</f>
        <v>Running</v>
      </c>
    </row>
    <row r="1690" spans="1:5" x14ac:dyDescent="0.25">
      <c r="A1690" s="10">
        <v>44698</v>
      </c>
      <c r="B1690" s="11" t="s">
        <v>19</v>
      </c>
      <c r="C1690">
        <v>2057</v>
      </c>
      <c r="D1690" t="s">
        <v>7</v>
      </c>
      <c r="E1690" t="str">
        <f>IF(may[[#This Row],[ShiftCounter]]&gt;0, "Running", "Down")</f>
        <v>Running</v>
      </c>
    </row>
    <row r="1691" spans="1:5" x14ac:dyDescent="0.25">
      <c r="A1691" s="10">
        <v>44698</v>
      </c>
      <c r="B1691" s="11" t="s">
        <v>19</v>
      </c>
      <c r="C1691">
        <v>1889</v>
      </c>
      <c r="D1691" t="s">
        <v>8</v>
      </c>
      <c r="E1691" t="str">
        <f>IF(may[[#This Row],[ShiftCounter]]&gt;0, "Running", "Down")</f>
        <v>Running</v>
      </c>
    </row>
    <row r="1692" spans="1:5" x14ac:dyDescent="0.25">
      <c r="A1692" s="10">
        <v>44698</v>
      </c>
      <c r="B1692" s="11" t="s">
        <v>18</v>
      </c>
      <c r="C1692">
        <v>2346</v>
      </c>
      <c r="D1692" t="s">
        <v>6</v>
      </c>
      <c r="E1692" t="str">
        <f>IF(may[[#This Row],[ShiftCounter]]&gt;0, "Running", "Down")</f>
        <v>Running</v>
      </c>
    </row>
    <row r="1693" spans="1:5" x14ac:dyDescent="0.25">
      <c r="A1693" s="10">
        <v>44698</v>
      </c>
      <c r="B1693" s="11" t="s">
        <v>18</v>
      </c>
      <c r="C1693">
        <v>2411</v>
      </c>
      <c r="D1693" t="s">
        <v>7</v>
      </c>
      <c r="E1693" t="str">
        <f>IF(may[[#This Row],[ShiftCounter]]&gt;0, "Running", "Down")</f>
        <v>Running</v>
      </c>
    </row>
    <row r="1694" spans="1:5" x14ac:dyDescent="0.25">
      <c r="A1694" s="10">
        <v>44698</v>
      </c>
      <c r="B1694" s="11" t="s">
        <v>18</v>
      </c>
      <c r="C1694">
        <v>2064</v>
      </c>
      <c r="D1694" t="s">
        <v>8</v>
      </c>
      <c r="E1694" t="str">
        <f>IF(may[[#This Row],[ShiftCounter]]&gt;0, "Running", "Down")</f>
        <v>Running</v>
      </c>
    </row>
    <row r="1695" spans="1:5" x14ac:dyDescent="0.25">
      <c r="A1695" s="10">
        <v>44698</v>
      </c>
      <c r="B1695" s="11" t="s">
        <v>20</v>
      </c>
      <c r="C1695">
        <v>1985</v>
      </c>
      <c r="D1695" t="s">
        <v>6</v>
      </c>
      <c r="E1695" t="str">
        <f>IF(may[[#This Row],[ShiftCounter]]&gt;0, "Running", "Down")</f>
        <v>Running</v>
      </c>
    </row>
    <row r="1696" spans="1:5" x14ac:dyDescent="0.25">
      <c r="A1696" s="10">
        <v>44698</v>
      </c>
      <c r="B1696" s="11" t="s">
        <v>20</v>
      </c>
      <c r="C1696">
        <v>2021</v>
      </c>
      <c r="D1696" t="s">
        <v>7</v>
      </c>
      <c r="E1696" t="str">
        <f>IF(may[[#This Row],[ShiftCounter]]&gt;0, "Running", "Down")</f>
        <v>Running</v>
      </c>
    </row>
    <row r="1697" spans="1:5" x14ac:dyDescent="0.25">
      <c r="A1697" s="10">
        <v>44698</v>
      </c>
      <c r="B1697" s="11" t="s">
        <v>20</v>
      </c>
      <c r="C1697">
        <v>1709</v>
      </c>
      <c r="D1697" t="s">
        <v>8</v>
      </c>
      <c r="E1697" t="str">
        <f>IF(may[[#This Row],[ShiftCounter]]&gt;0, "Running", "Down")</f>
        <v>Running</v>
      </c>
    </row>
    <row r="1698" spans="1:5" x14ac:dyDescent="0.25">
      <c r="A1698" s="10">
        <v>44698</v>
      </c>
      <c r="B1698" s="11" t="s">
        <v>21</v>
      </c>
      <c r="C1698">
        <v>2070</v>
      </c>
      <c r="D1698" t="s">
        <v>6</v>
      </c>
      <c r="E1698" t="str">
        <f>IF(may[[#This Row],[ShiftCounter]]&gt;0, "Running", "Down")</f>
        <v>Running</v>
      </c>
    </row>
    <row r="1699" spans="1:5" x14ac:dyDescent="0.25">
      <c r="A1699" s="10">
        <v>44698</v>
      </c>
      <c r="B1699" s="11" t="s">
        <v>21</v>
      </c>
      <c r="C1699">
        <v>2086</v>
      </c>
      <c r="D1699" t="s">
        <v>7</v>
      </c>
      <c r="E1699" t="str">
        <f>IF(may[[#This Row],[ShiftCounter]]&gt;0, "Running", "Down")</f>
        <v>Running</v>
      </c>
    </row>
    <row r="1700" spans="1:5" x14ac:dyDescent="0.25">
      <c r="A1700" s="10">
        <v>44698</v>
      </c>
      <c r="B1700" s="11" t="s">
        <v>21</v>
      </c>
      <c r="C1700">
        <v>1624</v>
      </c>
      <c r="D1700" t="s">
        <v>8</v>
      </c>
      <c r="E1700" t="str">
        <f>IF(may[[#This Row],[ShiftCounter]]&gt;0, "Running", "Down")</f>
        <v>Running</v>
      </c>
    </row>
    <row r="1701" spans="1:5" x14ac:dyDescent="0.25">
      <c r="A1701" s="10">
        <v>44698</v>
      </c>
      <c r="B1701" s="11" t="s">
        <v>22</v>
      </c>
      <c r="C1701">
        <v>2031</v>
      </c>
      <c r="D1701" t="s">
        <v>6</v>
      </c>
      <c r="E1701" t="str">
        <f>IF(may[[#This Row],[ShiftCounter]]&gt;0, "Running", "Down")</f>
        <v>Running</v>
      </c>
    </row>
    <row r="1702" spans="1:5" x14ac:dyDescent="0.25">
      <c r="A1702" s="10">
        <v>44698</v>
      </c>
      <c r="B1702" s="11" t="s">
        <v>22</v>
      </c>
      <c r="C1702">
        <v>2266</v>
      </c>
      <c r="D1702" t="s">
        <v>7</v>
      </c>
      <c r="E1702" t="str">
        <f>IF(may[[#This Row],[ShiftCounter]]&gt;0, "Running", "Down")</f>
        <v>Running</v>
      </c>
    </row>
    <row r="1703" spans="1:5" x14ac:dyDescent="0.25">
      <c r="A1703" s="10">
        <v>44698</v>
      </c>
      <c r="B1703" s="11" t="s">
        <v>22</v>
      </c>
      <c r="C1703">
        <v>1917</v>
      </c>
      <c r="D1703" t="s">
        <v>8</v>
      </c>
      <c r="E1703" t="str">
        <f>IF(may[[#This Row],[ShiftCounter]]&gt;0, "Running", "Down")</f>
        <v>Running</v>
      </c>
    </row>
    <row r="1704" spans="1:5" x14ac:dyDescent="0.25">
      <c r="A1704" s="10">
        <v>44698</v>
      </c>
      <c r="B1704" s="11" t="s">
        <v>23</v>
      </c>
      <c r="C1704">
        <v>2305</v>
      </c>
      <c r="D1704" t="s">
        <v>6</v>
      </c>
      <c r="E1704" t="str">
        <f>IF(may[[#This Row],[ShiftCounter]]&gt;0, "Running", "Down")</f>
        <v>Running</v>
      </c>
    </row>
    <row r="1705" spans="1:5" x14ac:dyDescent="0.25">
      <c r="A1705" s="10">
        <v>44698</v>
      </c>
      <c r="B1705" s="11" t="s">
        <v>23</v>
      </c>
      <c r="C1705">
        <v>2416</v>
      </c>
      <c r="D1705" t="s">
        <v>7</v>
      </c>
      <c r="E1705" t="str">
        <f>IF(may[[#This Row],[ShiftCounter]]&gt;0, "Running", "Down")</f>
        <v>Running</v>
      </c>
    </row>
    <row r="1706" spans="1:5" x14ac:dyDescent="0.25">
      <c r="A1706" s="10">
        <v>44698</v>
      </c>
      <c r="B1706" s="11" t="s">
        <v>23</v>
      </c>
      <c r="C1706">
        <v>1990</v>
      </c>
      <c r="D1706" t="s">
        <v>8</v>
      </c>
      <c r="E1706" t="str">
        <f>IF(may[[#This Row],[ShiftCounter]]&gt;0, "Running", "Down")</f>
        <v>Running</v>
      </c>
    </row>
    <row r="1707" spans="1:5" x14ac:dyDescent="0.25">
      <c r="A1707" s="10">
        <v>44698</v>
      </c>
      <c r="B1707" s="11" t="s">
        <v>24</v>
      </c>
      <c r="C1707">
        <v>2043</v>
      </c>
      <c r="D1707" t="s">
        <v>6</v>
      </c>
      <c r="E1707" t="str">
        <f>IF(may[[#This Row],[ShiftCounter]]&gt;0, "Running", "Down")</f>
        <v>Running</v>
      </c>
    </row>
    <row r="1708" spans="1:5" x14ac:dyDescent="0.25">
      <c r="A1708" s="10">
        <v>44698</v>
      </c>
      <c r="B1708" s="11" t="s">
        <v>24</v>
      </c>
      <c r="C1708">
        <v>2140</v>
      </c>
      <c r="D1708" t="s">
        <v>7</v>
      </c>
      <c r="E1708" t="str">
        <f>IF(may[[#This Row],[ShiftCounter]]&gt;0, "Running", "Down")</f>
        <v>Running</v>
      </c>
    </row>
    <row r="1709" spans="1:5" x14ac:dyDescent="0.25">
      <c r="A1709" s="10">
        <v>44698</v>
      </c>
      <c r="B1709" s="11" t="s">
        <v>24</v>
      </c>
      <c r="C1709">
        <v>1810</v>
      </c>
      <c r="D1709" t="s">
        <v>8</v>
      </c>
      <c r="E1709" t="str">
        <f>IF(may[[#This Row],[ShiftCounter]]&gt;0, "Running", "Down")</f>
        <v>Running</v>
      </c>
    </row>
    <row r="1710" spans="1:5" x14ac:dyDescent="0.25">
      <c r="A1710" s="10">
        <v>44698</v>
      </c>
      <c r="B1710" s="11" t="s">
        <v>25</v>
      </c>
      <c r="C1710">
        <v>2239</v>
      </c>
      <c r="D1710" t="s">
        <v>6</v>
      </c>
      <c r="E1710" t="str">
        <f>IF(may[[#This Row],[ShiftCounter]]&gt;0, "Running", "Down")</f>
        <v>Running</v>
      </c>
    </row>
    <row r="1711" spans="1:5" x14ac:dyDescent="0.25">
      <c r="A1711" s="10">
        <v>44698</v>
      </c>
      <c r="B1711" s="11" t="s">
        <v>25</v>
      </c>
      <c r="C1711">
        <v>2200</v>
      </c>
      <c r="D1711" t="s">
        <v>7</v>
      </c>
      <c r="E1711" t="str">
        <f>IF(may[[#This Row],[ShiftCounter]]&gt;0, "Running", "Down")</f>
        <v>Running</v>
      </c>
    </row>
    <row r="1712" spans="1:5" x14ac:dyDescent="0.25">
      <c r="A1712" s="10">
        <v>44698</v>
      </c>
      <c r="B1712" s="11" t="s">
        <v>25</v>
      </c>
      <c r="C1712">
        <v>2170</v>
      </c>
      <c r="D1712" t="s">
        <v>8</v>
      </c>
      <c r="E1712" t="str">
        <f>IF(may[[#This Row],[ShiftCounter]]&gt;0, "Running", "Down")</f>
        <v>Running</v>
      </c>
    </row>
    <row r="1713" spans="1:5" x14ac:dyDescent="0.25">
      <c r="A1713" s="10">
        <v>44698</v>
      </c>
      <c r="B1713" s="11" t="s">
        <v>26</v>
      </c>
      <c r="C1713">
        <v>1532</v>
      </c>
      <c r="D1713" t="s">
        <v>6</v>
      </c>
      <c r="E1713" t="str">
        <f>IF(may[[#This Row],[ShiftCounter]]&gt;0, "Running", "Down")</f>
        <v>Running</v>
      </c>
    </row>
    <row r="1714" spans="1:5" x14ac:dyDescent="0.25">
      <c r="A1714" s="10">
        <v>44698</v>
      </c>
      <c r="B1714" s="11" t="s">
        <v>26</v>
      </c>
      <c r="C1714">
        <v>2225</v>
      </c>
      <c r="D1714" t="s">
        <v>7</v>
      </c>
      <c r="E1714" t="str">
        <f>IF(may[[#This Row],[ShiftCounter]]&gt;0, "Running", "Down")</f>
        <v>Running</v>
      </c>
    </row>
    <row r="1715" spans="1:5" x14ac:dyDescent="0.25">
      <c r="A1715" s="10">
        <v>44698</v>
      </c>
      <c r="B1715" s="11" t="s">
        <v>26</v>
      </c>
      <c r="C1715">
        <v>2086</v>
      </c>
      <c r="D1715" t="s">
        <v>8</v>
      </c>
      <c r="E1715" t="str">
        <f>IF(may[[#This Row],[ShiftCounter]]&gt;0, "Running", "Down")</f>
        <v>Running</v>
      </c>
    </row>
    <row r="1716" spans="1:5" x14ac:dyDescent="0.25">
      <c r="A1716" s="10">
        <v>44698</v>
      </c>
      <c r="B1716" s="11" t="s">
        <v>27</v>
      </c>
      <c r="C1716">
        <v>2168</v>
      </c>
      <c r="D1716" t="s">
        <v>6</v>
      </c>
      <c r="E1716" t="str">
        <f>IF(may[[#This Row],[ShiftCounter]]&gt;0, "Running", "Down")</f>
        <v>Running</v>
      </c>
    </row>
    <row r="1717" spans="1:5" x14ac:dyDescent="0.25">
      <c r="A1717" s="10">
        <v>44698</v>
      </c>
      <c r="B1717" s="11" t="s">
        <v>27</v>
      </c>
      <c r="C1717">
        <v>2340</v>
      </c>
      <c r="D1717" t="s">
        <v>7</v>
      </c>
      <c r="E1717" t="str">
        <f>IF(may[[#This Row],[ShiftCounter]]&gt;0, "Running", "Down")</f>
        <v>Running</v>
      </c>
    </row>
    <row r="1718" spans="1:5" x14ac:dyDescent="0.25">
      <c r="A1718" s="10">
        <v>44698</v>
      </c>
      <c r="B1718" s="11" t="s">
        <v>27</v>
      </c>
      <c r="C1718">
        <v>2021</v>
      </c>
      <c r="D1718" t="s">
        <v>8</v>
      </c>
      <c r="E1718" t="str">
        <f>IF(may[[#This Row],[ShiftCounter]]&gt;0, "Running", "Down")</f>
        <v>Running</v>
      </c>
    </row>
    <row r="1719" spans="1:5" x14ac:dyDescent="0.25">
      <c r="A1719" s="10">
        <v>44698</v>
      </c>
      <c r="B1719" s="11" t="s">
        <v>28</v>
      </c>
      <c r="C1719">
        <v>2092</v>
      </c>
      <c r="D1719" t="s">
        <v>6</v>
      </c>
      <c r="E1719" t="str">
        <f>IF(may[[#This Row],[ShiftCounter]]&gt;0, "Running", "Down")</f>
        <v>Running</v>
      </c>
    </row>
    <row r="1720" spans="1:5" x14ac:dyDescent="0.25">
      <c r="A1720" s="10">
        <v>44698</v>
      </c>
      <c r="B1720" s="11" t="s">
        <v>28</v>
      </c>
      <c r="C1720">
        <v>2150</v>
      </c>
      <c r="D1720" t="s">
        <v>7</v>
      </c>
      <c r="E1720" t="str">
        <f>IF(may[[#This Row],[ShiftCounter]]&gt;0, "Running", "Down")</f>
        <v>Running</v>
      </c>
    </row>
    <row r="1721" spans="1:5" x14ac:dyDescent="0.25">
      <c r="A1721" s="10">
        <v>44698</v>
      </c>
      <c r="B1721" s="11" t="s">
        <v>28</v>
      </c>
      <c r="C1721">
        <v>2026</v>
      </c>
      <c r="D1721" t="s">
        <v>8</v>
      </c>
      <c r="E1721" t="str">
        <f>IF(may[[#This Row],[ShiftCounter]]&gt;0, "Running", "Down")</f>
        <v>Running</v>
      </c>
    </row>
    <row r="1722" spans="1:5" x14ac:dyDescent="0.25">
      <c r="A1722" s="10">
        <v>44698</v>
      </c>
      <c r="B1722" s="11" t="s">
        <v>29</v>
      </c>
      <c r="C1722">
        <v>2009</v>
      </c>
      <c r="D1722" t="s">
        <v>6</v>
      </c>
      <c r="E1722" t="str">
        <f>IF(may[[#This Row],[ShiftCounter]]&gt;0, "Running", "Down")</f>
        <v>Running</v>
      </c>
    </row>
    <row r="1723" spans="1:5" x14ac:dyDescent="0.25">
      <c r="A1723" s="10">
        <v>44698</v>
      </c>
      <c r="B1723" s="11" t="s">
        <v>29</v>
      </c>
      <c r="C1723">
        <v>2008</v>
      </c>
      <c r="D1723" t="s">
        <v>7</v>
      </c>
      <c r="E1723" t="str">
        <f>IF(may[[#This Row],[ShiftCounter]]&gt;0, "Running", "Down")</f>
        <v>Running</v>
      </c>
    </row>
    <row r="1724" spans="1:5" x14ac:dyDescent="0.25">
      <c r="A1724" s="10">
        <v>44698</v>
      </c>
      <c r="B1724" s="11" t="s">
        <v>29</v>
      </c>
      <c r="C1724">
        <v>1912</v>
      </c>
      <c r="D1724" t="s">
        <v>8</v>
      </c>
      <c r="E1724" t="str">
        <f>IF(may[[#This Row],[ShiftCounter]]&gt;0, "Running", "Down")</f>
        <v>Running</v>
      </c>
    </row>
    <row r="1725" spans="1:5" x14ac:dyDescent="0.25">
      <c r="A1725" s="10">
        <v>44698</v>
      </c>
      <c r="B1725" s="11" t="s">
        <v>30</v>
      </c>
      <c r="C1725">
        <v>0</v>
      </c>
      <c r="D1725" t="s">
        <v>6</v>
      </c>
      <c r="E1725" t="str">
        <f>IF(may[[#This Row],[ShiftCounter]]&gt;0, "Running", "Down")</f>
        <v>Down</v>
      </c>
    </row>
    <row r="1726" spans="1:5" x14ac:dyDescent="0.25">
      <c r="A1726" s="10">
        <v>44698</v>
      </c>
      <c r="B1726" s="11" t="s">
        <v>30</v>
      </c>
      <c r="C1726">
        <v>3040</v>
      </c>
      <c r="D1726" t="s">
        <v>7</v>
      </c>
      <c r="E1726" t="str">
        <f>IF(may[[#This Row],[ShiftCounter]]&gt;0, "Running", "Down")</f>
        <v>Running</v>
      </c>
    </row>
    <row r="1727" spans="1:5" x14ac:dyDescent="0.25">
      <c r="A1727" s="10">
        <v>44698</v>
      </c>
      <c r="B1727" s="11" t="s">
        <v>30</v>
      </c>
      <c r="C1727">
        <v>2105</v>
      </c>
      <c r="D1727" t="s">
        <v>8</v>
      </c>
      <c r="E1727" t="str">
        <f>IF(may[[#This Row],[ShiftCounter]]&gt;0, "Running", "Down")</f>
        <v>Running</v>
      </c>
    </row>
    <row r="1728" spans="1:5" x14ac:dyDescent="0.25">
      <c r="A1728" s="10">
        <v>44698</v>
      </c>
      <c r="B1728" s="11" t="s">
        <v>31</v>
      </c>
      <c r="C1728">
        <v>2298</v>
      </c>
      <c r="D1728" t="s">
        <v>6</v>
      </c>
      <c r="E1728" t="str">
        <f>IF(may[[#This Row],[ShiftCounter]]&gt;0, "Running", "Down")</f>
        <v>Running</v>
      </c>
    </row>
    <row r="1729" spans="1:5" x14ac:dyDescent="0.25">
      <c r="A1729" s="10">
        <v>44698</v>
      </c>
      <c r="B1729" s="11" t="s">
        <v>31</v>
      </c>
      <c r="C1729">
        <v>2275</v>
      </c>
      <c r="D1729" t="s">
        <v>7</v>
      </c>
      <c r="E1729" t="str">
        <f>IF(may[[#This Row],[ShiftCounter]]&gt;0, "Running", "Down")</f>
        <v>Running</v>
      </c>
    </row>
    <row r="1730" spans="1:5" x14ac:dyDescent="0.25">
      <c r="A1730" s="10">
        <v>44698</v>
      </c>
      <c r="B1730" s="11" t="s">
        <v>31</v>
      </c>
      <c r="C1730">
        <v>1805</v>
      </c>
      <c r="D1730" t="s">
        <v>8</v>
      </c>
      <c r="E1730" t="str">
        <f>IF(may[[#This Row],[ShiftCounter]]&gt;0, "Running", "Down")</f>
        <v>Running</v>
      </c>
    </row>
    <row r="1731" spans="1:5" x14ac:dyDescent="0.25">
      <c r="A1731" s="10">
        <v>44698</v>
      </c>
      <c r="B1731" s="11" t="s">
        <v>32</v>
      </c>
      <c r="C1731">
        <v>2318</v>
      </c>
      <c r="D1731" t="s">
        <v>6</v>
      </c>
      <c r="E1731" t="str">
        <f>IF(may[[#This Row],[ShiftCounter]]&gt;0, "Running", "Down")</f>
        <v>Running</v>
      </c>
    </row>
    <row r="1732" spans="1:5" x14ac:dyDescent="0.25">
      <c r="A1732" s="10">
        <v>44698</v>
      </c>
      <c r="B1732" s="11" t="s">
        <v>32</v>
      </c>
      <c r="C1732">
        <v>2278</v>
      </c>
      <c r="D1732" t="s">
        <v>7</v>
      </c>
      <c r="E1732" t="str">
        <f>IF(may[[#This Row],[ShiftCounter]]&gt;0, "Running", "Down")</f>
        <v>Running</v>
      </c>
    </row>
    <row r="1733" spans="1:5" x14ac:dyDescent="0.25">
      <c r="A1733" s="10">
        <v>44698</v>
      </c>
      <c r="B1733" s="11" t="s">
        <v>32</v>
      </c>
      <c r="C1733">
        <v>1888</v>
      </c>
      <c r="D1733" t="s">
        <v>8</v>
      </c>
      <c r="E1733" t="str">
        <f>IF(may[[#This Row],[ShiftCounter]]&gt;0, "Running", "Down")</f>
        <v>Running</v>
      </c>
    </row>
    <row r="1734" spans="1:5" x14ac:dyDescent="0.25">
      <c r="A1734" s="10">
        <v>44698</v>
      </c>
      <c r="B1734" s="11" t="s">
        <v>33</v>
      </c>
      <c r="C1734">
        <v>2356</v>
      </c>
      <c r="D1734" t="s">
        <v>6</v>
      </c>
      <c r="E1734" t="str">
        <f>IF(may[[#This Row],[ShiftCounter]]&gt;0, "Running", "Down")</f>
        <v>Running</v>
      </c>
    </row>
    <row r="1735" spans="1:5" x14ac:dyDescent="0.25">
      <c r="A1735" s="10">
        <v>44698</v>
      </c>
      <c r="B1735" s="11" t="s">
        <v>33</v>
      </c>
      <c r="C1735">
        <v>2325</v>
      </c>
      <c r="D1735" t="s">
        <v>7</v>
      </c>
      <c r="E1735" t="str">
        <f>IF(may[[#This Row],[ShiftCounter]]&gt;0, "Running", "Down")</f>
        <v>Running</v>
      </c>
    </row>
    <row r="1736" spans="1:5" x14ac:dyDescent="0.25">
      <c r="A1736" s="10">
        <v>44698</v>
      </c>
      <c r="B1736" s="11" t="s">
        <v>33</v>
      </c>
      <c r="C1736">
        <v>1983</v>
      </c>
      <c r="D1736" t="s">
        <v>8</v>
      </c>
      <c r="E1736" t="str">
        <f>IF(may[[#This Row],[ShiftCounter]]&gt;0, "Running", "Down")</f>
        <v>Running</v>
      </c>
    </row>
    <row r="1737" spans="1:5" x14ac:dyDescent="0.25">
      <c r="A1737" s="10">
        <v>44698</v>
      </c>
      <c r="B1737" s="11" t="s">
        <v>34</v>
      </c>
      <c r="C1737">
        <v>2084</v>
      </c>
      <c r="D1737" t="s">
        <v>6</v>
      </c>
      <c r="E1737" t="str">
        <f>IF(may[[#This Row],[ShiftCounter]]&gt;0, "Running", "Down")</f>
        <v>Running</v>
      </c>
    </row>
    <row r="1738" spans="1:5" x14ac:dyDescent="0.25">
      <c r="A1738" s="10">
        <v>44698</v>
      </c>
      <c r="B1738" s="11" t="s">
        <v>34</v>
      </c>
      <c r="C1738">
        <v>2070</v>
      </c>
      <c r="D1738" t="s">
        <v>7</v>
      </c>
      <c r="E1738" t="str">
        <f>IF(may[[#This Row],[ShiftCounter]]&gt;0, "Running", "Down")</f>
        <v>Running</v>
      </c>
    </row>
    <row r="1739" spans="1:5" x14ac:dyDescent="0.25">
      <c r="A1739" s="10">
        <v>44698</v>
      </c>
      <c r="B1739" s="11" t="s">
        <v>34</v>
      </c>
      <c r="C1739">
        <v>1709</v>
      </c>
      <c r="D1739" t="s">
        <v>8</v>
      </c>
      <c r="E1739" t="str">
        <f>IF(may[[#This Row],[ShiftCounter]]&gt;0, "Running", "Down")</f>
        <v>Running</v>
      </c>
    </row>
    <row r="1740" spans="1:5" x14ac:dyDescent="0.25">
      <c r="A1740" s="10">
        <v>44698</v>
      </c>
      <c r="B1740" s="11" t="s">
        <v>37</v>
      </c>
      <c r="C1740">
        <v>2410</v>
      </c>
      <c r="D1740" t="s">
        <v>6</v>
      </c>
      <c r="E1740" t="str">
        <f>IF(may[[#This Row],[ShiftCounter]]&gt;0, "Running", "Down")</f>
        <v>Running</v>
      </c>
    </row>
    <row r="1741" spans="1:5" x14ac:dyDescent="0.25">
      <c r="A1741" s="10">
        <v>44698</v>
      </c>
      <c r="B1741" s="11" t="s">
        <v>37</v>
      </c>
      <c r="C1741">
        <v>2434</v>
      </c>
      <c r="D1741" t="s">
        <v>7</v>
      </c>
      <c r="E1741" t="str">
        <f>IF(may[[#This Row],[ShiftCounter]]&gt;0, "Running", "Down")</f>
        <v>Running</v>
      </c>
    </row>
    <row r="1742" spans="1:5" x14ac:dyDescent="0.25">
      <c r="A1742" s="10">
        <v>44698</v>
      </c>
      <c r="B1742" s="11" t="s">
        <v>37</v>
      </c>
      <c r="C1742">
        <v>1982</v>
      </c>
      <c r="D1742" t="s">
        <v>8</v>
      </c>
      <c r="E1742" t="str">
        <f>IF(may[[#This Row],[ShiftCounter]]&gt;0, "Running", "Down")</f>
        <v>Running</v>
      </c>
    </row>
    <row r="1743" spans="1:5" x14ac:dyDescent="0.25">
      <c r="A1743" s="10">
        <v>44699</v>
      </c>
      <c r="B1743" s="11" t="s">
        <v>40</v>
      </c>
      <c r="C1743">
        <v>2356</v>
      </c>
      <c r="D1743" t="s">
        <v>6</v>
      </c>
      <c r="E1743" t="str">
        <f>IF(may[[#This Row],[ShiftCounter]]&gt;0, "Running", "Down")</f>
        <v>Running</v>
      </c>
    </row>
    <row r="1744" spans="1:5" x14ac:dyDescent="0.25">
      <c r="A1744" s="10">
        <v>44699</v>
      </c>
      <c r="B1744" s="11" t="s">
        <v>40</v>
      </c>
      <c r="C1744">
        <v>2290</v>
      </c>
      <c r="D1744" t="s">
        <v>7</v>
      </c>
      <c r="E1744" t="str">
        <f>IF(may[[#This Row],[ShiftCounter]]&gt;0, "Running", "Down")</f>
        <v>Running</v>
      </c>
    </row>
    <row r="1745" spans="1:5" x14ac:dyDescent="0.25">
      <c r="A1745" s="10">
        <v>44699</v>
      </c>
      <c r="B1745" s="11" t="s">
        <v>40</v>
      </c>
      <c r="C1745">
        <v>1858</v>
      </c>
      <c r="D1745" t="s">
        <v>8</v>
      </c>
      <c r="E1745" t="str">
        <f>IF(may[[#This Row],[ShiftCounter]]&gt;0, "Running", "Down")</f>
        <v>Running</v>
      </c>
    </row>
    <row r="1746" spans="1:5" x14ac:dyDescent="0.25">
      <c r="A1746" s="10">
        <v>44699</v>
      </c>
      <c r="B1746" s="11" t="s">
        <v>39</v>
      </c>
      <c r="C1746">
        <v>3798</v>
      </c>
      <c r="D1746" t="s">
        <v>6</v>
      </c>
      <c r="E1746" t="str">
        <f>IF(may[[#This Row],[ShiftCounter]]&gt;0, "Running", "Down")</f>
        <v>Running</v>
      </c>
    </row>
    <row r="1747" spans="1:5" x14ac:dyDescent="0.25">
      <c r="A1747" s="10">
        <v>44699</v>
      </c>
      <c r="B1747" s="11" t="s">
        <v>39</v>
      </c>
      <c r="C1747">
        <v>2080</v>
      </c>
      <c r="D1747" t="s">
        <v>7</v>
      </c>
      <c r="E1747" t="str">
        <f>IF(may[[#This Row],[ShiftCounter]]&gt;0, "Running", "Down")</f>
        <v>Running</v>
      </c>
    </row>
    <row r="1748" spans="1:5" x14ac:dyDescent="0.25">
      <c r="A1748" s="10">
        <v>44699</v>
      </c>
      <c r="B1748" s="11" t="s">
        <v>39</v>
      </c>
      <c r="C1748">
        <v>1631</v>
      </c>
      <c r="D1748" t="s">
        <v>8</v>
      </c>
      <c r="E1748" t="str">
        <f>IF(may[[#This Row],[ShiftCounter]]&gt;0, "Running", "Down")</f>
        <v>Running</v>
      </c>
    </row>
    <row r="1749" spans="1:5" x14ac:dyDescent="0.25">
      <c r="A1749" s="10">
        <v>44699</v>
      </c>
      <c r="B1749" s="11" t="s">
        <v>41</v>
      </c>
      <c r="C1749">
        <v>2352</v>
      </c>
      <c r="D1749" t="s">
        <v>6</v>
      </c>
      <c r="E1749" t="str">
        <f>IF(may[[#This Row],[ShiftCounter]]&gt;0, "Running", "Down")</f>
        <v>Running</v>
      </c>
    </row>
    <row r="1750" spans="1:5" x14ac:dyDescent="0.25">
      <c r="A1750" s="10">
        <v>44699</v>
      </c>
      <c r="B1750" s="11" t="s">
        <v>41</v>
      </c>
      <c r="C1750">
        <v>2355</v>
      </c>
      <c r="D1750" t="s">
        <v>7</v>
      </c>
      <c r="E1750" t="str">
        <f>IF(may[[#This Row],[ShiftCounter]]&gt;0, "Running", "Down")</f>
        <v>Running</v>
      </c>
    </row>
    <row r="1751" spans="1:5" x14ac:dyDescent="0.25">
      <c r="A1751" s="10">
        <v>44699</v>
      </c>
      <c r="B1751" s="11" t="s">
        <v>41</v>
      </c>
      <c r="C1751">
        <v>1790</v>
      </c>
      <c r="D1751" t="s">
        <v>8</v>
      </c>
      <c r="E1751" t="str">
        <f>IF(may[[#This Row],[ShiftCounter]]&gt;0, "Running", "Down")</f>
        <v>Running</v>
      </c>
    </row>
    <row r="1752" spans="1:5" x14ac:dyDescent="0.25">
      <c r="A1752" s="10">
        <v>44699</v>
      </c>
      <c r="B1752" s="11" t="s">
        <v>5</v>
      </c>
      <c r="C1752">
        <v>2348</v>
      </c>
      <c r="D1752" t="s">
        <v>6</v>
      </c>
      <c r="E1752" t="str">
        <f>IF(may[[#This Row],[ShiftCounter]]&gt;0, "Running", "Down")</f>
        <v>Running</v>
      </c>
    </row>
    <row r="1753" spans="1:5" x14ac:dyDescent="0.25">
      <c r="A1753" s="10">
        <v>44699</v>
      </c>
      <c r="B1753" s="11" t="s">
        <v>5</v>
      </c>
      <c r="C1753">
        <v>2350</v>
      </c>
      <c r="D1753" t="s">
        <v>7</v>
      </c>
      <c r="E1753" t="str">
        <f>IF(may[[#This Row],[ShiftCounter]]&gt;0, "Running", "Down")</f>
        <v>Running</v>
      </c>
    </row>
    <row r="1754" spans="1:5" x14ac:dyDescent="0.25">
      <c r="A1754" s="10">
        <v>44699</v>
      </c>
      <c r="B1754" s="11" t="s">
        <v>5</v>
      </c>
      <c r="C1754">
        <v>1885</v>
      </c>
      <c r="D1754" t="s">
        <v>8</v>
      </c>
      <c r="E1754" t="str">
        <f>IF(may[[#This Row],[ShiftCounter]]&gt;0, "Running", "Down")</f>
        <v>Running</v>
      </c>
    </row>
    <row r="1755" spans="1:5" x14ac:dyDescent="0.25">
      <c r="A1755" s="10">
        <v>44699</v>
      </c>
      <c r="B1755" s="11" t="s">
        <v>9</v>
      </c>
      <c r="C1755">
        <v>2367</v>
      </c>
      <c r="D1755" t="s">
        <v>6</v>
      </c>
      <c r="E1755" t="str">
        <f>IF(may[[#This Row],[ShiftCounter]]&gt;0, "Running", "Down")</f>
        <v>Running</v>
      </c>
    </row>
    <row r="1756" spans="1:5" x14ac:dyDescent="0.25">
      <c r="A1756" s="10">
        <v>44699</v>
      </c>
      <c r="B1756" s="11" t="s">
        <v>9</v>
      </c>
      <c r="C1756">
        <v>2370</v>
      </c>
      <c r="D1756" t="s">
        <v>7</v>
      </c>
      <c r="E1756" t="str">
        <f>IF(may[[#This Row],[ShiftCounter]]&gt;0, "Running", "Down")</f>
        <v>Running</v>
      </c>
    </row>
    <row r="1757" spans="1:5" x14ac:dyDescent="0.25">
      <c r="A1757" s="10">
        <v>44699</v>
      </c>
      <c r="B1757" s="11" t="s">
        <v>9</v>
      </c>
      <c r="C1757">
        <v>1837</v>
      </c>
      <c r="D1757" t="s">
        <v>8</v>
      </c>
      <c r="E1757" t="str">
        <f>IF(may[[#This Row],[ShiftCounter]]&gt;0, "Running", "Down")</f>
        <v>Running</v>
      </c>
    </row>
    <row r="1758" spans="1:5" x14ac:dyDescent="0.25">
      <c r="A1758" s="10">
        <v>44699</v>
      </c>
      <c r="B1758" s="11" t="s">
        <v>11</v>
      </c>
      <c r="C1758">
        <v>2013</v>
      </c>
      <c r="D1758" t="s">
        <v>6</v>
      </c>
      <c r="E1758" t="str">
        <f>IF(may[[#This Row],[ShiftCounter]]&gt;0, "Running", "Down")</f>
        <v>Running</v>
      </c>
    </row>
    <row r="1759" spans="1:5" x14ac:dyDescent="0.25">
      <c r="A1759" s="10">
        <v>44699</v>
      </c>
      <c r="B1759" s="11" t="s">
        <v>11</v>
      </c>
      <c r="C1759">
        <v>2480</v>
      </c>
      <c r="D1759" t="s">
        <v>7</v>
      </c>
      <c r="E1759" t="str">
        <f>IF(may[[#This Row],[ShiftCounter]]&gt;0, "Running", "Down")</f>
        <v>Running</v>
      </c>
    </row>
    <row r="1760" spans="1:5" x14ac:dyDescent="0.25">
      <c r="A1760" s="10">
        <v>44699</v>
      </c>
      <c r="B1760" s="11" t="s">
        <v>11</v>
      </c>
      <c r="C1760">
        <v>1965</v>
      </c>
      <c r="D1760" t="s">
        <v>8</v>
      </c>
      <c r="E1760" t="str">
        <f>IF(may[[#This Row],[ShiftCounter]]&gt;0, "Running", "Down")</f>
        <v>Running</v>
      </c>
    </row>
    <row r="1761" spans="1:5" x14ac:dyDescent="0.25">
      <c r="A1761" s="10">
        <v>44699</v>
      </c>
      <c r="B1761" s="11" t="s">
        <v>12</v>
      </c>
      <c r="C1761">
        <v>4041</v>
      </c>
      <c r="D1761" t="s">
        <v>6</v>
      </c>
      <c r="E1761" t="str">
        <f>IF(may[[#This Row],[ShiftCounter]]&gt;0, "Running", "Down")</f>
        <v>Running</v>
      </c>
    </row>
    <row r="1762" spans="1:5" x14ac:dyDescent="0.25">
      <c r="A1762" s="10">
        <v>44699</v>
      </c>
      <c r="B1762" s="11" t="s">
        <v>12</v>
      </c>
      <c r="C1762">
        <v>2110</v>
      </c>
      <c r="D1762" t="s">
        <v>7</v>
      </c>
      <c r="E1762" t="str">
        <f>IF(may[[#This Row],[ShiftCounter]]&gt;0, "Running", "Down")</f>
        <v>Running</v>
      </c>
    </row>
    <row r="1763" spans="1:5" x14ac:dyDescent="0.25">
      <c r="A1763" s="10">
        <v>44699</v>
      </c>
      <c r="B1763" s="11" t="s">
        <v>12</v>
      </c>
      <c r="C1763">
        <v>1717</v>
      </c>
      <c r="D1763" t="s">
        <v>8</v>
      </c>
      <c r="E1763" t="str">
        <f>IF(may[[#This Row],[ShiftCounter]]&gt;0, "Running", "Down")</f>
        <v>Running</v>
      </c>
    </row>
    <row r="1764" spans="1:5" x14ac:dyDescent="0.25">
      <c r="A1764" s="10">
        <v>44699</v>
      </c>
      <c r="B1764" s="11" t="s">
        <v>105</v>
      </c>
      <c r="C1764">
        <v>2191</v>
      </c>
      <c r="D1764" t="s">
        <v>6</v>
      </c>
      <c r="E1764" t="str">
        <f>IF(may[[#This Row],[ShiftCounter]]&gt;0, "Running", "Down")</f>
        <v>Running</v>
      </c>
    </row>
    <row r="1765" spans="1:5" x14ac:dyDescent="0.25">
      <c r="A1765" s="10">
        <v>44699</v>
      </c>
      <c r="B1765" s="11" t="s">
        <v>105</v>
      </c>
      <c r="C1765">
        <v>2332</v>
      </c>
      <c r="D1765" t="s">
        <v>7</v>
      </c>
      <c r="E1765" t="str">
        <f>IF(may[[#This Row],[ShiftCounter]]&gt;0, "Running", "Down")</f>
        <v>Running</v>
      </c>
    </row>
    <row r="1766" spans="1:5" x14ac:dyDescent="0.25">
      <c r="A1766" s="10">
        <v>44699</v>
      </c>
      <c r="B1766" s="11" t="s">
        <v>105</v>
      </c>
      <c r="C1766">
        <v>1735</v>
      </c>
      <c r="D1766" t="s">
        <v>8</v>
      </c>
      <c r="E1766" t="str">
        <f>IF(may[[#This Row],[ShiftCounter]]&gt;0, "Running", "Down")</f>
        <v>Running</v>
      </c>
    </row>
    <row r="1767" spans="1:5" x14ac:dyDescent="0.25">
      <c r="A1767" s="10">
        <v>44699</v>
      </c>
      <c r="B1767" s="11" t="s">
        <v>13</v>
      </c>
      <c r="C1767">
        <v>2364</v>
      </c>
      <c r="D1767" t="s">
        <v>6</v>
      </c>
      <c r="E1767" t="str">
        <f>IF(may[[#This Row],[ShiftCounter]]&gt;0, "Running", "Down")</f>
        <v>Running</v>
      </c>
    </row>
    <row r="1768" spans="1:5" x14ac:dyDescent="0.25">
      <c r="A1768" s="10">
        <v>44699</v>
      </c>
      <c r="B1768" s="11" t="s">
        <v>13</v>
      </c>
      <c r="C1768">
        <v>2208</v>
      </c>
      <c r="D1768" t="s">
        <v>7</v>
      </c>
      <c r="E1768" t="str">
        <f>IF(may[[#This Row],[ShiftCounter]]&gt;0, "Running", "Down")</f>
        <v>Running</v>
      </c>
    </row>
    <row r="1769" spans="1:5" x14ac:dyDescent="0.25">
      <c r="A1769" s="10">
        <v>44699</v>
      </c>
      <c r="B1769" s="11" t="s">
        <v>13</v>
      </c>
      <c r="C1769">
        <v>1915</v>
      </c>
      <c r="D1769" t="s">
        <v>8</v>
      </c>
      <c r="E1769" t="str">
        <f>IF(may[[#This Row],[ShiftCounter]]&gt;0, "Running", "Down")</f>
        <v>Running</v>
      </c>
    </row>
    <row r="1770" spans="1:5" x14ac:dyDescent="0.25">
      <c r="A1770" s="10">
        <v>44699</v>
      </c>
      <c r="B1770" s="11" t="s">
        <v>101</v>
      </c>
      <c r="C1770">
        <v>2061</v>
      </c>
      <c r="D1770" t="s">
        <v>6</v>
      </c>
      <c r="E1770" t="str">
        <f>IF(may[[#This Row],[ShiftCounter]]&gt;0, "Running", "Down")</f>
        <v>Running</v>
      </c>
    </row>
    <row r="1771" spans="1:5" x14ac:dyDescent="0.25">
      <c r="A1771" s="10">
        <v>44699</v>
      </c>
      <c r="B1771" s="11" t="s">
        <v>101</v>
      </c>
      <c r="C1771">
        <v>1923</v>
      </c>
      <c r="D1771" t="s">
        <v>7</v>
      </c>
      <c r="E1771" t="str">
        <f>IF(may[[#This Row],[ShiftCounter]]&gt;0, "Running", "Down")</f>
        <v>Running</v>
      </c>
    </row>
    <row r="1772" spans="1:5" x14ac:dyDescent="0.25">
      <c r="A1772" s="10">
        <v>44699</v>
      </c>
      <c r="B1772" s="11" t="s">
        <v>101</v>
      </c>
      <c r="C1772">
        <v>1676</v>
      </c>
      <c r="D1772" t="s">
        <v>8</v>
      </c>
      <c r="E1772" t="str">
        <f>IF(may[[#This Row],[ShiftCounter]]&gt;0, "Running", "Down")</f>
        <v>Running</v>
      </c>
    </row>
    <row r="1773" spans="1:5" x14ac:dyDescent="0.25">
      <c r="A1773" s="10">
        <v>44699</v>
      </c>
      <c r="B1773" s="11" t="s">
        <v>14</v>
      </c>
      <c r="C1773">
        <v>848</v>
      </c>
      <c r="D1773" t="s">
        <v>6</v>
      </c>
      <c r="E1773" t="str">
        <f>IF(may[[#This Row],[ShiftCounter]]&gt;0, "Running", "Down")</f>
        <v>Running</v>
      </c>
    </row>
    <row r="1774" spans="1:5" x14ac:dyDescent="0.25">
      <c r="A1774" s="10">
        <v>44699</v>
      </c>
      <c r="B1774" s="11" t="s">
        <v>14</v>
      </c>
      <c r="C1774">
        <v>1603</v>
      </c>
      <c r="D1774" t="s">
        <v>7</v>
      </c>
      <c r="E1774" t="str">
        <f>IF(may[[#This Row],[ShiftCounter]]&gt;0, "Running", "Down")</f>
        <v>Running</v>
      </c>
    </row>
    <row r="1775" spans="1:5" x14ac:dyDescent="0.25">
      <c r="A1775" s="10">
        <v>44699</v>
      </c>
      <c r="B1775" s="11" t="s">
        <v>14</v>
      </c>
      <c r="C1775">
        <v>1482</v>
      </c>
      <c r="D1775" t="s">
        <v>8</v>
      </c>
      <c r="E1775" t="str">
        <f>IF(may[[#This Row],[ShiftCounter]]&gt;0, "Running", "Down")</f>
        <v>Running</v>
      </c>
    </row>
    <row r="1776" spans="1:5" x14ac:dyDescent="0.25">
      <c r="A1776" s="10">
        <v>44699</v>
      </c>
      <c r="B1776" s="11" t="s">
        <v>15</v>
      </c>
      <c r="C1776">
        <v>2230</v>
      </c>
      <c r="D1776" t="s">
        <v>6</v>
      </c>
      <c r="E1776" t="str">
        <f>IF(may[[#This Row],[ShiftCounter]]&gt;0, "Running", "Down")</f>
        <v>Running</v>
      </c>
    </row>
    <row r="1777" spans="1:5" x14ac:dyDescent="0.25">
      <c r="A1777" s="10">
        <v>44699</v>
      </c>
      <c r="B1777" s="11" t="s">
        <v>15</v>
      </c>
      <c r="C1777">
        <v>2051</v>
      </c>
      <c r="D1777" t="s">
        <v>7</v>
      </c>
      <c r="E1777" t="str">
        <f>IF(may[[#This Row],[ShiftCounter]]&gt;0, "Running", "Down")</f>
        <v>Running</v>
      </c>
    </row>
    <row r="1778" spans="1:5" x14ac:dyDescent="0.25">
      <c r="A1778" s="10">
        <v>44699</v>
      </c>
      <c r="B1778" s="11" t="s">
        <v>15</v>
      </c>
      <c r="C1778">
        <v>1812</v>
      </c>
      <c r="D1778" t="s">
        <v>8</v>
      </c>
      <c r="E1778" t="str">
        <f>IF(may[[#This Row],[ShiftCounter]]&gt;0, "Running", "Down")</f>
        <v>Running</v>
      </c>
    </row>
    <row r="1779" spans="1:5" x14ac:dyDescent="0.25">
      <c r="A1779" s="10">
        <v>44699</v>
      </c>
      <c r="B1779" s="11" t="s">
        <v>16</v>
      </c>
      <c r="C1779">
        <v>2293</v>
      </c>
      <c r="D1779" t="s">
        <v>6</v>
      </c>
      <c r="E1779" t="str">
        <f>IF(may[[#This Row],[ShiftCounter]]&gt;0, "Running", "Down")</f>
        <v>Running</v>
      </c>
    </row>
    <row r="1780" spans="1:5" x14ac:dyDescent="0.25">
      <c r="A1780" s="10">
        <v>44699</v>
      </c>
      <c r="B1780" s="11" t="s">
        <v>16</v>
      </c>
      <c r="C1780">
        <v>2208</v>
      </c>
      <c r="D1780" t="s">
        <v>7</v>
      </c>
      <c r="E1780" t="str">
        <f>IF(may[[#This Row],[ShiftCounter]]&gt;0, "Running", "Down")</f>
        <v>Running</v>
      </c>
    </row>
    <row r="1781" spans="1:5" x14ac:dyDescent="0.25">
      <c r="A1781" s="10">
        <v>44699</v>
      </c>
      <c r="B1781" s="11" t="s">
        <v>16</v>
      </c>
      <c r="C1781">
        <v>1913</v>
      </c>
      <c r="D1781" t="s">
        <v>8</v>
      </c>
      <c r="E1781" t="str">
        <f>IF(may[[#This Row],[ShiftCounter]]&gt;0, "Running", "Down")</f>
        <v>Running</v>
      </c>
    </row>
    <row r="1782" spans="1:5" x14ac:dyDescent="0.25">
      <c r="A1782" s="10">
        <v>44699</v>
      </c>
      <c r="B1782" s="11" t="s">
        <v>17</v>
      </c>
      <c r="C1782">
        <v>2363</v>
      </c>
      <c r="D1782" t="s">
        <v>6</v>
      </c>
      <c r="E1782" t="str">
        <f>IF(may[[#This Row],[ShiftCounter]]&gt;0, "Running", "Down")</f>
        <v>Running</v>
      </c>
    </row>
    <row r="1783" spans="1:5" x14ac:dyDescent="0.25">
      <c r="A1783" s="10">
        <v>44699</v>
      </c>
      <c r="B1783" s="11" t="s">
        <v>17</v>
      </c>
      <c r="C1783">
        <v>2238</v>
      </c>
      <c r="D1783" t="s">
        <v>7</v>
      </c>
      <c r="E1783" t="str">
        <f>IF(may[[#This Row],[ShiftCounter]]&gt;0, "Running", "Down")</f>
        <v>Running</v>
      </c>
    </row>
    <row r="1784" spans="1:5" x14ac:dyDescent="0.25">
      <c r="A1784" s="10">
        <v>44699</v>
      </c>
      <c r="B1784" s="11" t="s">
        <v>17</v>
      </c>
      <c r="C1784">
        <v>1897</v>
      </c>
      <c r="D1784" t="s">
        <v>8</v>
      </c>
      <c r="E1784" t="str">
        <f>IF(may[[#This Row],[ShiftCounter]]&gt;0, "Running", "Down")</f>
        <v>Running</v>
      </c>
    </row>
    <row r="1785" spans="1:5" x14ac:dyDescent="0.25">
      <c r="A1785" s="10">
        <v>44699</v>
      </c>
      <c r="B1785" s="11" t="s">
        <v>19</v>
      </c>
      <c r="C1785">
        <v>2140</v>
      </c>
      <c r="D1785" t="s">
        <v>6</v>
      </c>
      <c r="E1785" t="str">
        <f>IF(may[[#This Row],[ShiftCounter]]&gt;0, "Running", "Down")</f>
        <v>Running</v>
      </c>
    </row>
    <row r="1786" spans="1:5" x14ac:dyDescent="0.25">
      <c r="A1786" s="10">
        <v>44699</v>
      </c>
      <c r="B1786" s="11" t="s">
        <v>19</v>
      </c>
      <c r="C1786">
        <v>2043</v>
      </c>
      <c r="D1786" t="s">
        <v>7</v>
      </c>
      <c r="E1786" t="str">
        <f>IF(may[[#This Row],[ShiftCounter]]&gt;0, "Running", "Down")</f>
        <v>Running</v>
      </c>
    </row>
    <row r="1787" spans="1:5" x14ac:dyDescent="0.25">
      <c r="A1787" s="10">
        <v>44699</v>
      </c>
      <c r="B1787" s="11" t="s">
        <v>19</v>
      </c>
      <c r="C1787">
        <v>1801</v>
      </c>
      <c r="D1787" t="s">
        <v>8</v>
      </c>
      <c r="E1787" t="str">
        <f>IF(may[[#This Row],[ShiftCounter]]&gt;0, "Running", "Down")</f>
        <v>Running</v>
      </c>
    </row>
    <row r="1788" spans="1:5" x14ac:dyDescent="0.25">
      <c r="A1788" s="10">
        <v>44699</v>
      </c>
      <c r="B1788" s="11" t="s">
        <v>18</v>
      </c>
      <c r="C1788">
        <v>2493</v>
      </c>
      <c r="D1788" t="s">
        <v>6</v>
      </c>
      <c r="E1788" t="str">
        <f>IF(may[[#This Row],[ShiftCounter]]&gt;0, "Running", "Down")</f>
        <v>Running</v>
      </c>
    </row>
    <row r="1789" spans="1:5" x14ac:dyDescent="0.25">
      <c r="A1789" s="10">
        <v>44699</v>
      </c>
      <c r="B1789" s="11" t="s">
        <v>18</v>
      </c>
      <c r="C1789">
        <v>1807</v>
      </c>
      <c r="D1789" t="s">
        <v>7</v>
      </c>
      <c r="E1789" t="str">
        <f>IF(may[[#This Row],[ShiftCounter]]&gt;0, "Running", "Down")</f>
        <v>Running</v>
      </c>
    </row>
    <row r="1790" spans="1:5" x14ac:dyDescent="0.25">
      <c r="A1790" s="10">
        <v>44699</v>
      </c>
      <c r="B1790" s="11" t="s">
        <v>18</v>
      </c>
      <c r="C1790">
        <v>1908</v>
      </c>
      <c r="D1790" t="s">
        <v>8</v>
      </c>
      <c r="E1790" t="str">
        <f>IF(may[[#This Row],[ShiftCounter]]&gt;0, "Running", "Down")</f>
        <v>Running</v>
      </c>
    </row>
    <row r="1791" spans="1:5" x14ac:dyDescent="0.25">
      <c r="A1791" s="10">
        <v>44699</v>
      </c>
      <c r="B1791" s="11" t="s">
        <v>20</v>
      </c>
      <c r="C1791">
        <v>2130</v>
      </c>
      <c r="D1791" t="s">
        <v>6</v>
      </c>
      <c r="E1791" t="str">
        <f>IF(may[[#This Row],[ShiftCounter]]&gt;0, "Running", "Down")</f>
        <v>Running</v>
      </c>
    </row>
    <row r="1792" spans="1:5" x14ac:dyDescent="0.25">
      <c r="A1792" s="10">
        <v>44699</v>
      </c>
      <c r="B1792" s="11" t="s">
        <v>20</v>
      </c>
      <c r="C1792">
        <v>1899</v>
      </c>
      <c r="D1792" t="s">
        <v>7</v>
      </c>
      <c r="E1792" t="str">
        <f>IF(may[[#This Row],[ShiftCounter]]&gt;0, "Running", "Down")</f>
        <v>Running</v>
      </c>
    </row>
    <row r="1793" spans="1:5" x14ac:dyDescent="0.25">
      <c r="A1793" s="10">
        <v>44699</v>
      </c>
      <c r="B1793" s="11" t="s">
        <v>20</v>
      </c>
      <c r="C1793">
        <v>1831</v>
      </c>
      <c r="D1793" t="s">
        <v>8</v>
      </c>
      <c r="E1793" t="str">
        <f>IF(may[[#This Row],[ShiftCounter]]&gt;0, "Running", "Down")</f>
        <v>Running</v>
      </c>
    </row>
    <row r="1794" spans="1:5" x14ac:dyDescent="0.25">
      <c r="A1794" s="10">
        <v>44699</v>
      </c>
      <c r="B1794" s="11" t="s">
        <v>21</v>
      </c>
      <c r="C1794">
        <v>2221</v>
      </c>
      <c r="D1794" t="s">
        <v>6</v>
      </c>
      <c r="E1794" t="str">
        <f>IF(may[[#This Row],[ShiftCounter]]&gt;0, "Running", "Down")</f>
        <v>Running</v>
      </c>
    </row>
    <row r="1795" spans="1:5" x14ac:dyDescent="0.25">
      <c r="A1795" s="10">
        <v>44699</v>
      </c>
      <c r="B1795" s="11" t="s">
        <v>21</v>
      </c>
      <c r="C1795">
        <v>1971</v>
      </c>
      <c r="D1795" t="s">
        <v>7</v>
      </c>
      <c r="E1795" t="str">
        <f>IF(may[[#This Row],[ShiftCounter]]&gt;0, "Running", "Down")</f>
        <v>Running</v>
      </c>
    </row>
    <row r="1796" spans="1:5" x14ac:dyDescent="0.25">
      <c r="A1796" s="10">
        <v>44699</v>
      </c>
      <c r="B1796" s="11" t="s">
        <v>21</v>
      </c>
      <c r="C1796">
        <v>1890</v>
      </c>
      <c r="D1796" t="s">
        <v>8</v>
      </c>
      <c r="E1796" t="str">
        <f>IF(may[[#This Row],[ShiftCounter]]&gt;0, "Running", "Down")</f>
        <v>Running</v>
      </c>
    </row>
    <row r="1797" spans="1:5" x14ac:dyDescent="0.25">
      <c r="A1797" s="10">
        <v>44699</v>
      </c>
      <c r="B1797" s="11" t="s">
        <v>22</v>
      </c>
      <c r="C1797">
        <v>2402</v>
      </c>
      <c r="D1797" t="s">
        <v>6</v>
      </c>
      <c r="E1797" t="str">
        <f>IF(may[[#This Row],[ShiftCounter]]&gt;0, "Running", "Down")</f>
        <v>Running</v>
      </c>
    </row>
    <row r="1798" spans="1:5" x14ac:dyDescent="0.25">
      <c r="A1798" s="10">
        <v>44699</v>
      </c>
      <c r="B1798" s="11" t="s">
        <v>22</v>
      </c>
      <c r="C1798">
        <v>2138</v>
      </c>
      <c r="D1798" t="s">
        <v>7</v>
      </c>
      <c r="E1798" t="str">
        <f>IF(may[[#This Row],[ShiftCounter]]&gt;0, "Running", "Down")</f>
        <v>Running</v>
      </c>
    </row>
    <row r="1799" spans="1:5" x14ac:dyDescent="0.25">
      <c r="A1799" s="10">
        <v>44699</v>
      </c>
      <c r="B1799" s="11" t="s">
        <v>22</v>
      </c>
      <c r="C1799">
        <v>2052</v>
      </c>
      <c r="D1799" t="s">
        <v>8</v>
      </c>
      <c r="E1799" t="str">
        <f>IF(may[[#This Row],[ShiftCounter]]&gt;0, "Running", "Down")</f>
        <v>Running</v>
      </c>
    </row>
    <row r="1800" spans="1:5" x14ac:dyDescent="0.25">
      <c r="A1800" s="10">
        <v>44699</v>
      </c>
      <c r="B1800" s="11" t="s">
        <v>23</v>
      </c>
      <c r="C1800">
        <v>2519</v>
      </c>
      <c r="D1800" t="s">
        <v>6</v>
      </c>
      <c r="E1800" t="str">
        <f>IF(may[[#This Row],[ShiftCounter]]&gt;0, "Running", "Down")</f>
        <v>Running</v>
      </c>
    </row>
    <row r="1801" spans="1:5" x14ac:dyDescent="0.25">
      <c r="A1801" s="10">
        <v>44699</v>
      </c>
      <c r="B1801" s="11" t="s">
        <v>23</v>
      </c>
      <c r="C1801">
        <v>2261</v>
      </c>
      <c r="D1801" t="s">
        <v>7</v>
      </c>
      <c r="E1801" t="str">
        <f>IF(may[[#This Row],[ShiftCounter]]&gt;0, "Running", "Down")</f>
        <v>Running</v>
      </c>
    </row>
    <row r="1802" spans="1:5" x14ac:dyDescent="0.25">
      <c r="A1802" s="10">
        <v>44699</v>
      </c>
      <c r="B1802" s="11" t="s">
        <v>23</v>
      </c>
      <c r="C1802">
        <v>2136</v>
      </c>
      <c r="D1802" t="s">
        <v>8</v>
      </c>
      <c r="E1802" t="str">
        <f>IF(may[[#This Row],[ShiftCounter]]&gt;0, "Running", "Down")</f>
        <v>Running</v>
      </c>
    </row>
    <row r="1803" spans="1:5" x14ac:dyDescent="0.25">
      <c r="A1803" s="10">
        <v>44699</v>
      </c>
      <c r="B1803" s="11" t="s">
        <v>24</v>
      </c>
      <c r="C1803">
        <v>2273</v>
      </c>
      <c r="D1803" t="s">
        <v>6</v>
      </c>
      <c r="E1803" t="str">
        <f>IF(may[[#This Row],[ShiftCounter]]&gt;0, "Running", "Down")</f>
        <v>Running</v>
      </c>
    </row>
    <row r="1804" spans="1:5" x14ac:dyDescent="0.25">
      <c r="A1804" s="10">
        <v>44699</v>
      </c>
      <c r="B1804" s="11" t="s">
        <v>24</v>
      </c>
      <c r="C1804">
        <v>1937</v>
      </c>
      <c r="D1804" t="s">
        <v>7</v>
      </c>
      <c r="E1804" t="str">
        <f>IF(may[[#This Row],[ShiftCounter]]&gt;0, "Running", "Down")</f>
        <v>Running</v>
      </c>
    </row>
    <row r="1805" spans="1:5" x14ac:dyDescent="0.25">
      <c r="A1805" s="10">
        <v>44699</v>
      </c>
      <c r="B1805" s="11" t="s">
        <v>24</v>
      </c>
      <c r="C1805">
        <v>1867</v>
      </c>
      <c r="D1805" t="s">
        <v>8</v>
      </c>
      <c r="E1805" t="str">
        <f>IF(may[[#This Row],[ShiftCounter]]&gt;0, "Running", "Down")</f>
        <v>Running</v>
      </c>
    </row>
    <row r="1806" spans="1:5" x14ac:dyDescent="0.25">
      <c r="A1806" s="10">
        <v>44699</v>
      </c>
      <c r="B1806" s="11" t="s">
        <v>25</v>
      </c>
      <c r="C1806">
        <v>222</v>
      </c>
      <c r="D1806" t="s">
        <v>6</v>
      </c>
      <c r="E1806" t="str">
        <f>IF(may[[#This Row],[ShiftCounter]]&gt;0, "Running", "Down")</f>
        <v>Running</v>
      </c>
    </row>
    <row r="1807" spans="1:5" x14ac:dyDescent="0.25">
      <c r="A1807" s="10">
        <v>44699</v>
      </c>
      <c r="B1807" s="11" t="s">
        <v>25</v>
      </c>
      <c r="C1807">
        <v>2134</v>
      </c>
      <c r="D1807" t="s">
        <v>7</v>
      </c>
      <c r="E1807" t="str">
        <f>IF(may[[#This Row],[ShiftCounter]]&gt;0, "Running", "Down")</f>
        <v>Running</v>
      </c>
    </row>
    <row r="1808" spans="1:5" x14ac:dyDescent="0.25">
      <c r="A1808" s="10">
        <v>44699</v>
      </c>
      <c r="B1808" s="11" t="s">
        <v>25</v>
      </c>
      <c r="C1808">
        <v>2176</v>
      </c>
      <c r="D1808" t="s">
        <v>8</v>
      </c>
      <c r="E1808" t="str">
        <f>IF(may[[#This Row],[ShiftCounter]]&gt;0, "Running", "Down")</f>
        <v>Running</v>
      </c>
    </row>
    <row r="1809" spans="1:5" x14ac:dyDescent="0.25">
      <c r="A1809" s="10">
        <v>44699</v>
      </c>
      <c r="B1809" s="11" t="s">
        <v>26</v>
      </c>
      <c r="C1809">
        <v>2216</v>
      </c>
      <c r="D1809" t="s">
        <v>6</v>
      </c>
      <c r="E1809" t="str">
        <f>IF(may[[#This Row],[ShiftCounter]]&gt;0, "Running", "Down")</f>
        <v>Running</v>
      </c>
    </row>
    <row r="1810" spans="1:5" x14ac:dyDescent="0.25">
      <c r="A1810" s="10">
        <v>44699</v>
      </c>
      <c r="B1810" s="11" t="s">
        <v>26</v>
      </c>
      <c r="C1810">
        <v>2167</v>
      </c>
      <c r="D1810" t="s">
        <v>7</v>
      </c>
      <c r="E1810" t="str">
        <f>IF(may[[#This Row],[ShiftCounter]]&gt;0, "Running", "Down")</f>
        <v>Running</v>
      </c>
    </row>
    <row r="1811" spans="1:5" x14ac:dyDescent="0.25">
      <c r="A1811" s="10">
        <v>44699</v>
      </c>
      <c r="B1811" s="11" t="s">
        <v>26</v>
      </c>
      <c r="C1811">
        <v>2031</v>
      </c>
      <c r="D1811" t="s">
        <v>8</v>
      </c>
      <c r="E1811" t="str">
        <f>IF(may[[#This Row],[ShiftCounter]]&gt;0, "Running", "Down")</f>
        <v>Running</v>
      </c>
    </row>
    <row r="1812" spans="1:5" x14ac:dyDescent="0.25">
      <c r="A1812" s="10">
        <v>44699</v>
      </c>
      <c r="B1812" s="11" t="s">
        <v>27</v>
      </c>
      <c r="C1812">
        <v>2345</v>
      </c>
      <c r="D1812" t="s">
        <v>6</v>
      </c>
      <c r="E1812" t="str">
        <f>IF(may[[#This Row],[ShiftCounter]]&gt;0, "Running", "Down")</f>
        <v>Running</v>
      </c>
    </row>
    <row r="1813" spans="1:5" x14ac:dyDescent="0.25">
      <c r="A1813" s="10">
        <v>44699</v>
      </c>
      <c r="B1813" s="11" t="s">
        <v>27</v>
      </c>
      <c r="C1813">
        <v>2261</v>
      </c>
      <c r="D1813" t="s">
        <v>7</v>
      </c>
      <c r="E1813" t="str">
        <f>IF(may[[#This Row],[ShiftCounter]]&gt;0, "Running", "Down")</f>
        <v>Running</v>
      </c>
    </row>
    <row r="1814" spans="1:5" x14ac:dyDescent="0.25">
      <c r="A1814" s="10">
        <v>44699</v>
      </c>
      <c r="B1814" s="11" t="s">
        <v>27</v>
      </c>
      <c r="C1814">
        <v>2281</v>
      </c>
      <c r="D1814" t="s">
        <v>8</v>
      </c>
      <c r="E1814" t="str">
        <f>IF(may[[#This Row],[ShiftCounter]]&gt;0, "Running", "Down")</f>
        <v>Running</v>
      </c>
    </row>
    <row r="1815" spans="1:5" x14ac:dyDescent="0.25">
      <c r="A1815" s="10">
        <v>44699</v>
      </c>
      <c r="B1815" s="11" t="s">
        <v>28</v>
      </c>
      <c r="C1815">
        <v>2175</v>
      </c>
      <c r="D1815" t="s">
        <v>6</v>
      </c>
      <c r="E1815" t="str">
        <f>IF(may[[#This Row],[ShiftCounter]]&gt;0, "Running", "Down")</f>
        <v>Running</v>
      </c>
    </row>
    <row r="1816" spans="1:5" x14ac:dyDescent="0.25">
      <c r="A1816" s="10">
        <v>44699</v>
      </c>
      <c r="B1816" s="11" t="s">
        <v>28</v>
      </c>
      <c r="C1816">
        <v>2127</v>
      </c>
      <c r="D1816" t="s">
        <v>7</v>
      </c>
      <c r="E1816" t="str">
        <f>IF(may[[#This Row],[ShiftCounter]]&gt;0, "Running", "Down")</f>
        <v>Running</v>
      </c>
    </row>
    <row r="1817" spans="1:5" x14ac:dyDescent="0.25">
      <c r="A1817" s="10">
        <v>44699</v>
      </c>
      <c r="B1817" s="11" t="s">
        <v>28</v>
      </c>
      <c r="C1817">
        <v>2060</v>
      </c>
      <c r="D1817" t="s">
        <v>8</v>
      </c>
      <c r="E1817" t="str">
        <f>IF(may[[#This Row],[ShiftCounter]]&gt;0, "Running", "Down")</f>
        <v>Running</v>
      </c>
    </row>
    <row r="1818" spans="1:5" x14ac:dyDescent="0.25">
      <c r="A1818" s="10">
        <v>44699</v>
      </c>
      <c r="B1818" s="11" t="s">
        <v>29</v>
      </c>
      <c r="C1818">
        <v>2087</v>
      </c>
      <c r="D1818" t="s">
        <v>6</v>
      </c>
      <c r="E1818" t="str">
        <f>IF(may[[#This Row],[ShiftCounter]]&gt;0, "Running", "Down")</f>
        <v>Running</v>
      </c>
    </row>
    <row r="1819" spans="1:5" x14ac:dyDescent="0.25">
      <c r="A1819" s="10">
        <v>44699</v>
      </c>
      <c r="B1819" s="11" t="s">
        <v>29</v>
      </c>
      <c r="C1819">
        <v>2022</v>
      </c>
      <c r="D1819" t="s">
        <v>7</v>
      </c>
      <c r="E1819" t="str">
        <f>IF(may[[#This Row],[ShiftCounter]]&gt;0, "Running", "Down")</f>
        <v>Running</v>
      </c>
    </row>
    <row r="1820" spans="1:5" x14ac:dyDescent="0.25">
      <c r="A1820" s="10">
        <v>44699</v>
      </c>
      <c r="B1820" s="11" t="s">
        <v>29</v>
      </c>
      <c r="C1820">
        <v>1962</v>
      </c>
      <c r="D1820" t="s">
        <v>8</v>
      </c>
      <c r="E1820" t="str">
        <f>IF(may[[#This Row],[ShiftCounter]]&gt;0, "Running", "Down")</f>
        <v>Running</v>
      </c>
    </row>
    <row r="1821" spans="1:5" x14ac:dyDescent="0.25">
      <c r="A1821" s="10">
        <v>44699</v>
      </c>
      <c r="B1821" s="11" t="s">
        <v>30</v>
      </c>
      <c r="C1821">
        <v>2265</v>
      </c>
      <c r="D1821" t="s">
        <v>6</v>
      </c>
      <c r="E1821" t="str">
        <f>IF(may[[#This Row],[ShiftCounter]]&gt;0, "Running", "Down")</f>
        <v>Running</v>
      </c>
    </row>
    <row r="1822" spans="1:5" x14ac:dyDescent="0.25">
      <c r="A1822" s="10">
        <v>44699</v>
      </c>
      <c r="B1822" s="11" t="s">
        <v>30</v>
      </c>
      <c r="C1822">
        <v>2324</v>
      </c>
      <c r="D1822" t="s">
        <v>7</v>
      </c>
      <c r="E1822" t="str">
        <f>IF(may[[#This Row],[ShiftCounter]]&gt;0, "Running", "Down")</f>
        <v>Running</v>
      </c>
    </row>
    <row r="1823" spans="1:5" x14ac:dyDescent="0.25">
      <c r="A1823" s="10">
        <v>44699</v>
      </c>
      <c r="B1823" s="11" t="s">
        <v>30</v>
      </c>
      <c r="C1823">
        <v>2181</v>
      </c>
      <c r="D1823" t="s">
        <v>8</v>
      </c>
      <c r="E1823" t="str">
        <f>IF(may[[#This Row],[ShiftCounter]]&gt;0, "Running", "Down")</f>
        <v>Running</v>
      </c>
    </row>
    <row r="1824" spans="1:5" x14ac:dyDescent="0.25">
      <c r="A1824" s="10">
        <v>44699</v>
      </c>
      <c r="B1824" s="11" t="s">
        <v>31</v>
      </c>
      <c r="C1824">
        <v>2163</v>
      </c>
      <c r="D1824" t="s">
        <v>6</v>
      </c>
      <c r="E1824" t="str">
        <f>IF(may[[#This Row],[ShiftCounter]]&gt;0, "Running", "Down")</f>
        <v>Running</v>
      </c>
    </row>
    <row r="1825" spans="1:5" x14ac:dyDescent="0.25">
      <c r="A1825" s="10">
        <v>44699</v>
      </c>
      <c r="B1825" s="11" t="s">
        <v>31</v>
      </c>
      <c r="C1825">
        <v>2213</v>
      </c>
      <c r="D1825" t="s">
        <v>7</v>
      </c>
      <c r="E1825" t="str">
        <f>IF(may[[#This Row],[ShiftCounter]]&gt;0, "Running", "Down")</f>
        <v>Running</v>
      </c>
    </row>
    <row r="1826" spans="1:5" x14ac:dyDescent="0.25">
      <c r="A1826" s="10">
        <v>44699</v>
      </c>
      <c r="B1826" s="11" t="s">
        <v>31</v>
      </c>
      <c r="C1826">
        <v>1980</v>
      </c>
      <c r="D1826" t="s">
        <v>8</v>
      </c>
      <c r="E1826" t="str">
        <f>IF(may[[#This Row],[ShiftCounter]]&gt;0, "Running", "Down")</f>
        <v>Running</v>
      </c>
    </row>
    <row r="1827" spans="1:5" x14ac:dyDescent="0.25">
      <c r="A1827" s="10">
        <v>44699</v>
      </c>
      <c r="B1827" s="11" t="s">
        <v>32</v>
      </c>
      <c r="C1827">
        <v>2254</v>
      </c>
      <c r="D1827" t="s">
        <v>6</v>
      </c>
      <c r="E1827" t="str">
        <f>IF(may[[#This Row],[ShiftCounter]]&gt;0, "Running", "Down")</f>
        <v>Running</v>
      </c>
    </row>
    <row r="1828" spans="1:5" x14ac:dyDescent="0.25">
      <c r="A1828" s="10">
        <v>44699</v>
      </c>
      <c r="B1828" s="11" t="s">
        <v>32</v>
      </c>
      <c r="C1828">
        <v>2118</v>
      </c>
      <c r="D1828" t="s">
        <v>7</v>
      </c>
      <c r="E1828" t="str">
        <f>IF(may[[#This Row],[ShiftCounter]]&gt;0, "Running", "Down")</f>
        <v>Running</v>
      </c>
    </row>
    <row r="1829" spans="1:5" x14ac:dyDescent="0.25">
      <c r="A1829" s="10">
        <v>44699</v>
      </c>
      <c r="B1829" s="11" t="s">
        <v>32</v>
      </c>
      <c r="C1829">
        <v>2052</v>
      </c>
      <c r="D1829" t="s">
        <v>8</v>
      </c>
      <c r="E1829" t="str">
        <f>IF(may[[#This Row],[ShiftCounter]]&gt;0, "Running", "Down")</f>
        <v>Running</v>
      </c>
    </row>
    <row r="1830" spans="1:5" x14ac:dyDescent="0.25">
      <c r="A1830" s="10">
        <v>44699</v>
      </c>
      <c r="B1830" s="11" t="s">
        <v>33</v>
      </c>
      <c r="C1830">
        <v>2407</v>
      </c>
      <c r="D1830" t="s">
        <v>6</v>
      </c>
      <c r="E1830" t="str">
        <f>IF(may[[#This Row],[ShiftCounter]]&gt;0, "Running", "Down")</f>
        <v>Running</v>
      </c>
    </row>
    <row r="1831" spans="1:5" x14ac:dyDescent="0.25">
      <c r="A1831" s="10">
        <v>44699</v>
      </c>
      <c r="B1831" s="11" t="s">
        <v>33</v>
      </c>
      <c r="C1831">
        <v>2395</v>
      </c>
      <c r="D1831" t="s">
        <v>7</v>
      </c>
      <c r="E1831" t="str">
        <f>IF(may[[#This Row],[ShiftCounter]]&gt;0, "Running", "Down")</f>
        <v>Running</v>
      </c>
    </row>
    <row r="1832" spans="1:5" x14ac:dyDescent="0.25">
      <c r="A1832" s="10">
        <v>44699</v>
      </c>
      <c r="B1832" s="11" t="s">
        <v>33</v>
      </c>
      <c r="C1832">
        <v>2188</v>
      </c>
      <c r="D1832" t="s">
        <v>8</v>
      </c>
      <c r="E1832" t="str">
        <f>IF(may[[#This Row],[ShiftCounter]]&gt;0, "Running", "Down")</f>
        <v>Running</v>
      </c>
    </row>
    <row r="1833" spans="1:5" x14ac:dyDescent="0.25">
      <c r="A1833" s="10">
        <v>44699</v>
      </c>
      <c r="B1833" s="11" t="s">
        <v>34</v>
      </c>
      <c r="C1833">
        <v>2003</v>
      </c>
      <c r="D1833" t="s">
        <v>6</v>
      </c>
      <c r="E1833" t="str">
        <f>IF(may[[#This Row],[ShiftCounter]]&gt;0, "Running", "Down")</f>
        <v>Running</v>
      </c>
    </row>
    <row r="1834" spans="1:5" x14ac:dyDescent="0.25">
      <c r="A1834" s="10">
        <v>44699</v>
      </c>
      <c r="B1834" s="11" t="s">
        <v>34</v>
      </c>
      <c r="C1834">
        <v>2034</v>
      </c>
      <c r="D1834" t="s">
        <v>7</v>
      </c>
      <c r="E1834" t="str">
        <f>IF(may[[#This Row],[ShiftCounter]]&gt;0, "Running", "Down")</f>
        <v>Running</v>
      </c>
    </row>
    <row r="1835" spans="1:5" x14ac:dyDescent="0.25">
      <c r="A1835" s="10">
        <v>44699</v>
      </c>
      <c r="B1835" s="11" t="s">
        <v>34</v>
      </c>
      <c r="C1835">
        <v>1875</v>
      </c>
      <c r="D1835" t="s">
        <v>8</v>
      </c>
      <c r="E1835" t="str">
        <f>IF(may[[#This Row],[ShiftCounter]]&gt;0, "Running", "Down")</f>
        <v>Running</v>
      </c>
    </row>
    <row r="1836" spans="1:5" x14ac:dyDescent="0.25">
      <c r="A1836" s="10">
        <v>44699</v>
      </c>
      <c r="B1836" s="11" t="s">
        <v>36</v>
      </c>
      <c r="C1836">
        <v>200</v>
      </c>
      <c r="D1836" t="s">
        <v>6</v>
      </c>
      <c r="E1836" t="str">
        <f>IF(may[[#This Row],[ShiftCounter]]&gt;0, "Running", "Down")</f>
        <v>Running</v>
      </c>
    </row>
    <row r="1837" spans="1:5" x14ac:dyDescent="0.25">
      <c r="A1837" s="10">
        <v>44699</v>
      </c>
      <c r="B1837" s="11" t="s">
        <v>36</v>
      </c>
      <c r="C1837">
        <v>2270</v>
      </c>
      <c r="D1837" t="s">
        <v>7</v>
      </c>
      <c r="E1837" t="str">
        <f>IF(may[[#This Row],[ShiftCounter]]&gt;0, "Running", "Down")</f>
        <v>Running</v>
      </c>
    </row>
    <row r="1838" spans="1:5" x14ac:dyDescent="0.25">
      <c r="A1838" s="10">
        <v>44699</v>
      </c>
      <c r="B1838" s="11" t="s">
        <v>36</v>
      </c>
      <c r="C1838">
        <v>2110</v>
      </c>
      <c r="D1838" t="s">
        <v>8</v>
      </c>
      <c r="E1838" t="str">
        <f>IF(may[[#This Row],[ShiftCounter]]&gt;0, "Running", "Down")</f>
        <v>Running</v>
      </c>
    </row>
    <row r="1839" spans="1:5" x14ac:dyDescent="0.25">
      <c r="A1839" s="10">
        <v>44699</v>
      </c>
      <c r="B1839" s="11" t="s">
        <v>37</v>
      </c>
      <c r="C1839">
        <v>1824</v>
      </c>
      <c r="D1839" t="s">
        <v>6</v>
      </c>
      <c r="E1839" t="str">
        <f>IF(may[[#This Row],[ShiftCounter]]&gt;0, "Running", "Down")</f>
        <v>Running</v>
      </c>
    </row>
    <row r="1840" spans="1:5" x14ac:dyDescent="0.25">
      <c r="A1840" s="10">
        <v>44699</v>
      </c>
      <c r="B1840" s="11" t="s">
        <v>37</v>
      </c>
      <c r="C1840">
        <v>2354</v>
      </c>
      <c r="D1840" t="s">
        <v>7</v>
      </c>
      <c r="E1840" t="str">
        <f>IF(may[[#This Row],[ShiftCounter]]&gt;0, "Running", "Down")</f>
        <v>Running</v>
      </c>
    </row>
    <row r="1841" spans="1:5" x14ac:dyDescent="0.25">
      <c r="A1841" s="10">
        <v>44699</v>
      </c>
      <c r="B1841" s="11" t="s">
        <v>37</v>
      </c>
      <c r="C1841">
        <v>2171</v>
      </c>
      <c r="D1841" t="s">
        <v>8</v>
      </c>
      <c r="E1841" t="str">
        <f>IF(may[[#This Row],[ShiftCounter]]&gt;0, "Running", "Down")</f>
        <v>Running</v>
      </c>
    </row>
    <row r="1842" spans="1:5" x14ac:dyDescent="0.25">
      <c r="A1842" s="10">
        <v>44700</v>
      </c>
      <c r="B1842" s="11" t="s">
        <v>40</v>
      </c>
      <c r="C1842">
        <v>2455</v>
      </c>
      <c r="D1842" t="s">
        <v>6</v>
      </c>
      <c r="E1842" t="str">
        <f>IF(may[[#This Row],[ShiftCounter]]&gt;0, "Running", "Down")</f>
        <v>Running</v>
      </c>
    </row>
    <row r="1843" spans="1:5" x14ac:dyDescent="0.25">
      <c r="A1843" s="10">
        <v>44700</v>
      </c>
      <c r="B1843" s="11" t="s">
        <v>40</v>
      </c>
      <c r="C1843">
        <v>2323</v>
      </c>
      <c r="D1843" t="s">
        <v>7</v>
      </c>
      <c r="E1843" t="str">
        <f>IF(may[[#This Row],[ShiftCounter]]&gt;0, "Running", "Down")</f>
        <v>Running</v>
      </c>
    </row>
    <row r="1844" spans="1:5" x14ac:dyDescent="0.25">
      <c r="A1844" s="10">
        <v>44700</v>
      </c>
      <c r="B1844" s="11" t="s">
        <v>40</v>
      </c>
      <c r="C1844">
        <v>2148</v>
      </c>
      <c r="D1844" t="s">
        <v>8</v>
      </c>
      <c r="E1844" t="str">
        <f>IF(may[[#This Row],[ShiftCounter]]&gt;0, "Running", "Down")</f>
        <v>Running</v>
      </c>
    </row>
    <row r="1845" spans="1:5" x14ac:dyDescent="0.25">
      <c r="A1845" s="10">
        <v>44700</v>
      </c>
      <c r="B1845" s="11" t="s">
        <v>39</v>
      </c>
      <c r="C1845">
        <v>2160</v>
      </c>
      <c r="D1845" t="s">
        <v>6</v>
      </c>
      <c r="E1845" t="str">
        <f>IF(may[[#This Row],[ShiftCounter]]&gt;0, "Running", "Down")</f>
        <v>Running</v>
      </c>
    </row>
    <row r="1846" spans="1:5" x14ac:dyDescent="0.25">
      <c r="A1846" s="10">
        <v>44700</v>
      </c>
      <c r="B1846" s="11" t="s">
        <v>39</v>
      </c>
      <c r="C1846">
        <v>2046</v>
      </c>
      <c r="D1846" t="s">
        <v>7</v>
      </c>
      <c r="E1846" t="str">
        <f>IF(may[[#This Row],[ShiftCounter]]&gt;0, "Running", "Down")</f>
        <v>Running</v>
      </c>
    </row>
    <row r="1847" spans="1:5" x14ac:dyDescent="0.25">
      <c r="A1847" s="10">
        <v>44700</v>
      </c>
      <c r="B1847" s="11" t="s">
        <v>39</v>
      </c>
      <c r="C1847">
        <v>1881</v>
      </c>
      <c r="D1847" t="s">
        <v>8</v>
      </c>
      <c r="E1847" t="str">
        <f>IF(may[[#This Row],[ShiftCounter]]&gt;0, "Running", "Down")</f>
        <v>Running</v>
      </c>
    </row>
    <row r="1848" spans="1:5" x14ac:dyDescent="0.25">
      <c r="A1848" s="10">
        <v>44700</v>
      </c>
      <c r="B1848" s="11" t="s">
        <v>41</v>
      </c>
      <c r="C1848">
        <v>2454</v>
      </c>
      <c r="D1848" t="s">
        <v>6</v>
      </c>
      <c r="E1848" t="str">
        <f>IF(may[[#This Row],[ShiftCounter]]&gt;0, "Running", "Down")</f>
        <v>Running</v>
      </c>
    </row>
    <row r="1849" spans="1:5" x14ac:dyDescent="0.25">
      <c r="A1849" s="10">
        <v>44700</v>
      </c>
      <c r="B1849" s="11" t="s">
        <v>41</v>
      </c>
      <c r="C1849">
        <v>2328</v>
      </c>
      <c r="D1849" t="s">
        <v>7</v>
      </c>
      <c r="E1849" t="str">
        <f>IF(may[[#This Row],[ShiftCounter]]&gt;0, "Running", "Down")</f>
        <v>Running</v>
      </c>
    </row>
    <row r="1850" spans="1:5" x14ac:dyDescent="0.25">
      <c r="A1850" s="10">
        <v>44700</v>
      </c>
      <c r="B1850" s="11" t="s">
        <v>41</v>
      </c>
      <c r="C1850">
        <v>2127</v>
      </c>
      <c r="D1850" t="s">
        <v>8</v>
      </c>
      <c r="E1850" t="str">
        <f>IF(may[[#This Row],[ShiftCounter]]&gt;0, "Running", "Down")</f>
        <v>Running</v>
      </c>
    </row>
    <row r="1851" spans="1:5" x14ac:dyDescent="0.25">
      <c r="A1851" s="10">
        <v>44700</v>
      </c>
      <c r="B1851" s="11" t="s">
        <v>5</v>
      </c>
      <c r="C1851">
        <v>2518</v>
      </c>
      <c r="D1851" t="s">
        <v>6</v>
      </c>
      <c r="E1851" t="str">
        <f>IF(may[[#This Row],[ShiftCounter]]&gt;0, "Running", "Down")</f>
        <v>Running</v>
      </c>
    </row>
    <row r="1852" spans="1:5" x14ac:dyDescent="0.25">
      <c r="A1852" s="10">
        <v>44700</v>
      </c>
      <c r="B1852" s="11" t="s">
        <v>5</v>
      </c>
      <c r="C1852">
        <v>2342</v>
      </c>
      <c r="D1852" t="s">
        <v>7</v>
      </c>
      <c r="E1852" t="str">
        <f>IF(may[[#This Row],[ShiftCounter]]&gt;0, "Running", "Down")</f>
        <v>Running</v>
      </c>
    </row>
    <row r="1853" spans="1:5" x14ac:dyDescent="0.25">
      <c r="A1853" s="10">
        <v>44700</v>
      </c>
      <c r="B1853" s="11" t="s">
        <v>5</v>
      </c>
      <c r="C1853">
        <v>2052</v>
      </c>
      <c r="D1853" t="s">
        <v>8</v>
      </c>
      <c r="E1853" t="str">
        <f>IF(may[[#This Row],[ShiftCounter]]&gt;0, "Running", "Down")</f>
        <v>Running</v>
      </c>
    </row>
    <row r="1854" spans="1:5" x14ac:dyDescent="0.25">
      <c r="A1854" s="10">
        <v>44700</v>
      </c>
      <c r="B1854" s="11" t="s">
        <v>9</v>
      </c>
      <c r="C1854">
        <v>2485</v>
      </c>
      <c r="D1854" t="s">
        <v>6</v>
      </c>
      <c r="E1854" t="str">
        <f>IF(may[[#This Row],[ShiftCounter]]&gt;0, "Running", "Down")</f>
        <v>Running</v>
      </c>
    </row>
    <row r="1855" spans="1:5" x14ac:dyDescent="0.25">
      <c r="A1855" s="10">
        <v>44700</v>
      </c>
      <c r="B1855" s="11" t="s">
        <v>9</v>
      </c>
      <c r="C1855">
        <v>2327</v>
      </c>
      <c r="D1855" t="s">
        <v>7</v>
      </c>
      <c r="E1855" t="str">
        <f>IF(may[[#This Row],[ShiftCounter]]&gt;0, "Running", "Down")</f>
        <v>Running</v>
      </c>
    </row>
    <row r="1856" spans="1:5" x14ac:dyDescent="0.25">
      <c r="A1856" s="10">
        <v>44700</v>
      </c>
      <c r="B1856" s="11" t="s">
        <v>9</v>
      </c>
      <c r="C1856">
        <v>2096</v>
      </c>
      <c r="D1856" t="s">
        <v>8</v>
      </c>
      <c r="E1856" t="str">
        <f>IF(may[[#This Row],[ShiftCounter]]&gt;0, "Running", "Down")</f>
        <v>Running</v>
      </c>
    </row>
    <row r="1857" spans="1:5" x14ac:dyDescent="0.25">
      <c r="A1857" s="10">
        <v>44700</v>
      </c>
      <c r="B1857" s="11" t="s">
        <v>10</v>
      </c>
      <c r="C1857">
        <v>1822</v>
      </c>
      <c r="D1857" t="s">
        <v>6</v>
      </c>
      <c r="E1857" t="str">
        <f>IF(may[[#This Row],[ShiftCounter]]&gt;0, "Running", "Down")</f>
        <v>Running</v>
      </c>
    </row>
    <row r="1858" spans="1:5" x14ac:dyDescent="0.25">
      <c r="A1858" s="10">
        <v>44700</v>
      </c>
      <c r="B1858" s="11" t="s">
        <v>10</v>
      </c>
      <c r="C1858">
        <v>2024</v>
      </c>
      <c r="D1858" t="s">
        <v>7</v>
      </c>
      <c r="E1858" t="str">
        <f>IF(may[[#This Row],[ShiftCounter]]&gt;0, "Running", "Down")</f>
        <v>Running</v>
      </c>
    </row>
    <row r="1859" spans="1:5" x14ac:dyDescent="0.25">
      <c r="A1859" s="10">
        <v>44700</v>
      </c>
      <c r="B1859" s="11" t="s">
        <v>10</v>
      </c>
      <c r="C1859">
        <v>2186</v>
      </c>
      <c r="D1859" t="s">
        <v>8</v>
      </c>
      <c r="E1859" t="str">
        <f>IF(may[[#This Row],[ShiftCounter]]&gt;0, "Running", "Down")</f>
        <v>Running</v>
      </c>
    </row>
    <row r="1860" spans="1:5" x14ac:dyDescent="0.25">
      <c r="A1860" s="10">
        <v>44700</v>
      </c>
      <c r="B1860" s="11" t="s">
        <v>12</v>
      </c>
      <c r="C1860">
        <v>1616</v>
      </c>
      <c r="D1860" t="s">
        <v>6</v>
      </c>
      <c r="E1860" t="str">
        <f>IF(may[[#This Row],[ShiftCounter]]&gt;0, "Running", "Down")</f>
        <v>Running</v>
      </c>
    </row>
    <row r="1861" spans="1:5" x14ac:dyDescent="0.25">
      <c r="A1861" s="10">
        <v>44700</v>
      </c>
      <c r="B1861" s="11" t="s">
        <v>12</v>
      </c>
      <c r="C1861">
        <v>2120</v>
      </c>
      <c r="D1861" t="s">
        <v>7</v>
      </c>
      <c r="E1861" t="str">
        <f>IF(may[[#This Row],[ShiftCounter]]&gt;0, "Running", "Down")</f>
        <v>Running</v>
      </c>
    </row>
    <row r="1862" spans="1:5" x14ac:dyDescent="0.25">
      <c r="A1862" s="10">
        <v>44700</v>
      </c>
      <c r="B1862" s="11" t="s">
        <v>12</v>
      </c>
      <c r="C1862">
        <v>1972</v>
      </c>
      <c r="D1862" t="s">
        <v>8</v>
      </c>
      <c r="E1862" t="str">
        <f>IF(may[[#This Row],[ShiftCounter]]&gt;0, "Running", "Down")</f>
        <v>Running</v>
      </c>
    </row>
    <row r="1863" spans="1:5" x14ac:dyDescent="0.25">
      <c r="A1863" s="10">
        <v>44700</v>
      </c>
      <c r="B1863" s="11" t="s">
        <v>105</v>
      </c>
      <c r="C1863">
        <v>2272</v>
      </c>
      <c r="D1863" t="s">
        <v>6</v>
      </c>
      <c r="E1863" t="str">
        <f>IF(may[[#This Row],[ShiftCounter]]&gt;0, "Running", "Down")</f>
        <v>Running</v>
      </c>
    </row>
    <row r="1864" spans="1:5" x14ac:dyDescent="0.25">
      <c r="A1864" s="10">
        <v>44700</v>
      </c>
      <c r="B1864" s="11" t="s">
        <v>105</v>
      </c>
      <c r="C1864">
        <v>2123</v>
      </c>
      <c r="D1864" t="s">
        <v>7</v>
      </c>
      <c r="E1864" t="str">
        <f>IF(may[[#This Row],[ShiftCounter]]&gt;0, "Running", "Down")</f>
        <v>Running</v>
      </c>
    </row>
    <row r="1865" spans="1:5" x14ac:dyDescent="0.25">
      <c r="A1865" s="10">
        <v>44700</v>
      </c>
      <c r="B1865" s="11" t="s">
        <v>105</v>
      </c>
      <c r="C1865">
        <v>1997</v>
      </c>
      <c r="D1865" t="s">
        <v>8</v>
      </c>
      <c r="E1865" t="str">
        <f>IF(may[[#This Row],[ShiftCounter]]&gt;0, "Running", "Down")</f>
        <v>Running</v>
      </c>
    </row>
    <row r="1866" spans="1:5" x14ac:dyDescent="0.25">
      <c r="A1866" s="10">
        <v>44700</v>
      </c>
      <c r="B1866" s="11" t="s">
        <v>13</v>
      </c>
      <c r="C1866">
        <v>2337</v>
      </c>
      <c r="D1866" t="s">
        <v>6</v>
      </c>
      <c r="E1866" t="str">
        <f>IF(may[[#This Row],[ShiftCounter]]&gt;0, "Running", "Down")</f>
        <v>Running</v>
      </c>
    </row>
    <row r="1867" spans="1:5" x14ac:dyDescent="0.25">
      <c r="A1867" s="10">
        <v>44700</v>
      </c>
      <c r="B1867" s="11" t="s">
        <v>13</v>
      </c>
      <c r="C1867">
        <v>2227</v>
      </c>
      <c r="D1867" t="s">
        <v>7</v>
      </c>
      <c r="E1867" t="str">
        <f>IF(may[[#This Row],[ShiftCounter]]&gt;0, "Running", "Down")</f>
        <v>Running</v>
      </c>
    </row>
    <row r="1868" spans="1:5" x14ac:dyDescent="0.25">
      <c r="A1868" s="10">
        <v>44700</v>
      </c>
      <c r="B1868" s="11" t="s">
        <v>13</v>
      </c>
      <c r="C1868">
        <v>2006</v>
      </c>
      <c r="D1868" t="s">
        <v>8</v>
      </c>
      <c r="E1868" t="str">
        <f>IF(may[[#This Row],[ShiftCounter]]&gt;0, "Running", "Down")</f>
        <v>Running</v>
      </c>
    </row>
    <row r="1869" spans="1:5" x14ac:dyDescent="0.25">
      <c r="A1869" s="10">
        <v>44700</v>
      </c>
      <c r="B1869" s="11" t="s">
        <v>101</v>
      </c>
      <c r="C1869">
        <v>2043</v>
      </c>
      <c r="D1869" t="s">
        <v>6</v>
      </c>
      <c r="E1869" t="str">
        <f>IF(may[[#This Row],[ShiftCounter]]&gt;0, "Running", "Down")</f>
        <v>Running</v>
      </c>
    </row>
    <row r="1870" spans="1:5" x14ac:dyDescent="0.25">
      <c r="A1870" s="10">
        <v>44700</v>
      </c>
      <c r="B1870" s="11" t="s">
        <v>101</v>
      </c>
      <c r="C1870">
        <v>1952</v>
      </c>
      <c r="D1870" t="s">
        <v>7</v>
      </c>
      <c r="E1870" t="str">
        <f>IF(may[[#This Row],[ShiftCounter]]&gt;0, "Running", "Down")</f>
        <v>Running</v>
      </c>
    </row>
    <row r="1871" spans="1:5" x14ac:dyDescent="0.25">
      <c r="A1871" s="10">
        <v>44700</v>
      </c>
      <c r="B1871" s="11" t="s">
        <v>101</v>
      </c>
      <c r="C1871">
        <v>1894</v>
      </c>
      <c r="D1871" t="s">
        <v>8</v>
      </c>
      <c r="E1871" t="str">
        <f>IF(may[[#This Row],[ShiftCounter]]&gt;0, "Running", "Down")</f>
        <v>Running</v>
      </c>
    </row>
    <row r="1872" spans="1:5" x14ac:dyDescent="0.25">
      <c r="A1872" s="10">
        <v>44700</v>
      </c>
      <c r="B1872" s="11" t="s">
        <v>14</v>
      </c>
      <c r="C1872">
        <v>1590</v>
      </c>
      <c r="D1872" t="s">
        <v>6</v>
      </c>
      <c r="E1872" t="str">
        <f>IF(may[[#This Row],[ShiftCounter]]&gt;0, "Running", "Down")</f>
        <v>Running</v>
      </c>
    </row>
    <row r="1873" spans="1:5" x14ac:dyDescent="0.25">
      <c r="A1873" s="10">
        <v>44700</v>
      </c>
      <c r="B1873" s="11" t="s">
        <v>14</v>
      </c>
      <c r="C1873">
        <v>1703</v>
      </c>
      <c r="D1873" t="s">
        <v>7</v>
      </c>
      <c r="E1873" t="str">
        <f>IF(may[[#This Row],[ShiftCounter]]&gt;0, "Running", "Down")</f>
        <v>Running</v>
      </c>
    </row>
    <row r="1874" spans="1:5" x14ac:dyDescent="0.25">
      <c r="A1874" s="10">
        <v>44700</v>
      </c>
      <c r="B1874" s="11" t="s">
        <v>14</v>
      </c>
      <c r="C1874">
        <v>1623</v>
      </c>
      <c r="D1874" t="s">
        <v>8</v>
      </c>
      <c r="E1874" t="str">
        <f>IF(may[[#This Row],[ShiftCounter]]&gt;0, "Running", "Down")</f>
        <v>Running</v>
      </c>
    </row>
    <row r="1875" spans="1:5" x14ac:dyDescent="0.25">
      <c r="A1875" s="10">
        <v>44700</v>
      </c>
      <c r="B1875" s="11" t="s">
        <v>15</v>
      </c>
      <c r="C1875">
        <v>2175</v>
      </c>
      <c r="D1875" t="s">
        <v>6</v>
      </c>
      <c r="E1875" t="str">
        <f>IF(may[[#This Row],[ShiftCounter]]&gt;0, "Running", "Down")</f>
        <v>Running</v>
      </c>
    </row>
    <row r="1876" spans="1:5" x14ac:dyDescent="0.25">
      <c r="A1876" s="10">
        <v>44700</v>
      </c>
      <c r="B1876" s="11" t="s">
        <v>15</v>
      </c>
      <c r="C1876">
        <v>1974</v>
      </c>
      <c r="D1876" t="s">
        <v>7</v>
      </c>
      <c r="E1876" t="str">
        <f>IF(may[[#This Row],[ShiftCounter]]&gt;0, "Running", "Down")</f>
        <v>Running</v>
      </c>
    </row>
    <row r="1877" spans="1:5" x14ac:dyDescent="0.25">
      <c r="A1877" s="10">
        <v>44700</v>
      </c>
      <c r="B1877" s="11" t="s">
        <v>15</v>
      </c>
      <c r="C1877">
        <v>1892</v>
      </c>
      <c r="D1877" t="s">
        <v>8</v>
      </c>
      <c r="E1877" t="str">
        <f>IF(may[[#This Row],[ShiftCounter]]&gt;0, "Running", "Down")</f>
        <v>Running</v>
      </c>
    </row>
    <row r="1878" spans="1:5" x14ac:dyDescent="0.25">
      <c r="A1878" s="10">
        <v>44700</v>
      </c>
      <c r="B1878" s="11" t="s">
        <v>16</v>
      </c>
      <c r="C1878">
        <v>2288</v>
      </c>
      <c r="D1878" t="s">
        <v>6</v>
      </c>
      <c r="E1878" t="str">
        <f>IF(may[[#This Row],[ShiftCounter]]&gt;0, "Running", "Down")</f>
        <v>Running</v>
      </c>
    </row>
    <row r="1879" spans="1:5" x14ac:dyDescent="0.25">
      <c r="A1879" s="10">
        <v>44700</v>
      </c>
      <c r="B1879" s="11" t="s">
        <v>16</v>
      </c>
      <c r="C1879">
        <v>1973</v>
      </c>
      <c r="D1879" t="s">
        <v>7</v>
      </c>
      <c r="E1879" t="str">
        <f>IF(may[[#This Row],[ShiftCounter]]&gt;0, "Running", "Down")</f>
        <v>Running</v>
      </c>
    </row>
    <row r="1880" spans="1:5" x14ac:dyDescent="0.25">
      <c r="A1880" s="10">
        <v>44700</v>
      </c>
      <c r="B1880" s="11" t="s">
        <v>16</v>
      </c>
      <c r="C1880">
        <v>1997</v>
      </c>
      <c r="D1880" t="s">
        <v>8</v>
      </c>
      <c r="E1880" t="str">
        <f>IF(may[[#This Row],[ShiftCounter]]&gt;0, "Running", "Down")</f>
        <v>Running</v>
      </c>
    </row>
    <row r="1881" spans="1:5" x14ac:dyDescent="0.25">
      <c r="A1881" s="10">
        <v>44700</v>
      </c>
      <c r="B1881" s="11" t="s">
        <v>17</v>
      </c>
      <c r="C1881">
        <v>2070</v>
      </c>
      <c r="D1881" t="s">
        <v>6</v>
      </c>
      <c r="E1881" t="str">
        <f>IF(may[[#This Row],[ShiftCounter]]&gt;0, "Running", "Down")</f>
        <v>Running</v>
      </c>
    </row>
    <row r="1882" spans="1:5" x14ac:dyDescent="0.25">
      <c r="A1882" s="10">
        <v>44700</v>
      </c>
      <c r="B1882" s="11" t="s">
        <v>17</v>
      </c>
      <c r="C1882">
        <v>2006</v>
      </c>
      <c r="D1882" t="s">
        <v>7</v>
      </c>
      <c r="E1882" t="str">
        <f>IF(may[[#This Row],[ShiftCounter]]&gt;0, "Running", "Down")</f>
        <v>Running</v>
      </c>
    </row>
    <row r="1883" spans="1:5" x14ac:dyDescent="0.25">
      <c r="A1883" s="10">
        <v>44700</v>
      </c>
      <c r="B1883" s="11" t="s">
        <v>17</v>
      </c>
      <c r="C1883">
        <v>1837</v>
      </c>
      <c r="D1883" t="s">
        <v>8</v>
      </c>
      <c r="E1883" t="str">
        <f>IF(may[[#This Row],[ShiftCounter]]&gt;0, "Running", "Down")</f>
        <v>Running</v>
      </c>
    </row>
    <row r="1884" spans="1:5" x14ac:dyDescent="0.25">
      <c r="A1884" s="10">
        <v>44700</v>
      </c>
      <c r="B1884" s="11" t="s">
        <v>19</v>
      </c>
      <c r="C1884">
        <v>2050</v>
      </c>
      <c r="D1884" t="s">
        <v>6</v>
      </c>
      <c r="E1884" t="str">
        <f>IF(may[[#This Row],[ShiftCounter]]&gt;0, "Running", "Down")</f>
        <v>Running</v>
      </c>
    </row>
    <row r="1885" spans="1:5" x14ac:dyDescent="0.25">
      <c r="A1885" s="10">
        <v>44700</v>
      </c>
      <c r="B1885" s="11" t="s">
        <v>19</v>
      </c>
      <c r="C1885">
        <v>1965</v>
      </c>
      <c r="D1885" t="s">
        <v>7</v>
      </c>
      <c r="E1885" t="str">
        <f>IF(may[[#This Row],[ShiftCounter]]&gt;0, "Running", "Down")</f>
        <v>Running</v>
      </c>
    </row>
    <row r="1886" spans="1:5" x14ac:dyDescent="0.25">
      <c r="A1886" s="10">
        <v>44700</v>
      </c>
      <c r="B1886" s="11" t="s">
        <v>19</v>
      </c>
      <c r="C1886">
        <v>1916</v>
      </c>
      <c r="D1886" t="s">
        <v>8</v>
      </c>
      <c r="E1886" t="str">
        <f>IF(may[[#This Row],[ShiftCounter]]&gt;0, "Running", "Down")</f>
        <v>Running</v>
      </c>
    </row>
    <row r="1887" spans="1:5" x14ac:dyDescent="0.25">
      <c r="A1887" s="10">
        <v>44700</v>
      </c>
      <c r="B1887" s="11" t="s">
        <v>18</v>
      </c>
      <c r="C1887">
        <v>1921</v>
      </c>
      <c r="D1887" t="s">
        <v>6</v>
      </c>
      <c r="E1887" t="str">
        <f>IF(may[[#This Row],[ShiftCounter]]&gt;0, "Running", "Down")</f>
        <v>Running</v>
      </c>
    </row>
    <row r="1888" spans="1:5" x14ac:dyDescent="0.25">
      <c r="A1888" s="10">
        <v>44700</v>
      </c>
      <c r="B1888" s="11" t="s">
        <v>18</v>
      </c>
      <c r="C1888">
        <v>1836</v>
      </c>
      <c r="D1888" t="s">
        <v>7</v>
      </c>
      <c r="E1888" t="str">
        <f>IF(may[[#This Row],[ShiftCounter]]&gt;0, "Running", "Down")</f>
        <v>Running</v>
      </c>
    </row>
    <row r="1889" spans="1:5" x14ac:dyDescent="0.25">
      <c r="A1889" s="10">
        <v>44700</v>
      </c>
      <c r="B1889" s="11" t="s">
        <v>18</v>
      </c>
      <c r="C1889">
        <v>2001</v>
      </c>
      <c r="D1889" t="s">
        <v>8</v>
      </c>
      <c r="E1889" t="str">
        <f>IF(may[[#This Row],[ShiftCounter]]&gt;0, "Running", "Down")</f>
        <v>Running</v>
      </c>
    </row>
    <row r="1890" spans="1:5" x14ac:dyDescent="0.25">
      <c r="A1890" s="10">
        <v>44700</v>
      </c>
      <c r="B1890" s="11" t="s">
        <v>20</v>
      </c>
      <c r="C1890">
        <v>2020</v>
      </c>
      <c r="D1890" t="s">
        <v>6</v>
      </c>
      <c r="E1890" t="str">
        <f>IF(may[[#This Row],[ShiftCounter]]&gt;0, "Running", "Down")</f>
        <v>Running</v>
      </c>
    </row>
    <row r="1891" spans="1:5" x14ac:dyDescent="0.25">
      <c r="A1891" s="10">
        <v>44700</v>
      </c>
      <c r="B1891" s="11" t="s">
        <v>20</v>
      </c>
      <c r="C1891">
        <v>1954</v>
      </c>
      <c r="D1891" t="s">
        <v>7</v>
      </c>
      <c r="E1891" t="str">
        <f>IF(may[[#This Row],[ShiftCounter]]&gt;0, "Running", "Down")</f>
        <v>Running</v>
      </c>
    </row>
    <row r="1892" spans="1:5" x14ac:dyDescent="0.25">
      <c r="A1892" s="10">
        <v>44700</v>
      </c>
      <c r="B1892" s="11" t="s">
        <v>20</v>
      </c>
      <c r="C1892">
        <v>1763</v>
      </c>
      <c r="D1892" t="s">
        <v>8</v>
      </c>
      <c r="E1892" t="str">
        <f>IF(may[[#This Row],[ShiftCounter]]&gt;0, "Running", "Down")</f>
        <v>Running</v>
      </c>
    </row>
    <row r="1893" spans="1:5" x14ac:dyDescent="0.25">
      <c r="A1893" s="10">
        <v>44700</v>
      </c>
      <c r="B1893" s="11" t="s">
        <v>22</v>
      </c>
      <c r="C1893">
        <v>2284</v>
      </c>
      <c r="D1893" t="s">
        <v>6</v>
      </c>
      <c r="E1893" t="str">
        <f>IF(may[[#This Row],[ShiftCounter]]&gt;0, "Running", "Down")</f>
        <v>Running</v>
      </c>
    </row>
    <row r="1894" spans="1:5" x14ac:dyDescent="0.25">
      <c r="A1894" s="10">
        <v>44700</v>
      </c>
      <c r="B1894" s="11" t="s">
        <v>22</v>
      </c>
      <c r="C1894">
        <v>2183</v>
      </c>
      <c r="D1894" t="s">
        <v>7</v>
      </c>
      <c r="E1894" t="str">
        <f>IF(may[[#This Row],[ShiftCounter]]&gt;0, "Running", "Down")</f>
        <v>Running</v>
      </c>
    </row>
    <row r="1895" spans="1:5" x14ac:dyDescent="0.25">
      <c r="A1895" s="10">
        <v>44700</v>
      </c>
      <c r="B1895" s="11" t="s">
        <v>22</v>
      </c>
      <c r="C1895">
        <v>1964</v>
      </c>
      <c r="D1895" t="s">
        <v>8</v>
      </c>
      <c r="E1895" t="str">
        <f>IF(may[[#This Row],[ShiftCounter]]&gt;0, "Running", "Down")</f>
        <v>Running</v>
      </c>
    </row>
    <row r="1896" spans="1:5" x14ac:dyDescent="0.25">
      <c r="A1896" s="10">
        <v>44700</v>
      </c>
      <c r="B1896" s="11" t="s">
        <v>21</v>
      </c>
      <c r="C1896">
        <v>2085</v>
      </c>
      <c r="D1896" t="s">
        <v>6</v>
      </c>
      <c r="E1896" t="str">
        <f>IF(may[[#This Row],[ShiftCounter]]&gt;0, "Running", "Down")</f>
        <v>Running</v>
      </c>
    </row>
    <row r="1897" spans="1:5" x14ac:dyDescent="0.25">
      <c r="A1897" s="10">
        <v>44700</v>
      </c>
      <c r="B1897" s="11" t="s">
        <v>21</v>
      </c>
      <c r="C1897">
        <v>1777</v>
      </c>
      <c r="D1897" t="s">
        <v>7</v>
      </c>
      <c r="E1897" t="str">
        <f>IF(may[[#This Row],[ShiftCounter]]&gt;0, "Running", "Down")</f>
        <v>Running</v>
      </c>
    </row>
    <row r="1898" spans="1:5" x14ac:dyDescent="0.25">
      <c r="A1898" s="10">
        <v>44700</v>
      </c>
      <c r="B1898" s="11" t="s">
        <v>21</v>
      </c>
      <c r="C1898">
        <v>1834</v>
      </c>
      <c r="D1898" t="s">
        <v>8</v>
      </c>
      <c r="E1898" t="str">
        <f>IF(may[[#This Row],[ShiftCounter]]&gt;0, "Running", "Down")</f>
        <v>Running</v>
      </c>
    </row>
    <row r="1899" spans="1:5" x14ac:dyDescent="0.25">
      <c r="A1899" s="10">
        <v>44700</v>
      </c>
      <c r="B1899" s="11" t="s">
        <v>23</v>
      </c>
      <c r="C1899">
        <v>2323</v>
      </c>
      <c r="D1899" t="s">
        <v>6</v>
      </c>
      <c r="E1899" t="str">
        <f>IF(may[[#This Row],[ShiftCounter]]&gt;0, "Running", "Down")</f>
        <v>Running</v>
      </c>
    </row>
    <row r="1900" spans="1:5" x14ac:dyDescent="0.25">
      <c r="A1900" s="10">
        <v>44700</v>
      </c>
      <c r="B1900" s="11" t="s">
        <v>23</v>
      </c>
      <c r="C1900">
        <v>2360</v>
      </c>
      <c r="D1900" t="s">
        <v>7</v>
      </c>
      <c r="E1900" t="str">
        <f>IF(may[[#This Row],[ShiftCounter]]&gt;0, "Running", "Down")</f>
        <v>Running</v>
      </c>
    </row>
    <row r="1901" spans="1:5" x14ac:dyDescent="0.25">
      <c r="A1901" s="10">
        <v>44700</v>
      </c>
      <c r="B1901" s="11" t="s">
        <v>23</v>
      </c>
      <c r="C1901">
        <v>2032</v>
      </c>
      <c r="D1901" t="s">
        <v>8</v>
      </c>
      <c r="E1901" t="str">
        <f>IF(may[[#This Row],[ShiftCounter]]&gt;0, "Running", "Down")</f>
        <v>Running</v>
      </c>
    </row>
    <row r="1902" spans="1:5" x14ac:dyDescent="0.25">
      <c r="A1902" s="10">
        <v>44700</v>
      </c>
      <c r="B1902" s="11" t="s">
        <v>24</v>
      </c>
      <c r="C1902">
        <v>1953</v>
      </c>
      <c r="D1902" t="s">
        <v>6</v>
      </c>
      <c r="E1902" t="str">
        <f>IF(may[[#This Row],[ShiftCounter]]&gt;0, "Running", "Down")</f>
        <v>Running</v>
      </c>
    </row>
    <row r="1903" spans="1:5" x14ac:dyDescent="0.25">
      <c r="A1903" s="10">
        <v>44700</v>
      </c>
      <c r="B1903" s="11" t="s">
        <v>24</v>
      </c>
      <c r="C1903">
        <v>2071</v>
      </c>
      <c r="D1903" t="s">
        <v>7</v>
      </c>
      <c r="E1903" t="str">
        <f>IF(may[[#This Row],[ShiftCounter]]&gt;0, "Running", "Down")</f>
        <v>Running</v>
      </c>
    </row>
    <row r="1904" spans="1:5" x14ac:dyDescent="0.25">
      <c r="A1904" s="10">
        <v>44700</v>
      </c>
      <c r="B1904" s="11" t="s">
        <v>24</v>
      </c>
      <c r="C1904">
        <v>1867</v>
      </c>
      <c r="D1904" t="s">
        <v>8</v>
      </c>
      <c r="E1904" t="str">
        <f>IF(may[[#This Row],[ShiftCounter]]&gt;0, "Running", "Down")</f>
        <v>Running</v>
      </c>
    </row>
    <row r="1905" spans="1:5" x14ac:dyDescent="0.25">
      <c r="A1905" s="10">
        <v>44700</v>
      </c>
      <c r="B1905" s="11" t="s">
        <v>25</v>
      </c>
      <c r="C1905">
        <v>2201</v>
      </c>
      <c r="D1905" t="s">
        <v>6</v>
      </c>
      <c r="E1905" t="str">
        <f>IF(may[[#This Row],[ShiftCounter]]&gt;0, "Running", "Down")</f>
        <v>Running</v>
      </c>
    </row>
    <row r="1906" spans="1:5" x14ac:dyDescent="0.25">
      <c r="A1906" s="10">
        <v>44700</v>
      </c>
      <c r="B1906" s="11" t="s">
        <v>25</v>
      </c>
      <c r="C1906">
        <v>2122</v>
      </c>
      <c r="D1906" t="s">
        <v>7</v>
      </c>
      <c r="E1906" t="str">
        <f>IF(may[[#This Row],[ShiftCounter]]&gt;0, "Running", "Down")</f>
        <v>Running</v>
      </c>
    </row>
    <row r="1907" spans="1:5" x14ac:dyDescent="0.25">
      <c r="A1907" s="10">
        <v>44700</v>
      </c>
      <c r="B1907" s="11" t="s">
        <v>25</v>
      </c>
      <c r="C1907">
        <v>2027</v>
      </c>
      <c r="D1907" t="s">
        <v>8</v>
      </c>
      <c r="E1907" t="str">
        <f>IF(may[[#This Row],[ShiftCounter]]&gt;0, "Running", "Down")</f>
        <v>Running</v>
      </c>
    </row>
    <row r="1908" spans="1:5" x14ac:dyDescent="0.25">
      <c r="A1908" s="10">
        <v>44700</v>
      </c>
      <c r="B1908" s="11" t="s">
        <v>26</v>
      </c>
      <c r="C1908">
        <v>2120</v>
      </c>
      <c r="D1908" t="s">
        <v>6</v>
      </c>
      <c r="E1908" t="str">
        <f>IF(may[[#This Row],[ShiftCounter]]&gt;0, "Running", "Down")</f>
        <v>Running</v>
      </c>
    </row>
    <row r="1909" spans="1:5" x14ac:dyDescent="0.25">
      <c r="A1909" s="10">
        <v>44700</v>
      </c>
      <c r="B1909" s="11" t="s">
        <v>26</v>
      </c>
      <c r="C1909">
        <v>2225</v>
      </c>
      <c r="D1909" t="s">
        <v>7</v>
      </c>
      <c r="E1909" t="str">
        <f>IF(may[[#This Row],[ShiftCounter]]&gt;0, "Running", "Down")</f>
        <v>Running</v>
      </c>
    </row>
    <row r="1910" spans="1:5" x14ac:dyDescent="0.25">
      <c r="A1910" s="10">
        <v>44700</v>
      </c>
      <c r="B1910" s="11" t="s">
        <v>26</v>
      </c>
      <c r="C1910">
        <v>1909</v>
      </c>
      <c r="D1910" t="s">
        <v>8</v>
      </c>
      <c r="E1910" t="str">
        <f>IF(may[[#This Row],[ShiftCounter]]&gt;0, "Running", "Down")</f>
        <v>Running</v>
      </c>
    </row>
    <row r="1911" spans="1:5" x14ac:dyDescent="0.25">
      <c r="A1911" s="10">
        <v>44700</v>
      </c>
      <c r="B1911" s="11" t="s">
        <v>27</v>
      </c>
      <c r="C1911">
        <v>2203</v>
      </c>
      <c r="D1911" t="s">
        <v>6</v>
      </c>
      <c r="E1911" t="str">
        <f>IF(may[[#This Row],[ShiftCounter]]&gt;0, "Running", "Down")</f>
        <v>Running</v>
      </c>
    </row>
    <row r="1912" spans="1:5" x14ac:dyDescent="0.25">
      <c r="A1912" s="10">
        <v>44700</v>
      </c>
      <c r="B1912" s="11" t="s">
        <v>27</v>
      </c>
      <c r="C1912">
        <v>2221</v>
      </c>
      <c r="D1912" t="s">
        <v>7</v>
      </c>
      <c r="E1912" t="str">
        <f>IF(may[[#This Row],[ShiftCounter]]&gt;0, "Running", "Down")</f>
        <v>Running</v>
      </c>
    </row>
    <row r="1913" spans="1:5" x14ac:dyDescent="0.25">
      <c r="A1913" s="10">
        <v>44700</v>
      </c>
      <c r="B1913" s="11" t="s">
        <v>27</v>
      </c>
      <c r="C1913">
        <v>2088</v>
      </c>
      <c r="D1913" t="s">
        <v>8</v>
      </c>
      <c r="E1913" t="str">
        <f>IF(may[[#This Row],[ShiftCounter]]&gt;0, "Running", "Down")</f>
        <v>Running</v>
      </c>
    </row>
    <row r="1914" spans="1:5" x14ac:dyDescent="0.25">
      <c r="A1914" s="10">
        <v>44700</v>
      </c>
      <c r="B1914" s="11" t="s">
        <v>28</v>
      </c>
      <c r="C1914">
        <v>2112</v>
      </c>
      <c r="D1914" t="s">
        <v>6</v>
      </c>
      <c r="E1914" t="str">
        <f>IF(may[[#This Row],[ShiftCounter]]&gt;0, "Running", "Down")</f>
        <v>Running</v>
      </c>
    </row>
    <row r="1915" spans="1:5" x14ac:dyDescent="0.25">
      <c r="A1915" s="10">
        <v>44700</v>
      </c>
      <c r="B1915" s="11" t="s">
        <v>28</v>
      </c>
      <c r="C1915">
        <v>2070</v>
      </c>
      <c r="D1915" t="s">
        <v>7</v>
      </c>
      <c r="E1915" t="str">
        <f>IF(may[[#This Row],[ShiftCounter]]&gt;0, "Running", "Down")</f>
        <v>Running</v>
      </c>
    </row>
    <row r="1916" spans="1:5" x14ac:dyDescent="0.25">
      <c r="A1916" s="10">
        <v>44700</v>
      </c>
      <c r="B1916" s="11" t="s">
        <v>28</v>
      </c>
      <c r="C1916">
        <v>1935</v>
      </c>
      <c r="D1916" t="s">
        <v>8</v>
      </c>
      <c r="E1916" t="str">
        <f>IF(may[[#This Row],[ShiftCounter]]&gt;0, "Running", "Down")</f>
        <v>Running</v>
      </c>
    </row>
    <row r="1917" spans="1:5" x14ac:dyDescent="0.25">
      <c r="A1917" s="10">
        <v>44700</v>
      </c>
      <c r="B1917" s="11" t="s">
        <v>29</v>
      </c>
      <c r="C1917">
        <v>878</v>
      </c>
      <c r="D1917" t="s">
        <v>6</v>
      </c>
      <c r="E1917" t="str">
        <f>IF(may[[#This Row],[ShiftCounter]]&gt;0, "Running", "Down")</f>
        <v>Running</v>
      </c>
    </row>
    <row r="1918" spans="1:5" x14ac:dyDescent="0.25">
      <c r="A1918" s="10">
        <v>44700</v>
      </c>
      <c r="B1918" s="11" t="s">
        <v>29</v>
      </c>
      <c r="C1918">
        <v>1540</v>
      </c>
      <c r="D1918" t="s">
        <v>7</v>
      </c>
      <c r="E1918" t="str">
        <f>IF(may[[#This Row],[ShiftCounter]]&gt;0, "Running", "Down")</f>
        <v>Running</v>
      </c>
    </row>
    <row r="1919" spans="1:5" x14ac:dyDescent="0.25">
      <c r="A1919" s="10">
        <v>44700</v>
      </c>
      <c r="B1919" s="11" t="s">
        <v>29</v>
      </c>
      <c r="C1919">
        <v>2060</v>
      </c>
      <c r="D1919" t="s">
        <v>8</v>
      </c>
      <c r="E1919" t="str">
        <f>IF(may[[#This Row],[ShiftCounter]]&gt;0, "Running", "Down")</f>
        <v>Running</v>
      </c>
    </row>
    <row r="1920" spans="1:5" x14ac:dyDescent="0.25">
      <c r="A1920" s="10">
        <v>44700</v>
      </c>
      <c r="B1920" s="11" t="s">
        <v>30</v>
      </c>
      <c r="C1920">
        <v>2283</v>
      </c>
      <c r="D1920" t="s">
        <v>6</v>
      </c>
      <c r="E1920" t="str">
        <f>IF(may[[#This Row],[ShiftCounter]]&gt;0, "Running", "Down")</f>
        <v>Running</v>
      </c>
    </row>
    <row r="1921" spans="1:5" x14ac:dyDescent="0.25">
      <c r="A1921" s="10">
        <v>44700</v>
      </c>
      <c r="B1921" s="11" t="s">
        <v>30</v>
      </c>
      <c r="C1921">
        <v>2194</v>
      </c>
      <c r="D1921" t="s">
        <v>7</v>
      </c>
      <c r="E1921" t="str">
        <f>IF(may[[#This Row],[ShiftCounter]]&gt;0, "Running", "Down")</f>
        <v>Running</v>
      </c>
    </row>
    <row r="1922" spans="1:5" x14ac:dyDescent="0.25">
      <c r="A1922" s="10">
        <v>44700</v>
      </c>
      <c r="B1922" s="11" t="s">
        <v>30</v>
      </c>
      <c r="C1922">
        <v>1939</v>
      </c>
      <c r="D1922" t="s">
        <v>8</v>
      </c>
      <c r="E1922" t="str">
        <f>IF(may[[#This Row],[ShiftCounter]]&gt;0, "Running", "Down")</f>
        <v>Running</v>
      </c>
    </row>
    <row r="1923" spans="1:5" x14ac:dyDescent="0.25">
      <c r="A1923" s="10">
        <v>44700</v>
      </c>
      <c r="B1923" s="11" t="s">
        <v>31</v>
      </c>
      <c r="C1923">
        <v>2152</v>
      </c>
      <c r="D1923" t="s">
        <v>6</v>
      </c>
      <c r="E1923" t="str">
        <f>IF(may[[#This Row],[ShiftCounter]]&gt;0, "Running", "Down")</f>
        <v>Running</v>
      </c>
    </row>
    <row r="1924" spans="1:5" x14ac:dyDescent="0.25">
      <c r="A1924" s="10">
        <v>44700</v>
      </c>
      <c r="B1924" s="11" t="s">
        <v>31</v>
      </c>
      <c r="C1924">
        <v>2107</v>
      </c>
      <c r="D1924" t="s">
        <v>7</v>
      </c>
      <c r="E1924" t="str">
        <f>IF(may[[#This Row],[ShiftCounter]]&gt;0, "Running", "Down")</f>
        <v>Running</v>
      </c>
    </row>
    <row r="1925" spans="1:5" x14ac:dyDescent="0.25">
      <c r="A1925" s="10">
        <v>44700</v>
      </c>
      <c r="B1925" s="11" t="s">
        <v>31</v>
      </c>
      <c r="C1925">
        <v>2006</v>
      </c>
      <c r="D1925" t="s">
        <v>8</v>
      </c>
      <c r="E1925" t="str">
        <f>IF(may[[#This Row],[ShiftCounter]]&gt;0, "Running", "Down")</f>
        <v>Running</v>
      </c>
    </row>
    <row r="1926" spans="1:5" x14ac:dyDescent="0.25">
      <c r="A1926" s="10">
        <v>44700</v>
      </c>
      <c r="B1926" s="11" t="s">
        <v>32</v>
      </c>
      <c r="C1926">
        <v>2199</v>
      </c>
      <c r="D1926" t="s">
        <v>6</v>
      </c>
      <c r="E1926" t="str">
        <f>IF(may[[#This Row],[ShiftCounter]]&gt;0, "Running", "Down")</f>
        <v>Running</v>
      </c>
    </row>
    <row r="1927" spans="1:5" x14ac:dyDescent="0.25">
      <c r="A1927" s="10">
        <v>44700</v>
      </c>
      <c r="B1927" s="11" t="s">
        <v>32</v>
      </c>
      <c r="C1927">
        <v>2223</v>
      </c>
      <c r="D1927" t="s">
        <v>7</v>
      </c>
      <c r="E1927" t="str">
        <f>IF(may[[#This Row],[ShiftCounter]]&gt;0, "Running", "Down")</f>
        <v>Running</v>
      </c>
    </row>
    <row r="1928" spans="1:5" x14ac:dyDescent="0.25">
      <c r="A1928" s="10">
        <v>44700</v>
      </c>
      <c r="B1928" s="11" t="s">
        <v>32</v>
      </c>
      <c r="C1928">
        <v>2083</v>
      </c>
      <c r="D1928" t="s">
        <v>8</v>
      </c>
      <c r="E1928" t="str">
        <f>IF(may[[#This Row],[ShiftCounter]]&gt;0, "Running", "Down")</f>
        <v>Running</v>
      </c>
    </row>
    <row r="1929" spans="1:5" x14ac:dyDescent="0.25">
      <c r="A1929" s="10">
        <v>44700</v>
      </c>
      <c r="B1929" s="11" t="s">
        <v>33</v>
      </c>
      <c r="C1929">
        <v>2366</v>
      </c>
      <c r="D1929" t="s">
        <v>6</v>
      </c>
      <c r="E1929" t="str">
        <f>IF(may[[#This Row],[ShiftCounter]]&gt;0, "Running", "Down")</f>
        <v>Running</v>
      </c>
    </row>
    <row r="1930" spans="1:5" x14ac:dyDescent="0.25">
      <c r="A1930" s="10">
        <v>44700</v>
      </c>
      <c r="B1930" s="11" t="s">
        <v>33</v>
      </c>
      <c r="C1930">
        <v>1746</v>
      </c>
      <c r="D1930" t="s">
        <v>7</v>
      </c>
      <c r="E1930" t="str">
        <f>IF(may[[#This Row],[ShiftCounter]]&gt;0, "Running", "Down")</f>
        <v>Running</v>
      </c>
    </row>
    <row r="1931" spans="1:5" x14ac:dyDescent="0.25">
      <c r="A1931" s="10">
        <v>44700</v>
      </c>
      <c r="B1931" s="11" t="s">
        <v>33</v>
      </c>
      <c r="C1931">
        <v>0</v>
      </c>
      <c r="D1931" t="s">
        <v>8</v>
      </c>
      <c r="E1931" t="str">
        <f>IF(may[[#This Row],[ShiftCounter]]&gt;0, "Running", "Down")</f>
        <v>Down</v>
      </c>
    </row>
    <row r="1932" spans="1:5" x14ac:dyDescent="0.25">
      <c r="A1932" s="10">
        <v>44700</v>
      </c>
      <c r="B1932" s="11" t="s">
        <v>34</v>
      </c>
      <c r="C1932">
        <v>1811</v>
      </c>
      <c r="D1932" t="s">
        <v>6</v>
      </c>
      <c r="E1932" t="str">
        <f>IF(may[[#This Row],[ShiftCounter]]&gt;0, "Running", "Down")</f>
        <v>Running</v>
      </c>
    </row>
    <row r="1933" spans="1:5" x14ac:dyDescent="0.25">
      <c r="A1933" s="10">
        <v>44700</v>
      </c>
      <c r="B1933" s="11" t="s">
        <v>34</v>
      </c>
      <c r="C1933">
        <v>2002</v>
      </c>
      <c r="D1933" t="s">
        <v>7</v>
      </c>
      <c r="E1933" t="str">
        <f>IF(may[[#This Row],[ShiftCounter]]&gt;0, "Running", "Down")</f>
        <v>Running</v>
      </c>
    </row>
    <row r="1934" spans="1:5" x14ac:dyDescent="0.25">
      <c r="A1934" s="10">
        <v>44700</v>
      </c>
      <c r="B1934" s="11" t="s">
        <v>34</v>
      </c>
      <c r="C1934">
        <v>1900</v>
      </c>
      <c r="D1934" t="s">
        <v>8</v>
      </c>
      <c r="E1934" t="str">
        <f>IF(may[[#This Row],[ShiftCounter]]&gt;0, "Running", "Down")</f>
        <v>Running</v>
      </c>
    </row>
    <row r="1935" spans="1:5" x14ac:dyDescent="0.25">
      <c r="A1935" s="10">
        <v>44700</v>
      </c>
      <c r="B1935" s="11" t="s">
        <v>36</v>
      </c>
      <c r="C1935">
        <v>2308</v>
      </c>
      <c r="D1935" t="s">
        <v>6</v>
      </c>
      <c r="E1935" t="str">
        <f>IF(may[[#This Row],[ShiftCounter]]&gt;0, "Running", "Down")</f>
        <v>Running</v>
      </c>
    </row>
    <row r="1936" spans="1:5" x14ac:dyDescent="0.25">
      <c r="A1936" s="10">
        <v>44700</v>
      </c>
      <c r="B1936" s="11" t="s">
        <v>36</v>
      </c>
      <c r="C1936">
        <v>2153</v>
      </c>
      <c r="D1936" t="s">
        <v>7</v>
      </c>
      <c r="E1936" t="str">
        <f>IF(may[[#This Row],[ShiftCounter]]&gt;0, "Running", "Down")</f>
        <v>Running</v>
      </c>
    </row>
    <row r="1937" spans="1:5" x14ac:dyDescent="0.25">
      <c r="A1937" s="10">
        <v>44700</v>
      </c>
      <c r="B1937" s="11" t="s">
        <v>36</v>
      </c>
      <c r="C1937">
        <v>2160</v>
      </c>
      <c r="D1937" t="s">
        <v>8</v>
      </c>
      <c r="E1937" t="str">
        <f>IF(may[[#This Row],[ShiftCounter]]&gt;0, "Running", "Down")</f>
        <v>Running</v>
      </c>
    </row>
    <row r="1938" spans="1:5" x14ac:dyDescent="0.25">
      <c r="A1938" s="10">
        <v>44700</v>
      </c>
      <c r="B1938" s="11" t="s">
        <v>37</v>
      </c>
      <c r="C1938">
        <v>2282</v>
      </c>
      <c r="D1938" t="s">
        <v>6</v>
      </c>
      <c r="E1938" t="str">
        <f>IF(may[[#This Row],[ShiftCounter]]&gt;0, "Running", "Down")</f>
        <v>Running</v>
      </c>
    </row>
    <row r="1939" spans="1:5" x14ac:dyDescent="0.25">
      <c r="A1939" s="10">
        <v>44700</v>
      </c>
      <c r="B1939" s="11" t="s">
        <v>37</v>
      </c>
      <c r="C1939">
        <v>2306</v>
      </c>
      <c r="D1939" t="s">
        <v>7</v>
      </c>
      <c r="E1939" t="str">
        <f>IF(may[[#This Row],[ShiftCounter]]&gt;0, "Running", "Down")</f>
        <v>Running</v>
      </c>
    </row>
    <row r="1940" spans="1:5" x14ac:dyDescent="0.25">
      <c r="A1940" s="10">
        <v>44700</v>
      </c>
      <c r="B1940" s="11" t="s">
        <v>37</v>
      </c>
      <c r="C1940">
        <v>2125</v>
      </c>
      <c r="D1940" t="s">
        <v>8</v>
      </c>
      <c r="E1940" t="str">
        <f>IF(may[[#This Row],[ShiftCounter]]&gt;0, "Running", "Down")</f>
        <v>Running</v>
      </c>
    </row>
    <row r="1941" spans="1:5" x14ac:dyDescent="0.25">
      <c r="A1941" s="10">
        <v>44701</v>
      </c>
      <c r="B1941" s="11" t="s">
        <v>40</v>
      </c>
      <c r="C1941">
        <v>2389</v>
      </c>
      <c r="D1941" t="s">
        <v>6</v>
      </c>
      <c r="E1941" t="str">
        <f>IF(may[[#This Row],[ShiftCounter]]&gt;0, "Running", "Down")</f>
        <v>Running</v>
      </c>
    </row>
    <row r="1942" spans="1:5" x14ac:dyDescent="0.25">
      <c r="A1942" s="10">
        <v>44701</v>
      </c>
      <c r="B1942" s="11" t="s">
        <v>40</v>
      </c>
      <c r="C1942">
        <v>2258</v>
      </c>
      <c r="D1942" t="s">
        <v>7</v>
      </c>
      <c r="E1942" t="str">
        <f>IF(may[[#This Row],[ShiftCounter]]&gt;0, "Running", "Down")</f>
        <v>Running</v>
      </c>
    </row>
    <row r="1943" spans="1:5" x14ac:dyDescent="0.25">
      <c r="A1943" s="10">
        <v>44701</v>
      </c>
      <c r="B1943" s="11" t="s">
        <v>40</v>
      </c>
      <c r="C1943">
        <v>2179</v>
      </c>
      <c r="D1943" t="s">
        <v>8</v>
      </c>
      <c r="E1943" t="str">
        <f>IF(may[[#This Row],[ShiftCounter]]&gt;0, "Running", "Down")</f>
        <v>Running</v>
      </c>
    </row>
    <row r="1944" spans="1:5" x14ac:dyDescent="0.25">
      <c r="A1944" s="10">
        <v>44701</v>
      </c>
      <c r="B1944" s="11" t="s">
        <v>39</v>
      </c>
      <c r="C1944">
        <v>2068</v>
      </c>
      <c r="D1944" t="s">
        <v>6</v>
      </c>
      <c r="E1944" t="str">
        <f>IF(may[[#This Row],[ShiftCounter]]&gt;0, "Running", "Down")</f>
        <v>Running</v>
      </c>
    </row>
    <row r="1945" spans="1:5" x14ac:dyDescent="0.25">
      <c r="A1945" s="10">
        <v>44701</v>
      </c>
      <c r="B1945" s="11" t="s">
        <v>39</v>
      </c>
      <c r="C1945">
        <v>1992</v>
      </c>
      <c r="D1945" t="s">
        <v>7</v>
      </c>
      <c r="E1945" t="str">
        <f>IF(may[[#This Row],[ShiftCounter]]&gt;0, "Running", "Down")</f>
        <v>Running</v>
      </c>
    </row>
    <row r="1946" spans="1:5" x14ac:dyDescent="0.25">
      <c r="A1946" s="10">
        <v>44701</v>
      </c>
      <c r="B1946" s="11" t="s">
        <v>39</v>
      </c>
      <c r="C1946">
        <v>1917</v>
      </c>
      <c r="D1946" t="s">
        <v>8</v>
      </c>
      <c r="E1946" t="str">
        <f>IF(may[[#This Row],[ShiftCounter]]&gt;0, "Running", "Down")</f>
        <v>Running</v>
      </c>
    </row>
    <row r="1947" spans="1:5" x14ac:dyDescent="0.25">
      <c r="A1947" s="10">
        <v>44701</v>
      </c>
      <c r="B1947" s="11" t="s">
        <v>41</v>
      </c>
      <c r="C1947">
        <v>2373</v>
      </c>
      <c r="D1947" t="s">
        <v>6</v>
      </c>
      <c r="E1947" t="str">
        <f>IF(may[[#This Row],[ShiftCounter]]&gt;0, "Running", "Down")</f>
        <v>Running</v>
      </c>
    </row>
    <row r="1948" spans="1:5" x14ac:dyDescent="0.25">
      <c r="A1948" s="10">
        <v>44701</v>
      </c>
      <c r="B1948" s="11" t="s">
        <v>41</v>
      </c>
      <c r="C1948">
        <v>2294</v>
      </c>
      <c r="D1948" t="s">
        <v>7</v>
      </c>
      <c r="E1948" t="str">
        <f>IF(may[[#This Row],[ShiftCounter]]&gt;0, "Running", "Down")</f>
        <v>Running</v>
      </c>
    </row>
    <row r="1949" spans="1:5" x14ac:dyDescent="0.25">
      <c r="A1949" s="10">
        <v>44701</v>
      </c>
      <c r="B1949" s="11" t="s">
        <v>41</v>
      </c>
      <c r="C1949">
        <v>2188</v>
      </c>
      <c r="D1949" t="s">
        <v>8</v>
      </c>
      <c r="E1949" t="str">
        <f>IF(may[[#This Row],[ShiftCounter]]&gt;0, "Running", "Down")</f>
        <v>Running</v>
      </c>
    </row>
    <row r="1950" spans="1:5" x14ac:dyDescent="0.25">
      <c r="A1950" s="10">
        <v>44701</v>
      </c>
      <c r="B1950" s="11" t="s">
        <v>5</v>
      </c>
      <c r="C1950">
        <v>2335</v>
      </c>
      <c r="D1950" t="s">
        <v>6</v>
      </c>
      <c r="E1950" t="str">
        <f>IF(may[[#This Row],[ShiftCounter]]&gt;0, "Running", "Down")</f>
        <v>Running</v>
      </c>
    </row>
    <row r="1951" spans="1:5" x14ac:dyDescent="0.25">
      <c r="A1951" s="10">
        <v>44701</v>
      </c>
      <c r="B1951" s="11" t="s">
        <v>5</v>
      </c>
      <c r="C1951">
        <v>2245</v>
      </c>
      <c r="D1951" t="s">
        <v>7</v>
      </c>
      <c r="E1951" t="str">
        <f>IF(may[[#This Row],[ShiftCounter]]&gt;0, "Running", "Down")</f>
        <v>Running</v>
      </c>
    </row>
    <row r="1952" spans="1:5" x14ac:dyDescent="0.25">
      <c r="A1952" s="10">
        <v>44701</v>
      </c>
      <c r="B1952" s="11" t="s">
        <v>5</v>
      </c>
      <c r="C1952">
        <v>2205</v>
      </c>
      <c r="D1952" t="s">
        <v>8</v>
      </c>
      <c r="E1952" t="str">
        <f>IF(may[[#This Row],[ShiftCounter]]&gt;0, "Running", "Down")</f>
        <v>Running</v>
      </c>
    </row>
    <row r="1953" spans="1:5" x14ac:dyDescent="0.25">
      <c r="A1953" s="10">
        <v>44701</v>
      </c>
      <c r="B1953" s="11" t="s">
        <v>9</v>
      </c>
      <c r="C1953">
        <v>2270</v>
      </c>
      <c r="D1953" t="s">
        <v>6</v>
      </c>
      <c r="E1953" t="str">
        <f>IF(may[[#This Row],[ShiftCounter]]&gt;0, "Running", "Down")</f>
        <v>Running</v>
      </c>
    </row>
    <row r="1954" spans="1:5" x14ac:dyDescent="0.25">
      <c r="A1954" s="10">
        <v>44701</v>
      </c>
      <c r="B1954" s="11" t="s">
        <v>9</v>
      </c>
      <c r="C1954">
        <v>2310</v>
      </c>
      <c r="D1954" t="s">
        <v>7</v>
      </c>
      <c r="E1954" t="str">
        <f>IF(may[[#This Row],[ShiftCounter]]&gt;0, "Running", "Down")</f>
        <v>Running</v>
      </c>
    </row>
    <row r="1955" spans="1:5" x14ac:dyDescent="0.25">
      <c r="A1955" s="10">
        <v>44701</v>
      </c>
      <c r="B1955" s="11" t="s">
        <v>9</v>
      </c>
      <c r="C1955">
        <v>2188</v>
      </c>
      <c r="D1955" t="s">
        <v>8</v>
      </c>
      <c r="E1955" t="str">
        <f>IF(may[[#This Row],[ShiftCounter]]&gt;0, "Running", "Down")</f>
        <v>Running</v>
      </c>
    </row>
    <row r="1956" spans="1:5" x14ac:dyDescent="0.25">
      <c r="A1956" s="10">
        <v>44701</v>
      </c>
      <c r="B1956" s="11" t="s">
        <v>10</v>
      </c>
      <c r="C1956">
        <v>1416</v>
      </c>
      <c r="D1956" t="s">
        <v>6</v>
      </c>
      <c r="E1956" t="str">
        <f>IF(may[[#This Row],[ShiftCounter]]&gt;0, "Running", "Down")</f>
        <v>Running</v>
      </c>
    </row>
    <row r="1957" spans="1:5" x14ac:dyDescent="0.25">
      <c r="A1957" s="10">
        <v>44701</v>
      </c>
      <c r="B1957" s="11" t="s">
        <v>10</v>
      </c>
      <c r="C1957">
        <v>2157</v>
      </c>
      <c r="D1957" t="s">
        <v>7</v>
      </c>
      <c r="E1957" t="str">
        <f>IF(may[[#This Row],[ShiftCounter]]&gt;0, "Running", "Down")</f>
        <v>Running</v>
      </c>
    </row>
    <row r="1958" spans="1:5" x14ac:dyDescent="0.25">
      <c r="A1958" s="10">
        <v>44701</v>
      </c>
      <c r="B1958" s="11" t="s">
        <v>10</v>
      </c>
      <c r="C1958">
        <v>2241</v>
      </c>
      <c r="D1958" t="s">
        <v>8</v>
      </c>
      <c r="E1958" t="str">
        <f>IF(may[[#This Row],[ShiftCounter]]&gt;0, "Running", "Down")</f>
        <v>Running</v>
      </c>
    </row>
    <row r="1959" spans="1:5" x14ac:dyDescent="0.25">
      <c r="A1959" s="10">
        <v>44701</v>
      </c>
      <c r="B1959" s="11" t="s">
        <v>12</v>
      </c>
      <c r="C1959">
        <v>2114</v>
      </c>
      <c r="D1959" t="s">
        <v>6</v>
      </c>
      <c r="E1959" t="str">
        <f>IF(may[[#This Row],[ShiftCounter]]&gt;0, "Running", "Down")</f>
        <v>Running</v>
      </c>
    </row>
    <row r="1960" spans="1:5" x14ac:dyDescent="0.25">
      <c r="A1960" s="10">
        <v>44701</v>
      </c>
      <c r="B1960" s="11" t="s">
        <v>12</v>
      </c>
      <c r="C1960">
        <v>2162</v>
      </c>
      <c r="D1960" t="s">
        <v>7</v>
      </c>
      <c r="E1960" t="str">
        <f>IF(may[[#This Row],[ShiftCounter]]&gt;0, "Running", "Down")</f>
        <v>Running</v>
      </c>
    </row>
    <row r="1961" spans="1:5" x14ac:dyDescent="0.25">
      <c r="A1961" s="10">
        <v>44701</v>
      </c>
      <c r="B1961" s="11" t="s">
        <v>12</v>
      </c>
      <c r="C1961">
        <v>2006</v>
      </c>
      <c r="D1961" t="s">
        <v>8</v>
      </c>
      <c r="E1961" t="str">
        <f>IF(may[[#This Row],[ShiftCounter]]&gt;0, "Running", "Down")</f>
        <v>Running</v>
      </c>
    </row>
    <row r="1962" spans="1:5" x14ac:dyDescent="0.25">
      <c r="A1962" s="10">
        <v>44701</v>
      </c>
      <c r="B1962" s="11" t="s">
        <v>105</v>
      </c>
      <c r="C1962">
        <v>2129</v>
      </c>
      <c r="D1962" t="s">
        <v>6</v>
      </c>
      <c r="E1962" t="str">
        <f>IF(may[[#This Row],[ShiftCounter]]&gt;0, "Running", "Down")</f>
        <v>Running</v>
      </c>
    </row>
    <row r="1963" spans="1:5" x14ac:dyDescent="0.25">
      <c r="A1963" s="10">
        <v>44701</v>
      </c>
      <c r="B1963" s="11" t="s">
        <v>105</v>
      </c>
      <c r="C1963">
        <v>2124</v>
      </c>
      <c r="D1963" t="s">
        <v>7</v>
      </c>
      <c r="E1963" t="str">
        <f>IF(may[[#This Row],[ShiftCounter]]&gt;0, "Running", "Down")</f>
        <v>Running</v>
      </c>
    </row>
    <row r="1964" spans="1:5" x14ac:dyDescent="0.25">
      <c r="A1964" s="10">
        <v>44701</v>
      </c>
      <c r="B1964" s="11" t="s">
        <v>105</v>
      </c>
      <c r="C1964">
        <v>2029</v>
      </c>
      <c r="D1964" t="s">
        <v>8</v>
      </c>
      <c r="E1964" t="str">
        <f>IF(may[[#This Row],[ShiftCounter]]&gt;0, "Running", "Down")</f>
        <v>Running</v>
      </c>
    </row>
    <row r="1965" spans="1:5" x14ac:dyDescent="0.25">
      <c r="A1965" s="10">
        <v>44701</v>
      </c>
      <c r="B1965" s="11" t="s">
        <v>13</v>
      </c>
      <c r="C1965">
        <v>2300</v>
      </c>
      <c r="D1965" t="s">
        <v>6</v>
      </c>
      <c r="E1965" t="str">
        <f>IF(may[[#This Row],[ShiftCounter]]&gt;0, "Running", "Down")</f>
        <v>Running</v>
      </c>
    </row>
    <row r="1966" spans="1:5" x14ac:dyDescent="0.25">
      <c r="A1966" s="10">
        <v>44701</v>
      </c>
      <c r="B1966" s="11" t="s">
        <v>13</v>
      </c>
      <c r="C1966">
        <v>2114</v>
      </c>
      <c r="D1966" t="s">
        <v>7</v>
      </c>
      <c r="E1966" t="str">
        <f>IF(may[[#This Row],[ShiftCounter]]&gt;0, "Running", "Down")</f>
        <v>Running</v>
      </c>
    </row>
    <row r="1967" spans="1:5" x14ac:dyDescent="0.25">
      <c r="A1967" s="10">
        <v>44701</v>
      </c>
      <c r="B1967" s="11" t="s">
        <v>13</v>
      </c>
      <c r="C1967">
        <v>1848</v>
      </c>
      <c r="D1967" t="s">
        <v>8</v>
      </c>
      <c r="E1967" t="str">
        <f>IF(may[[#This Row],[ShiftCounter]]&gt;0, "Running", "Down")</f>
        <v>Running</v>
      </c>
    </row>
    <row r="1968" spans="1:5" x14ac:dyDescent="0.25">
      <c r="A1968" s="10">
        <v>44701</v>
      </c>
      <c r="B1968" s="11" t="s">
        <v>101</v>
      </c>
      <c r="C1968">
        <v>2300</v>
      </c>
      <c r="D1968" t="s">
        <v>6</v>
      </c>
      <c r="E1968" t="str">
        <f>IF(may[[#This Row],[ShiftCounter]]&gt;0, "Running", "Down")</f>
        <v>Running</v>
      </c>
    </row>
    <row r="1969" spans="1:5" x14ac:dyDescent="0.25">
      <c r="A1969" s="10">
        <v>44701</v>
      </c>
      <c r="B1969" s="11" t="s">
        <v>101</v>
      </c>
      <c r="C1969">
        <v>2234</v>
      </c>
      <c r="D1969" t="s">
        <v>7</v>
      </c>
      <c r="E1969" t="str">
        <f>IF(may[[#This Row],[ShiftCounter]]&gt;0, "Running", "Down")</f>
        <v>Running</v>
      </c>
    </row>
    <row r="1970" spans="1:5" x14ac:dyDescent="0.25">
      <c r="A1970" s="10">
        <v>44701</v>
      </c>
      <c r="B1970" s="11" t="s">
        <v>101</v>
      </c>
      <c r="C1970">
        <v>1866</v>
      </c>
      <c r="D1970" t="s">
        <v>8</v>
      </c>
      <c r="E1970" t="str">
        <f>IF(may[[#This Row],[ShiftCounter]]&gt;0, "Running", "Down")</f>
        <v>Running</v>
      </c>
    </row>
    <row r="1971" spans="1:5" x14ac:dyDescent="0.25">
      <c r="A1971" s="10">
        <v>44701</v>
      </c>
      <c r="B1971" s="11" t="s">
        <v>14</v>
      </c>
      <c r="C1971">
        <v>1870</v>
      </c>
      <c r="D1971" t="s">
        <v>6</v>
      </c>
      <c r="E1971" t="str">
        <f>IF(may[[#This Row],[ShiftCounter]]&gt;0, "Running", "Down")</f>
        <v>Running</v>
      </c>
    </row>
    <row r="1972" spans="1:5" x14ac:dyDescent="0.25">
      <c r="A1972" s="10">
        <v>44701</v>
      </c>
      <c r="B1972" s="11" t="s">
        <v>14</v>
      </c>
      <c r="C1972">
        <v>1844</v>
      </c>
      <c r="D1972" t="s">
        <v>7</v>
      </c>
      <c r="E1972" t="str">
        <f>IF(may[[#This Row],[ShiftCounter]]&gt;0, "Running", "Down")</f>
        <v>Running</v>
      </c>
    </row>
    <row r="1973" spans="1:5" x14ac:dyDescent="0.25">
      <c r="A1973" s="10">
        <v>44701</v>
      </c>
      <c r="B1973" s="11" t="s">
        <v>14</v>
      </c>
      <c r="C1973">
        <v>1594</v>
      </c>
      <c r="D1973" t="s">
        <v>8</v>
      </c>
      <c r="E1973" t="str">
        <f>IF(may[[#This Row],[ShiftCounter]]&gt;0, "Running", "Down")</f>
        <v>Running</v>
      </c>
    </row>
    <row r="1974" spans="1:5" x14ac:dyDescent="0.25">
      <c r="A1974" s="10">
        <v>44701</v>
      </c>
      <c r="B1974" s="11" t="s">
        <v>15</v>
      </c>
      <c r="C1974">
        <v>2200</v>
      </c>
      <c r="D1974" t="s">
        <v>6</v>
      </c>
      <c r="E1974" t="str">
        <f>IF(may[[#This Row],[ShiftCounter]]&gt;0, "Running", "Down")</f>
        <v>Running</v>
      </c>
    </row>
    <row r="1975" spans="1:5" x14ac:dyDescent="0.25">
      <c r="A1975" s="10">
        <v>44701</v>
      </c>
      <c r="B1975" s="11" t="s">
        <v>15</v>
      </c>
      <c r="C1975">
        <v>2134</v>
      </c>
      <c r="D1975" t="s">
        <v>7</v>
      </c>
      <c r="E1975" t="str">
        <f>IF(may[[#This Row],[ShiftCounter]]&gt;0, "Running", "Down")</f>
        <v>Running</v>
      </c>
    </row>
    <row r="1976" spans="1:5" x14ac:dyDescent="0.25">
      <c r="A1976" s="10">
        <v>44701</v>
      </c>
      <c r="B1976" s="11" t="s">
        <v>15</v>
      </c>
      <c r="C1976">
        <v>1859</v>
      </c>
      <c r="D1976" t="s">
        <v>8</v>
      </c>
      <c r="E1976" t="str">
        <f>IF(may[[#This Row],[ShiftCounter]]&gt;0, "Running", "Down")</f>
        <v>Running</v>
      </c>
    </row>
    <row r="1977" spans="1:5" x14ac:dyDescent="0.25">
      <c r="A1977" s="10">
        <v>44701</v>
      </c>
      <c r="B1977" s="11" t="s">
        <v>16</v>
      </c>
      <c r="C1977">
        <v>2255</v>
      </c>
      <c r="D1977" t="s">
        <v>6</v>
      </c>
      <c r="E1977" t="str">
        <f>IF(may[[#This Row],[ShiftCounter]]&gt;0, "Running", "Down")</f>
        <v>Running</v>
      </c>
    </row>
    <row r="1978" spans="1:5" x14ac:dyDescent="0.25">
      <c r="A1978" s="10">
        <v>44701</v>
      </c>
      <c r="B1978" s="11" t="s">
        <v>16</v>
      </c>
      <c r="C1978">
        <v>2224</v>
      </c>
      <c r="D1978" t="s">
        <v>7</v>
      </c>
      <c r="E1978" t="str">
        <f>IF(may[[#This Row],[ShiftCounter]]&gt;0, "Running", "Down")</f>
        <v>Running</v>
      </c>
    </row>
    <row r="1979" spans="1:5" x14ac:dyDescent="0.25">
      <c r="A1979" s="10">
        <v>44701</v>
      </c>
      <c r="B1979" s="11" t="s">
        <v>16</v>
      </c>
      <c r="C1979">
        <v>1931</v>
      </c>
      <c r="D1979" t="s">
        <v>8</v>
      </c>
      <c r="E1979" t="str">
        <f>IF(may[[#This Row],[ShiftCounter]]&gt;0, "Running", "Down")</f>
        <v>Running</v>
      </c>
    </row>
    <row r="1980" spans="1:5" x14ac:dyDescent="0.25">
      <c r="A1980" s="10">
        <v>44701</v>
      </c>
      <c r="B1980" s="11" t="s">
        <v>17</v>
      </c>
      <c r="C1980">
        <v>2146</v>
      </c>
      <c r="D1980" t="s">
        <v>6</v>
      </c>
      <c r="E1980" t="str">
        <f>IF(may[[#This Row],[ShiftCounter]]&gt;0, "Running", "Down")</f>
        <v>Running</v>
      </c>
    </row>
    <row r="1981" spans="1:5" x14ac:dyDescent="0.25">
      <c r="A1981" s="10">
        <v>44701</v>
      </c>
      <c r="B1981" s="11" t="s">
        <v>17</v>
      </c>
      <c r="C1981">
        <v>2177</v>
      </c>
      <c r="D1981" t="s">
        <v>7</v>
      </c>
      <c r="E1981" t="str">
        <f>IF(may[[#This Row],[ShiftCounter]]&gt;0, "Running", "Down")</f>
        <v>Running</v>
      </c>
    </row>
    <row r="1982" spans="1:5" x14ac:dyDescent="0.25">
      <c r="A1982" s="10">
        <v>44701</v>
      </c>
      <c r="B1982" s="11" t="s">
        <v>17</v>
      </c>
      <c r="C1982">
        <v>1975</v>
      </c>
      <c r="D1982" t="s">
        <v>8</v>
      </c>
      <c r="E1982" t="str">
        <f>IF(may[[#This Row],[ShiftCounter]]&gt;0, "Running", "Down")</f>
        <v>Running</v>
      </c>
    </row>
    <row r="1983" spans="1:5" x14ac:dyDescent="0.25">
      <c r="A1983" s="10">
        <v>44701</v>
      </c>
      <c r="B1983" s="11" t="s">
        <v>19</v>
      </c>
      <c r="C1983">
        <v>2082</v>
      </c>
      <c r="D1983" t="s">
        <v>6</v>
      </c>
      <c r="E1983" t="str">
        <f>IF(may[[#This Row],[ShiftCounter]]&gt;0, "Running", "Down")</f>
        <v>Running</v>
      </c>
    </row>
    <row r="1984" spans="1:5" x14ac:dyDescent="0.25">
      <c r="A1984" s="10">
        <v>44701</v>
      </c>
      <c r="B1984" s="11" t="s">
        <v>19</v>
      </c>
      <c r="C1984">
        <v>2095</v>
      </c>
      <c r="D1984" t="s">
        <v>7</v>
      </c>
      <c r="E1984" t="str">
        <f>IF(may[[#This Row],[ShiftCounter]]&gt;0, "Running", "Down")</f>
        <v>Running</v>
      </c>
    </row>
    <row r="1985" spans="1:5" x14ac:dyDescent="0.25">
      <c r="A1985" s="10">
        <v>44701</v>
      </c>
      <c r="B1985" s="11" t="s">
        <v>19</v>
      </c>
      <c r="C1985">
        <v>1806</v>
      </c>
      <c r="D1985" t="s">
        <v>8</v>
      </c>
      <c r="E1985" t="str">
        <f>IF(may[[#This Row],[ShiftCounter]]&gt;0, "Running", "Down")</f>
        <v>Running</v>
      </c>
    </row>
    <row r="1986" spans="1:5" x14ac:dyDescent="0.25">
      <c r="A1986" s="10">
        <v>44701</v>
      </c>
      <c r="B1986" s="11" t="s">
        <v>18</v>
      </c>
      <c r="C1986">
        <v>1231</v>
      </c>
      <c r="D1986" t="s">
        <v>6</v>
      </c>
      <c r="E1986" t="str">
        <f>IF(may[[#This Row],[ShiftCounter]]&gt;0, "Running", "Down")</f>
        <v>Running</v>
      </c>
    </row>
    <row r="1987" spans="1:5" x14ac:dyDescent="0.25">
      <c r="A1987" s="10">
        <v>44701</v>
      </c>
      <c r="B1987" s="11" t="s">
        <v>18</v>
      </c>
      <c r="C1987">
        <v>2106</v>
      </c>
      <c r="D1987" t="s">
        <v>7</v>
      </c>
      <c r="E1987" t="str">
        <f>IF(may[[#This Row],[ShiftCounter]]&gt;0, "Running", "Down")</f>
        <v>Running</v>
      </c>
    </row>
    <row r="1988" spans="1:5" x14ac:dyDescent="0.25">
      <c r="A1988" s="10">
        <v>44701</v>
      </c>
      <c r="B1988" s="11" t="s">
        <v>18</v>
      </c>
      <c r="C1988">
        <v>2149</v>
      </c>
      <c r="D1988" t="s">
        <v>8</v>
      </c>
      <c r="E1988" t="str">
        <f>IF(may[[#This Row],[ShiftCounter]]&gt;0, "Running", "Down")</f>
        <v>Running</v>
      </c>
    </row>
    <row r="1989" spans="1:5" x14ac:dyDescent="0.25">
      <c r="A1989" s="10">
        <v>44701</v>
      </c>
      <c r="B1989" s="11" t="s">
        <v>20</v>
      </c>
      <c r="C1989">
        <v>2000</v>
      </c>
      <c r="D1989" t="s">
        <v>6</v>
      </c>
      <c r="E1989" t="str">
        <f>IF(may[[#This Row],[ShiftCounter]]&gt;0, "Running", "Down")</f>
        <v>Running</v>
      </c>
    </row>
    <row r="1990" spans="1:5" x14ac:dyDescent="0.25">
      <c r="A1990" s="10">
        <v>44701</v>
      </c>
      <c r="B1990" s="11" t="s">
        <v>20</v>
      </c>
      <c r="C1990">
        <v>1877</v>
      </c>
      <c r="D1990" t="s">
        <v>7</v>
      </c>
      <c r="E1990" t="str">
        <f>IF(may[[#This Row],[ShiftCounter]]&gt;0, "Running", "Down")</f>
        <v>Running</v>
      </c>
    </row>
    <row r="1991" spans="1:5" x14ac:dyDescent="0.25">
      <c r="A1991" s="10">
        <v>44701</v>
      </c>
      <c r="B1991" s="11" t="s">
        <v>20</v>
      </c>
      <c r="C1991">
        <v>1832</v>
      </c>
      <c r="D1991" t="s">
        <v>8</v>
      </c>
      <c r="E1991" t="str">
        <f>IF(may[[#This Row],[ShiftCounter]]&gt;0, "Running", "Down")</f>
        <v>Running</v>
      </c>
    </row>
    <row r="1992" spans="1:5" x14ac:dyDescent="0.25">
      <c r="A1992" s="10">
        <v>44701</v>
      </c>
      <c r="B1992" s="11" t="s">
        <v>21</v>
      </c>
      <c r="C1992">
        <v>1846</v>
      </c>
      <c r="D1992" t="s">
        <v>6</v>
      </c>
      <c r="E1992" t="str">
        <f>IF(may[[#This Row],[ShiftCounter]]&gt;0, "Running", "Down")</f>
        <v>Running</v>
      </c>
    </row>
    <row r="1993" spans="1:5" x14ac:dyDescent="0.25">
      <c r="A1993" s="10">
        <v>44701</v>
      </c>
      <c r="B1993" s="11" t="s">
        <v>21</v>
      </c>
      <c r="C1993">
        <v>1927</v>
      </c>
      <c r="D1993" t="s">
        <v>7</v>
      </c>
      <c r="E1993" t="str">
        <f>IF(may[[#This Row],[ShiftCounter]]&gt;0, "Running", "Down")</f>
        <v>Running</v>
      </c>
    </row>
    <row r="1994" spans="1:5" x14ac:dyDescent="0.25">
      <c r="A1994" s="10">
        <v>44701</v>
      </c>
      <c r="B1994" s="11" t="s">
        <v>21</v>
      </c>
      <c r="C1994">
        <v>1901</v>
      </c>
      <c r="D1994" t="s">
        <v>8</v>
      </c>
      <c r="E1994" t="str">
        <f>IF(may[[#This Row],[ShiftCounter]]&gt;0, "Running", "Down")</f>
        <v>Running</v>
      </c>
    </row>
    <row r="1995" spans="1:5" x14ac:dyDescent="0.25">
      <c r="A1995" s="10">
        <v>44701</v>
      </c>
      <c r="B1995" s="11" t="s">
        <v>22</v>
      </c>
      <c r="C1995">
        <v>2257</v>
      </c>
      <c r="D1995" t="s">
        <v>6</v>
      </c>
      <c r="E1995" t="str">
        <f>IF(may[[#This Row],[ShiftCounter]]&gt;0, "Running", "Down")</f>
        <v>Running</v>
      </c>
    </row>
    <row r="1996" spans="1:5" x14ac:dyDescent="0.25">
      <c r="A1996" s="10">
        <v>44701</v>
      </c>
      <c r="B1996" s="11" t="s">
        <v>22</v>
      </c>
      <c r="C1996">
        <v>2076</v>
      </c>
      <c r="D1996" t="s">
        <v>7</v>
      </c>
      <c r="E1996" t="str">
        <f>IF(may[[#This Row],[ShiftCounter]]&gt;0, "Running", "Down")</f>
        <v>Running</v>
      </c>
    </row>
    <row r="1997" spans="1:5" x14ac:dyDescent="0.25">
      <c r="A1997" s="10">
        <v>44701</v>
      </c>
      <c r="B1997" s="11" t="s">
        <v>22</v>
      </c>
      <c r="C1997">
        <v>1942</v>
      </c>
      <c r="D1997" t="s">
        <v>8</v>
      </c>
      <c r="E1997" t="str">
        <f>IF(may[[#This Row],[ShiftCounter]]&gt;0, "Running", "Down")</f>
        <v>Running</v>
      </c>
    </row>
    <row r="1998" spans="1:5" x14ac:dyDescent="0.25">
      <c r="A1998" s="10">
        <v>44701</v>
      </c>
      <c r="B1998" s="11" t="s">
        <v>23</v>
      </c>
      <c r="C1998">
        <v>2278</v>
      </c>
      <c r="D1998" t="s">
        <v>6</v>
      </c>
      <c r="E1998" t="str">
        <f>IF(may[[#This Row],[ShiftCounter]]&gt;0, "Running", "Down")</f>
        <v>Running</v>
      </c>
    </row>
    <row r="1999" spans="1:5" x14ac:dyDescent="0.25">
      <c r="A1999" s="10">
        <v>44701</v>
      </c>
      <c r="B1999" s="11" t="s">
        <v>23</v>
      </c>
      <c r="C1999">
        <v>2205</v>
      </c>
      <c r="D1999" t="s">
        <v>7</v>
      </c>
      <c r="E1999" t="str">
        <f>IF(may[[#This Row],[ShiftCounter]]&gt;0, "Running", "Down")</f>
        <v>Running</v>
      </c>
    </row>
    <row r="2000" spans="1:5" x14ac:dyDescent="0.25">
      <c r="A2000" s="10">
        <v>44701</v>
      </c>
      <c r="B2000" s="11" t="s">
        <v>23</v>
      </c>
      <c r="C2000">
        <v>2143</v>
      </c>
      <c r="D2000" t="s">
        <v>8</v>
      </c>
      <c r="E2000" t="str">
        <f>IF(may[[#This Row],[ShiftCounter]]&gt;0, "Running", "Down")</f>
        <v>Running</v>
      </c>
    </row>
    <row r="2001" spans="1:5" x14ac:dyDescent="0.25">
      <c r="A2001" s="10">
        <v>44701</v>
      </c>
      <c r="B2001" s="11" t="s">
        <v>24</v>
      </c>
      <c r="C2001">
        <v>2100</v>
      </c>
      <c r="D2001" t="s">
        <v>6</v>
      </c>
      <c r="E2001" t="str">
        <f>IF(may[[#This Row],[ShiftCounter]]&gt;0, "Running", "Down")</f>
        <v>Running</v>
      </c>
    </row>
    <row r="2002" spans="1:5" x14ac:dyDescent="0.25">
      <c r="A2002" s="10">
        <v>44701</v>
      </c>
      <c r="B2002" s="11" t="s">
        <v>24</v>
      </c>
      <c r="C2002">
        <v>1925</v>
      </c>
      <c r="D2002" t="s">
        <v>7</v>
      </c>
      <c r="E2002" t="str">
        <f>IF(may[[#This Row],[ShiftCounter]]&gt;0, "Running", "Down")</f>
        <v>Running</v>
      </c>
    </row>
    <row r="2003" spans="1:5" x14ac:dyDescent="0.25">
      <c r="A2003" s="10">
        <v>44701</v>
      </c>
      <c r="B2003" s="11" t="s">
        <v>24</v>
      </c>
      <c r="C2003">
        <v>1848</v>
      </c>
      <c r="D2003" t="s">
        <v>8</v>
      </c>
      <c r="E2003" t="str">
        <f>IF(may[[#This Row],[ShiftCounter]]&gt;0, "Running", "Down")</f>
        <v>Running</v>
      </c>
    </row>
    <row r="2004" spans="1:5" x14ac:dyDescent="0.25">
      <c r="A2004" s="10">
        <v>44701</v>
      </c>
      <c r="B2004" s="11" t="s">
        <v>25</v>
      </c>
      <c r="C2004">
        <v>2001</v>
      </c>
      <c r="D2004" t="s">
        <v>6</v>
      </c>
      <c r="E2004" t="str">
        <f>IF(may[[#This Row],[ShiftCounter]]&gt;0, "Running", "Down")</f>
        <v>Running</v>
      </c>
    </row>
    <row r="2005" spans="1:5" x14ac:dyDescent="0.25">
      <c r="A2005" s="10">
        <v>44701</v>
      </c>
      <c r="B2005" s="11" t="s">
        <v>25</v>
      </c>
      <c r="C2005">
        <v>1890</v>
      </c>
      <c r="D2005" t="s">
        <v>7</v>
      </c>
      <c r="E2005" t="str">
        <f>IF(may[[#This Row],[ShiftCounter]]&gt;0, "Running", "Down")</f>
        <v>Running</v>
      </c>
    </row>
    <row r="2006" spans="1:5" x14ac:dyDescent="0.25">
      <c r="A2006" s="10">
        <v>44701</v>
      </c>
      <c r="B2006" s="11" t="s">
        <v>25</v>
      </c>
      <c r="C2006">
        <v>2115</v>
      </c>
      <c r="D2006" t="s">
        <v>8</v>
      </c>
      <c r="E2006" t="str">
        <f>IF(may[[#This Row],[ShiftCounter]]&gt;0, "Running", "Down")</f>
        <v>Running</v>
      </c>
    </row>
    <row r="2007" spans="1:5" x14ac:dyDescent="0.25">
      <c r="A2007" s="10">
        <v>44701</v>
      </c>
      <c r="B2007" s="11" t="s">
        <v>27</v>
      </c>
      <c r="C2007">
        <v>2351</v>
      </c>
      <c r="D2007" t="s">
        <v>6</v>
      </c>
      <c r="E2007" t="str">
        <f>IF(may[[#This Row],[ShiftCounter]]&gt;0, "Running", "Down")</f>
        <v>Running</v>
      </c>
    </row>
    <row r="2008" spans="1:5" x14ac:dyDescent="0.25">
      <c r="A2008" s="10">
        <v>44701</v>
      </c>
      <c r="B2008" s="11" t="s">
        <v>27</v>
      </c>
      <c r="C2008">
        <v>2238</v>
      </c>
      <c r="D2008" t="s">
        <v>7</v>
      </c>
      <c r="E2008" t="str">
        <f>IF(may[[#This Row],[ShiftCounter]]&gt;0, "Running", "Down")</f>
        <v>Running</v>
      </c>
    </row>
    <row r="2009" spans="1:5" x14ac:dyDescent="0.25">
      <c r="A2009" s="10">
        <v>44701</v>
      </c>
      <c r="B2009" s="11" t="s">
        <v>27</v>
      </c>
      <c r="C2009">
        <v>2064</v>
      </c>
      <c r="D2009" t="s">
        <v>8</v>
      </c>
      <c r="E2009" t="str">
        <f>IF(may[[#This Row],[ShiftCounter]]&gt;0, "Running", "Down")</f>
        <v>Running</v>
      </c>
    </row>
    <row r="2010" spans="1:5" x14ac:dyDescent="0.25">
      <c r="A2010" s="10">
        <v>44701</v>
      </c>
      <c r="B2010" s="11" t="s">
        <v>26</v>
      </c>
      <c r="C2010">
        <v>2205</v>
      </c>
      <c r="D2010" t="s">
        <v>6</v>
      </c>
      <c r="E2010" t="str">
        <f>IF(may[[#This Row],[ShiftCounter]]&gt;0, "Running", "Down")</f>
        <v>Running</v>
      </c>
    </row>
    <row r="2011" spans="1:5" x14ac:dyDescent="0.25">
      <c r="A2011" s="10">
        <v>44701</v>
      </c>
      <c r="B2011" s="11" t="s">
        <v>26</v>
      </c>
      <c r="C2011">
        <v>2143</v>
      </c>
      <c r="D2011" t="s">
        <v>7</v>
      </c>
      <c r="E2011" t="str">
        <f>IF(may[[#This Row],[ShiftCounter]]&gt;0, "Running", "Down")</f>
        <v>Running</v>
      </c>
    </row>
    <row r="2012" spans="1:5" x14ac:dyDescent="0.25">
      <c r="A2012" s="10">
        <v>44701</v>
      </c>
      <c r="B2012" s="11" t="s">
        <v>26</v>
      </c>
      <c r="C2012">
        <v>1984</v>
      </c>
      <c r="D2012" t="s">
        <v>8</v>
      </c>
      <c r="E2012" t="str">
        <f>IF(may[[#This Row],[ShiftCounter]]&gt;0, "Running", "Down")</f>
        <v>Running</v>
      </c>
    </row>
    <row r="2013" spans="1:5" x14ac:dyDescent="0.25">
      <c r="A2013" s="10">
        <v>44701</v>
      </c>
      <c r="B2013" s="11" t="s">
        <v>28</v>
      </c>
      <c r="C2013">
        <v>1893</v>
      </c>
      <c r="D2013" t="s">
        <v>6</v>
      </c>
      <c r="E2013" t="str">
        <f>IF(may[[#This Row],[ShiftCounter]]&gt;0, "Running", "Down")</f>
        <v>Running</v>
      </c>
    </row>
    <row r="2014" spans="1:5" x14ac:dyDescent="0.25">
      <c r="A2014" s="10">
        <v>44701</v>
      </c>
      <c r="B2014" s="11" t="s">
        <v>28</v>
      </c>
      <c r="C2014">
        <v>2094</v>
      </c>
      <c r="D2014" t="s">
        <v>7</v>
      </c>
      <c r="E2014" t="str">
        <f>IF(may[[#This Row],[ShiftCounter]]&gt;0, "Running", "Down")</f>
        <v>Running</v>
      </c>
    </row>
    <row r="2015" spans="1:5" x14ac:dyDescent="0.25">
      <c r="A2015" s="10">
        <v>44701</v>
      </c>
      <c r="B2015" s="11" t="s">
        <v>28</v>
      </c>
      <c r="C2015">
        <v>1937</v>
      </c>
      <c r="D2015" t="s">
        <v>8</v>
      </c>
      <c r="E2015" t="str">
        <f>IF(may[[#This Row],[ShiftCounter]]&gt;0, "Running", "Down")</f>
        <v>Running</v>
      </c>
    </row>
    <row r="2016" spans="1:5" x14ac:dyDescent="0.25">
      <c r="A2016" s="10">
        <v>44701</v>
      </c>
      <c r="B2016" s="11" t="s">
        <v>30</v>
      </c>
      <c r="C2016">
        <v>2302</v>
      </c>
      <c r="D2016" t="s">
        <v>6</v>
      </c>
      <c r="E2016" t="str">
        <f>IF(may[[#This Row],[ShiftCounter]]&gt;0, "Running", "Down")</f>
        <v>Running</v>
      </c>
    </row>
    <row r="2017" spans="1:5" x14ac:dyDescent="0.25">
      <c r="A2017" s="10">
        <v>44701</v>
      </c>
      <c r="B2017" s="11" t="s">
        <v>30</v>
      </c>
      <c r="C2017">
        <v>2242</v>
      </c>
      <c r="D2017" t="s">
        <v>7</v>
      </c>
      <c r="E2017" t="str">
        <f>IF(may[[#This Row],[ShiftCounter]]&gt;0, "Running", "Down")</f>
        <v>Running</v>
      </c>
    </row>
    <row r="2018" spans="1:5" x14ac:dyDescent="0.25">
      <c r="A2018" s="10">
        <v>44701</v>
      </c>
      <c r="B2018" s="11" t="s">
        <v>30</v>
      </c>
      <c r="C2018">
        <v>2053</v>
      </c>
      <c r="D2018" t="s">
        <v>8</v>
      </c>
      <c r="E2018" t="str">
        <f>IF(may[[#This Row],[ShiftCounter]]&gt;0, "Running", "Down")</f>
        <v>Running</v>
      </c>
    </row>
    <row r="2019" spans="1:5" x14ac:dyDescent="0.25">
      <c r="A2019" s="10">
        <v>44701</v>
      </c>
      <c r="B2019" s="11" t="s">
        <v>29</v>
      </c>
      <c r="C2019">
        <v>1275</v>
      </c>
      <c r="D2019" t="s">
        <v>6</v>
      </c>
      <c r="E2019" t="str">
        <f>IF(may[[#This Row],[ShiftCounter]]&gt;0, "Running", "Down")</f>
        <v>Running</v>
      </c>
    </row>
    <row r="2020" spans="1:5" x14ac:dyDescent="0.25">
      <c r="A2020" s="10">
        <v>44701</v>
      </c>
      <c r="B2020" s="11" t="s">
        <v>29</v>
      </c>
      <c r="C2020">
        <v>2000</v>
      </c>
      <c r="D2020" t="s">
        <v>7</v>
      </c>
      <c r="E2020" t="str">
        <f>IF(may[[#This Row],[ShiftCounter]]&gt;0, "Running", "Down")</f>
        <v>Running</v>
      </c>
    </row>
    <row r="2021" spans="1:5" x14ac:dyDescent="0.25">
      <c r="A2021" s="10">
        <v>44701</v>
      </c>
      <c r="B2021" s="11" t="s">
        <v>29</v>
      </c>
      <c r="C2021">
        <v>1653</v>
      </c>
      <c r="D2021" t="s">
        <v>8</v>
      </c>
      <c r="E2021" t="str">
        <f>IF(may[[#This Row],[ShiftCounter]]&gt;0, "Running", "Down")</f>
        <v>Running</v>
      </c>
    </row>
    <row r="2022" spans="1:5" x14ac:dyDescent="0.25">
      <c r="A2022" s="10">
        <v>44701</v>
      </c>
      <c r="B2022" s="11" t="s">
        <v>31</v>
      </c>
      <c r="C2022">
        <v>2180</v>
      </c>
      <c r="D2022" t="s">
        <v>6</v>
      </c>
      <c r="E2022" t="str">
        <f>IF(may[[#This Row],[ShiftCounter]]&gt;0, "Running", "Down")</f>
        <v>Running</v>
      </c>
    </row>
    <row r="2023" spans="1:5" x14ac:dyDescent="0.25">
      <c r="A2023" s="10">
        <v>44701</v>
      </c>
      <c r="B2023" s="11" t="s">
        <v>31</v>
      </c>
      <c r="C2023">
        <v>2100</v>
      </c>
      <c r="D2023" t="s">
        <v>7</v>
      </c>
      <c r="E2023" t="str">
        <f>IF(may[[#This Row],[ShiftCounter]]&gt;0, "Running", "Down")</f>
        <v>Running</v>
      </c>
    </row>
    <row r="2024" spans="1:5" x14ac:dyDescent="0.25">
      <c r="A2024" s="10">
        <v>44701</v>
      </c>
      <c r="B2024" s="11" t="s">
        <v>31</v>
      </c>
      <c r="C2024">
        <v>1826</v>
      </c>
      <c r="D2024" t="s">
        <v>8</v>
      </c>
      <c r="E2024" t="str">
        <f>IF(may[[#This Row],[ShiftCounter]]&gt;0, "Running", "Down")</f>
        <v>Running</v>
      </c>
    </row>
    <row r="2025" spans="1:5" x14ac:dyDescent="0.25">
      <c r="A2025" s="10">
        <v>44701</v>
      </c>
      <c r="B2025" s="11" t="s">
        <v>32</v>
      </c>
      <c r="C2025">
        <v>2237</v>
      </c>
      <c r="D2025" t="s">
        <v>6</v>
      </c>
      <c r="E2025" t="str">
        <f>IF(may[[#This Row],[ShiftCounter]]&gt;0, "Running", "Down")</f>
        <v>Running</v>
      </c>
    </row>
    <row r="2026" spans="1:5" x14ac:dyDescent="0.25">
      <c r="A2026" s="10">
        <v>44701</v>
      </c>
      <c r="B2026" s="11" t="s">
        <v>32</v>
      </c>
      <c r="C2026">
        <v>2051</v>
      </c>
      <c r="D2026" t="s">
        <v>7</v>
      </c>
      <c r="E2026" t="str">
        <f>IF(may[[#This Row],[ShiftCounter]]&gt;0, "Running", "Down")</f>
        <v>Running</v>
      </c>
    </row>
    <row r="2027" spans="1:5" x14ac:dyDescent="0.25">
      <c r="A2027" s="10">
        <v>44701</v>
      </c>
      <c r="B2027" s="11" t="s">
        <v>32</v>
      </c>
      <c r="C2027">
        <v>1920</v>
      </c>
      <c r="D2027" t="s">
        <v>8</v>
      </c>
      <c r="E2027" t="str">
        <f>IF(may[[#This Row],[ShiftCounter]]&gt;0, "Running", "Down")</f>
        <v>Running</v>
      </c>
    </row>
    <row r="2028" spans="1:5" x14ac:dyDescent="0.25">
      <c r="A2028" s="10">
        <v>44701</v>
      </c>
      <c r="B2028" s="11" t="s">
        <v>33</v>
      </c>
      <c r="C2028">
        <v>1045</v>
      </c>
      <c r="D2028" t="s">
        <v>6</v>
      </c>
      <c r="E2028" t="str">
        <f>IF(may[[#This Row],[ShiftCounter]]&gt;0, "Running", "Down")</f>
        <v>Running</v>
      </c>
    </row>
    <row r="2029" spans="1:5" x14ac:dyDescent="0.25">
      <c r="A2029" s="10">
        <v>44701</v>
      </c>
      <c r="B2029" s="11" t="s">
        <v>33</v>
      </c>
      <c r="C2029">
        <v>2242</v>
      </c>
      <c r="D2029" t="s">
        <v>7</v>
      </c>
      <c r="E2029" t="str">
        <f>IF(may[[#This Row],[ShiftCounter]]&gt;0, "Running", "Down")</f>
        <v>Running</v>
      </c>
    </row>
    <row r="2030" spans="1:5" x14ac:dyDescent="0.25">
      <c r="A2030" s="10">
        <v>44701</v>
      </c>
      <c r="B2030" s="11" t="s">
        <v>33</v>
      </c>
      <c r="C2030">
        <v>2195</v>
      </c>
      <c r="D2030" t="s">
        <v>8</v>
      </c>
      <c r="E2030" t="str">
        <f>IF(may[[#This Row],[ShiftCounter]]&gt;0, "Running", "Down")</f>
        <v>Running</v>
      </c>
    </row>
    <row r="2031" spans="1:5" x14ac:dyDescent="0.25">
      <c r="A2031" s="10">
        <v>44701</v>
      </c>
      <c r="B2031" s="11" t="s">
        <v>34</v>
      </c>
      <c r="C2031">
        <v>2119</v>
      </c>
      <c r="D2031" t="s">
        <v>6</v>
      </c>
      <c r="E2031" t="str">
        <f>IF(may[[#This Row],[ShiftCounter]]&gt;0, "Running", "Down")</f>
        <v>Running</v>
      </c>
    </row>
    <row r="2032" spans="1:5" x14ac:dyDescent="0.25">
      <c r="A2032" s="10">
        <v>44701</v>
      </c>
      <c r="B2032" s="11" t="s">
        <v>34</v>
      </c>
      <c r="C2032">
        <v>1921</v>
      </c>
      <c r="D2032" t="s">
        <v>7</v>
      </c>
      <c r="E2032" t="str">
        <f>IF(may[[#This Row],[ShiftCounter]]&gt;0, "Running", "Down")</f>
        <v>Running</v>
      </c>
    </row>
    <row r="2033" spans="1:5" x14ac:dyDescent="0.25">
      <c r="A2033" s="10">
        <v>44701</v>
      </c>
      <c r="B2033" s="11" t="s">
        <v>34</v>
      </c>
      <c r="C2033">
        <v>1700</v>
      </c>
      <c r="D2033" t="s">
        <v>8</v>
      </c>
      <c r="E2033" t="str">
        <f>IF(may[[#This Row],[ShiftCounter]]&gt;0, "Running", "Down")</f>
        <v>Running</v>
      </c>
    </row>
    <row r="2034" spans="1:5" x14ac:dyDescent="0.25">
      <c r="A2034" s="10">
        <v>44701</v>
      </c>
      <c r="B2034" s="11" t="s">
        <v>36</v>
      </c>
      <c r="C2034">
        <v>2185</v>
      </c>
      <c r="D2034" t="s">
        <v>6</v>
      </c>
      <c r="E2034" t="str">
        <f>IF(may[[#This Row],[ShiftCounter]]&gt;0, "Running", "Down")</f>
        <v>Running</v>
      </c>
    </row>
    <row r="2035" spans="1:5" x14ac:dyDescent="0.25">
      <c r="A2035" s="10">
        <v>44701</v>
      </c>
      <c r="B2035" s="11" t="s">
        <v>36</v>
      </c>
      <c r="C2035">
        <v>2338</v>
      </c>
      <c r="D2035" t="s">
        <v>7</v>
      </c>
      <c r="E2035" t="str">
        <f>IF(may[[#This Row],[ShiftCounter]]&gt;0, "Running", "Down")</f>
        <v>Running</v>
      </c>
    </row>
    <row r="2036" spans="1:5" x14ac:dyDescent="0.25">
      <c r="A2036" s="10">
        <v>44701</v>
      </c>
      <c r="B2036" s="11" t="s">
        <v>36</v>
      </c>
      <c r="C2036">
        <v>2098</v>
      </c>
      <c r="D2036" t="s">
        <v>8</v>
      </c>
      <c r="E2036" t="str">
        <f>IF(may[[#This Row],[ShiftCounter]]&gt;0, "Running", "Down")</f>
        <v>Running</v>
      </c>
    </row>
    <row r="2037" spans="1:5" x14ac:dyDescent="0.25">
      <c r="A2037" s="10">
        <v>44701</v>
      </c>
      <c r="B2037" s="11" t="s">
        <v>37</v>
      </c>
      <c r="C2037">
        <v>2502</v>
      </c>
      <c r="D2037" t="s">
        <v>6</v>
      </c>
      <c r="E2037" t="str">
        <f>IF(may[[#This Row],[ShiftCounter]]&gt;0, "Running", "Down")</f>
        <v>Running</v>
      </c>
    </row>
    <row r="2038" spans="1:5" x14ac:dyDescent="0.25">
      <c r="A2038" s="10">
        <v>44701</v>
      </c>
      <c r="B2038" s="11" t="s">
        <v>37</v>
      </c>
      <c r="C2038">
        <v>2257</v>
      </c>
      <c r="D2038" t="s">
        <v>7</v>
      </c>
      <c r="E2038" t="str">
        <f>IF(may[[#This Row],[ShiftCounter]]&gt;0, "Running", "Down")</f>
        <v>Running</v>
      </c>
    </row>
    <row r="2039" spans="1:5" x14ac:dyDescent="0.25">
      <c r="A2039" s="10">
        <v>44701</v>
      </c>
      <c r="B2039" s="11" t="s">
        <v>37</v>
      </c>
      <c r="C2039">
        <v>1968</v>
      </c>
      <c r="D2039" t="s">
        <v>8</v>
      </c>
      <c r="E2039" t="str">
        <f>IF(may[[#This Row],[ShiftCounter]]&gt;0, "Running", "Down")</f>
        <v>Running</v>
      </c>
    </row>
    <row r="2040" spans="1:5" x14ac:dyDescent="0.25">
      <c r="A2040" s="10">
        <v>44702</v>
      </c>
      <c r="B2040" s="11" t="s">
        <v>40</v>
      </c>
      <c r="C2040">
        <v>2317</v>
      </c>
      <c r="D2040" t="s">
        <v>6</v>
      </c>
      <c r="E2040" t="str">
        <f>IF(may[[#This Row],[ShiftCounter]]&gt;0, "Running", "Down")</f>
        <v>Running</v>
      </c>
    </row>
    <row r="2041" spans="1:5" x14ac:dyDescent="0.25">
      <c r="A2041" s="10">
        <v>44702</v>
      </c>
      <c r="B2041" s="11" t="s">
        <v>40</v>
      </c>
      <c r="C2041">
        <v>2378</v>
      </c>
      <c r="D2041" t="s">
        <v>7</v>
      </c>
      <c r="E2041" t="str">
        <f>IF(may[[#This Row],[ShiftCounter]]&gt;0, "Running", "Down")</f>
        <v>Running</v>
      </c>
    </row>
    <row r="2042" spans="1:5" x14ac:dyDescent="0.25">
      <c r="A2042" s="10">
        <v>44702</v>
      </c>
      <c r="B2042" s="11" t="s">
        <v>40</v>
      </c>
      <c r="C2042">
        <v>1951</v>
      </c>
      <c r="D2042" t="s">
        <v>8</v>
      </c>
      <c r="E2042" t="str">
        <f>IF(may[[#This Row],[ShiftCounter]]&gt;0, "Running", "Down")</f>
        <v>Running</v>
      </c>
    </row>
    <row r="2043" spans="1:5" x14ac:dyDescent="0.25">
      <c r="A2043" s="10">
        <v>44702</v>
      </c>
      <c r="B2043" s="11" t="s">
        <v>39</v>
      </c>
      <c r="C2043">
        <v>2086</v>
      </c>
      <c r="D2043" t="s">
        <v>6</v>
      </c>
      <c r="E2043" t="str">
        <f>IF(may[[#This Row],[ShiftCounter]]&gt;0, "Running", "Down")</f>
        <v>Running</v>
      </c>
    </row>
    <row r="2044" spans="1:5" x14ac:dyDescent="0.25">
      <c r="A2044" s="10">
        <v>44702</v>
      </c>
      <c r="B2044" s="11" t="s">
        <v>39</v>
      </c>
      <c r="C2044">
        <v>2087</v>
      </c>
      <c r="D2044" t="s">
        <v>7</v>
      </c>
      <c r="E2044" t="str">
        <f>IF(may[[#This Row],[ShiftCounter]]&gt;0, "Running", "Down")</f>
        <v>Running</v>
      </c>
    </row>
    <row r="2045" spans="1:5" x14ac:dyDescent="0.25">
      <c r="A2045" s="10">
        <v>44702</v>
      </c>
      <c r="B2045" s="11" t="s">
        <v>39</v>
      </c>
      <c r="C2045">
        <v>1715</v>
      </c>
      <c r="D2045" t="s">
        <v>8</v>
      </c>
      <c r="E2045" t="str">
        <f>IF(may[[#This Row],[ShiftCounter]]&gt;0, "Running", "Down")</f>
        <v>Running</v>
      </c>
    </row>
    <row r="2046" spans="1:5" x14ac:dyDescent="0.25">
      <c r="A2046" s="10">
        <v>44702</v>
      </c>
      <c r="B2046" s="11" t="s">
        <v>41</v>
      </c>
      <c r="C2046">
        <v>2316</v>
      </c>
      <c r="D2046" t="s">
        <v>6</v>
      </c>
      <c r="E2046" t="str">
        <f>IF(may[[#This Row],[ShiftCounter]]&gt;0, "Running", "Down")</f>
        <v>Running</v>
      </c>
    </row>
    <row r="2047" spans="1:5" x14ac:dyDescent="0.25">
      <c r="A2047" s="10">
        <v>44702</v>
      </c>
      <c r="B2047" s="11" t="s">
        <v>41</v>
      </c>
      <c r="C2047">
        <v>2343</v>
      </c>
      <c r="D2047" t="s">
        <v>7</v>
      </c>
      <c r="E2047" t="str">
        <f>IF(may[[#This Row],[ShiftCounter]]&gt;0, "Running", "Down")</f>
        <v>Running</v>
      </c>
    </row>
    <row r="2048" spans="1:5" x14ac:dyDescent="0.25">
      <c r="A2048" s="10">
        <v>44702</v>
      </c>
      <c r="B2048" s="11" t="s">
        <v>41</v>
      </c>
      <c r="C2048">
        <v>1951</v>
      </c>
      <c r="D2048" t="s">
        <v>8</v>
      </c>
      <c r="E2048" t="str">
        <f>IF(may[[#This Row],[ShiftCounter]]&gt;0, "Running", "Down")</f>
        <v>Running</v>
      </c>
    </row>
    <row r="2049" spans="1:5" x14ac:dyDescent="0.25">
      <c r="A2049" s="10">
        <v>44702</v>
      </c>
      <c r="B2049" s="11" t="s">
        <v>5</v>
      </c>
      <c r="C2049">
        <v>2351</v>
      </c>
      <c r="D2049" t="s">
        <v>6</v>
      </c>
      <c r="E2049" t="str">
        <f>IF(may[[#This Row],[ShiftCounter]]&gt;0, "Running", "Down")</f>
        <v>Running</v>
      </c>
    </row>
    <row r="2050" spans="1:5" x14ac:dyDescent="0.25">
      <c r="A2050" s="10">
        <v>44702</v>
      </c>
      <c r="B2050" s="11" t="s">
        <v>5</v>
      </c>
      <c r="C2050">
        <v>2381</v>
      </c>
      <c r="D2050" t="s">
        <v>7</v>
      </c>
      <c r="E2050" t="str">
        <f>IF(may[[#This Row],[ShiftCounter]]&gt;0, "Running", "Down")</f>
        <v>Running</v>
      </c>
    </row>
    <row r="2051" spans="1:5" x14ac:dyDescent="0.25">
      <c r="A2051" s="10">
        <v>44702</v>
      </c>
      <c r="B2051" s="11" t="s">
        <v>5</v>
      </c>
      <c r="C2051">
        <v>1966</v>
      </c>
      <c r="D2051" t="s">
        <v>8</v>
      </c>
      <c r="E2051" t="str">
        <f>IF(may[[#This Row],[ShiftCounter]]&gt;0, "Running", "Down")</f>
        <v>Running</v>
      </c>
    </row>
    <row r="2052" spans="1:5" x14ac:dyDescent="0.25">
      <c r="A2052" s="10">
        <v>44702</v>
      </c>
      <c r="B2052" s="11" t="s">
        <v>9</v>
      </c>
      <c r="C2052">
        <v>2357</v>
      </c>
      <c r="D2052" t="s">
        <v>6</v>
      </c>
      <c r="E2052" t="str">
        <f>IF(may[[#This Row],[ShiftCounter]]&gt;0, "Running", "Down")</f>
        <v>Running</v>
      </c>
    </row>
    <row r="2053" spans="1:5" x14ac:dyDescent="0.25">
      <c r="A2053" s="10">
        <v>44702</v>
      </c>
      <c r="B2053" s="11" t="s">
        <v>9</v>
      </c>
      <c r="C2053">
        <v>2352</v>
      </c>
      <c r="D2053" t="s">
        <v>7</v>
      </c>
      <c r="E2053" t="str">
        <f>IF(may[[#This Row],[ShiftCounter]]&gt;0, "Running", "Down")</f>
        <v>Running</v>
      </c>
    </row>
    <row r="2054" spans="1:5" x14ac:dyDescent="0.25">
      <c r="A2054" s="10">
        <v>44702</v>
      </c>
      <c r="B2054" s="11" t="s">
        <v>9</v>
      </c>
      <c r="C2054">
        <v>1951</v>
      </c>
      <c r="D2054" t="s">
        <v>8</v>
      </c>
      <c r="E2054" t="str">
        <f>IF(may[[#This Row],[ShiftCounter]]&gt;0, "Running", "Down")</f>
        <v>Running</v>
      </c>
    </row>
    <row r="2055" spans="1:5" x14ac:dyDescent="0.25">
      <c r="A2055" s="10">
        <v>44702</v>
      </c>
      <c r="B2055" s="11" t="s">
        <v>10</v>
      </c>
      <c r="C2055">
        <v>2394</v>
      </c>
      <c r="D2055" t="s">
        <v>6</v>
      </c>
      <c r="E2055" t="str">
        <f>IF(may[[#This Row],[ShiftCounter]]&gt;0, "Running", "Down")</f>
        <v>Running</v>
      </c>
    </row>
    <row r="2056" spans="1:5" x14ac:dyDescent="0.25">
      <c r="A2056" s="10">
        <v>44702</v>
      </c>
      <c r="B2056" s="11" t="s">
        <v>10</v>
      </c>
      <c r="C2056">
        <v>2284</v>
      </c>
      <c r="D2056" t="s">
        <v>7</v>
      </c>
      <c r="E2056" t="str">
        <f>IF(may[[#This Row],[ShiftCounter]]&gt;0, "Running", "Down")</f>
        <v>Running</v>
      </c>
    </row>
    <row r="2057" spans="1:5" x14ac:dyDescent="0.25">
      <c r="A2057" s="10">
        <v>44702</v>
      </c>
      <c r="B2057" s="11" t="s">
        <v>10</v>
      </c>
      <c r="C2057">
        <v>1730</v>
      </c>
      <c r="D2057" t="s">
        <v>8</v>
      </c>
      <c r="E2057" t="str">
        <f>IF(may[[#This Row],[ShiftCounter]]&gt;0, "Running", "Down")</f>
        <v>Running</v>
      </c>
    </row>
    <row r="2058" spans="1:5" x14ac:dyDescent="0.25">
      <c r="A2058" s="10">
        <v>44702</v>
      </c>
      <c r="B2058" s="11" t="s">
        <v>12</v>
      </c>
      <c r="C2058">
        <v>2030</v>
      </c>
      <c r="D2058" t="s">
        <v>6</v>
      </c>
      <c r="E2058" t="str">
        <f>IF(may[[#This Row],[ShiftCounter]]&gt;0, "Running", "Down")</f>
        <v>Running</v>
      </c>
    </row>
    <row r="2059" spans="1:5" x14ac:dyDescent="0.25">
      <c r="A2059" s="10">
        <v>44702</v>
      </c>
      <c r="B2059" s="11" t="s">
        <v>12</v>
      </c>
      <c r="C2059">
        <v>2207</v>
      </c>
      <c r="D2059" t="s">
        <v>7</v>
      </c>
      <c r="E2059" t="str">
        <f>IF(may[[#This Row],[ShiftCounter]]&gt;0, "Running", "Down")</f>
        <v>Running</v>
      </c>
    </row>
    <row r="2060" spans="1:5" x14ac:dyDescent="0.25">
      <c r="A2060" s="10">
        <v>44702</v>
      </c>
      <c r="B2060" s="11" t="s">
        <v>12</v>
      </c>
      <c r="C2060">
        <v>1792</v>
      </c>
      <c r="D2060" t="s">
        <v>8</v>
      </c>
      <c r="E2060" t="str">
        <f>IF(may[[#This Row],[ShiftCounter]]&gt;0, "Running", "Down")</f>
        <v>Running</v>
      </c>
    </row>
    <row r="2061" spans="1:5" x14ac:dyDescent="0.25">
      <c r="A2061" s="10">
        <v>44702</v>
      </c>
      <c r="B2061" s="11" t="s">
        <v>105</v>
      </c>
      <c r="C2061">
        <v>2053</v>
      </c>
      <c r="D2061" t="s">
        <v>6</v>
      </c>
      <c r="E2061" t="str">
        <f>IF(may[[#This Row],[ShiftCounter]]&gt;0, "Running", "Down")</f>
        <v>Running</v>
      </c>
    </row>
    <row r="2062" spans="1:5" x14ac:dyDescent="0.25">
      <c r="A2062" s="10">
        <v>44702</v>
      </c>
      <c r="B2062" s="11" t="s">
        <v>105</v>
      </c>
      <c r="C2062">
        <v>2185</v>
      </c>
      <c r="D2062" t="s">
        <v>7</v>
      </c>
      <c r="E2062" t="str">
        <f>IF(may[[#This Row],[ShiftCounter]]&gt;0, "Running", "Down")</f>
        <v>Running</v>
      </c>
    </row>
    <row r="2063" spans="1:5" x14ac:dyDescent="0.25">
      <c r="A2063" s="10">
        <v>44702</v>
      </c>
      <c r="B2063" s="11" t="s">
        <v>105</v>
      </c>
      <c r="C2063">
        <v>1799</v>
      </c>
      <c r="D2063" t="s">
        <v>8</v>
      </c>
      <c r="E2063" t="str">
        <f>IF(may[[#This Row],[ShiftCounter]]&gt;0, "Running", "Down")</f>
        <v>Running</v>
      </c>
    </row>
    <row r="2064" spans="1:5" x14ac:dyDescent="0.25">
      <c r="A2064" s="10">
        <v>44702</v>
      </c>
      <c r="B2064" s="11" t="s">
        <v>13</v>
      </c>
      <c r="C2064">
        <v>2156</v>
      </c>
      <c r="D2064" t="s">
        <v>6</v>
      </c>
      <c r="E2064" t="str">
        <f>IF(may[[#This Row],[ShiftCounter]]&gt;0, "Running", "Down")</f>
        <v>Running</v>
      </c>
    </row>
    <row r="2065" spans="1:5" x14ac:dyDescent="0.25">
      <c r="A2065" s="10">
        <v>44702</v>
      </c>
      <c r="B2065" s="11" t="s">
        <v>13</v>
      </c>
      <c r="C2065">
        <v>2204</v>
      </c>
      <c r="D2065" t="s">
        <v>7</v>
      </c>
      <c r="E2065" t="str">
        <f>IF(may[[#This Row],[ShiftCounter]]&gt;0, "Running", "Down")</f>
        <v>Running</v>
      </c>
    </row>
    <row r="2066" spans="1:5" x14ac:dyDescent="0.25">
      <c r="A2066" s="10">
        <v>44702</v>
      </c>
      <c r="B2066" s="11" t="s">
        <v>13</v>
      </c>
      <c r="C2066">
        <v>2029</v>
      </c>
      <c r="D2066" t="s">
        <v>8</v>
      </c>
      <c r="E2066" t="str">
        <f>IF(may[[#This Row],[ShiftCounter]]&gt;0, "Running", "Down")</f>
        <v>Running</v>
      </c>
    </row>
    <row r="2067" spans="1:5" x14ac:dyDescent="0.25">
      <c r="A2067" s="10">
        <v>44702</v>
      </c>
      <c r="B2067" s="11" t="s">
        <v>101</v>
      </c>
      <c r="C2067">
        <v>2161</v>
      </c>
      <c r="D2067" t="s">
        <v>6</v>
      </c>
      <c r="E2067" t="str">
        <f>IF(may[[#This Row],[ShiftCounter]]&gt;0, "Running", "Down")</f>
        <v>Running</v>
      </c>
    </row>
    <row r="2068" spans="1:5" x14ac:dyDescent="0.25">
      <c r="A2068" s="10">
        <v>44702</v>
      </c>
      <c r="B2068" s="11" t="s">
        <v>101</v>
      </c>
      <c r="C2068">
        <v>2183</v>
      </c>
      <c r="D2068" t="s">
        <v>7</v>
      </c>
      <c r="E2068" t="str">
        <f>IF(may[[#This Row],[ShiftCounter]]&gt;0, "Running", "Down")</f>
        <v>Running</v>
      </c>
    </row>
    <row r="2069" spans="1:5" x14ac:dyDescent="0.25">
      <c r="A2069" s="10">
        <v>44702</v>
      </c>
      <c r="B2069" s="11" t="s">
        <v>101</v>
      </c>
      <c r="C2069">
        <v>2052</v>
      </c>
      <c r="D2069" t="s">
        <v>8</v>
      </c>
      <c r="E2069" t="str">
        <f>IF(may[[#This Row],[ShiftCounter]]&gt;0, "Running", "Down")</f>
        <v>Running</v>
      </c>
    </row>
    <row r="2070" spans="1:5" x14ac:dyDescent="0.25">
      <c r="A2070" s="10">
        <v>44702</v>
      </c>
      <c r="B2070" s="11" t="s">
        <v>14</v>
      </c>
      <c r="C2070">
        <v>1871</v>
      </c>
      <c r="D2070" t="s">
        <v>6</v>
      </c>
      <c r="E2070" t="str">
        <f>IF(may[[#This Row],[ShiftCounter]]&gt;0, "Running", "Down")</f>
        <v>Running</v>
      </c>
    </row>
    <row r="2071" spans="1:5" x14ac:dyDescent="0.25">
      <c r="A2071" s="10">
        <v>44702</v>
      </c>
      <c r="B2071" s="11" t="s">
        <v>14</v>
      </c>
      <c r="C2071">
        <v>1935</v>
      </c>
      <c r="D2071" t="s">
        <v>7</v>
      </c>
      <c r="E2071" t="str">
        <f>IF(may[[#This Row],[ShiftCounter]]&gt;0, "Running", "Down")</f>
        <v>Running</v>
      </c>
    </row>
    <row r="2072" spans="1:5" x14ac:dyDescent="0.25">
      <c r="A2072" s="10">
        <v>44702</v>
      </c>
      <c r="B2072" s="11" t="s">
        <v>14</v>
      </c>
      <c r="C2072">
        <v>1745</v>
      </c>
      <c r="D2072" t="s">
        <v>8</v>
      </c>
      <c r="E2072" t="str">
        <f>IF(may[[#This Row],[ShiftCounter]]&gt;0, "Running", "Down")</f>
        <v>Running</v>
      </c>
    </row>
    <row r="2073" spans="1:5" x14ac:dyDescent="0.25">
      <c r="A2073" s="10">
        <v>44702</v>
      </c>
      <c r="B2073" s="11" t="s">
        <v>15</v>
      </c>
      <c r="C2073">
        <v>1411</v>
      </c>
      <c r="D2073" t="s">
        <v>6</v>
      </c>
      <c r="E2073" t="str">
        <f>IF(may[[#This Row],[ShiftCounter]]&gt;0, "Running", "Down")</f>
        <v>Running</v>
      </c>
    </row>
    <row r="2074" spans="1:5" x14ac:dyDescent="0.25">
      <c r="A2074" s="10">
        <v>44702</v>
      </c>
      <c r="B2074" s="11" t="s">
        <v>15</v>
      </c>
      <c r="C2074">
        <v>2063</v>
      </c>
      <c r="D2074" t="s">
        <v>7</v>
      </c>
      <c r="E2074" t="str">
        <f>IF(may[[#This Row],[ShiftCounter]]&gt;0, "Running", "Down")</f>
        <v>Running</v>
      </c>
    </row>
    <row r="2075" spans="1:5" x14ac:dyDescent="0.25">
      <c r="A2075" s="10">
        <v>44702</v>
      </c>
      <c r="B2075" s="11" t="s">
        <v>15</v>
      </c>
      <c r="C2075">
        <v>2020</v>
      </c>
      <c r="D2075" t="s">
        <v>8</v>
      </c>
      <c r="E2075" t="str">
        <f>IF(may[[#This Row],[ShiftCounter]]&gt;0, "Running", "Down")</f>
        <v>Running</v>
      </c>
    </row>
    <row r="2076" spans="1:5" x14ac:dyDescent="0.25">
      <c r="A2076" s="10">
        <v>44702</v>
      </c>
      <c r="B2076" s="11" t="s">
        <v>16</v>
      </c>
      <c r="C2076">
        <v>2281</v>
      </c>
      <c r="D2076" t="s">
        <v>6</v>
      </c>
      <c r="E2076" t="str">
        <f>IF(may[[#This Row],[ShiftCounter]]&gt;0, "Running", "Down")</f>
        <v>Running</v>
      </c>
    </row>
    <row r="2077" spans="1:5" x14ac:dyDescent="0.25">
      <c r="A2077" s="10">
        <v>44702</v>
      </c>
      <c r="B2077" s="11" t="s">
        <v>16</v>
      </c>
      <c r="C2077">
        <v>2299</v>
      </c>
      <c r="D2077" t="s">
        <v>7</v>
      </c>
      <c r="E2077" t="str">
        <f>IF(may[[#This Row],[ShiftCounter]]&gt;0, "Running", "Down")</f>
        <v>Running</v>
      </c>
    </row>
    <row r="2078" spans="1:5" x14ac:dyDescent="0.25">
      <c r="A2078" s="10">
        <v>44702</v>
      </c>
      <c r="B2078" s="11" t="s">
        <v>16</v>
      </c>
      <c r="C2078">
        <v>2104</v>
      </c>
      <c r="D2078" t="s">
        <v>8</v>
      </c>
      <c r="E2078" t="str">
        <f>IF(may[[#This Row],[ShiftCounter]]&gt;0, "Running", "Down")</f>
        <v>Running</v>
      </c>
    </row>
    <row r="2079" spans="1:5" x14ac:dyDescent="0.25">
      <c r="A2079" s="10">
        <v>44702</v>
      </c>
      <c r="B2079" s="11" t="s">
        <v>17</v>
      </c>
      <c r="C2079">
        <v>2182</v>
      </c>
      <c r="D2079" t="s">
        <v>6</v>
      </c>
      <c r="E2079" t="str">
        <f>IF(may[[#This Row],[ShiftCounter]]&gt;0, "Running", "Down")</f>
        <v>Running</v>
      </c>
    </row>
    <row r="2080" spans="1:5" x14ac:dyDescent="0.25">
      <c r="A2080" s="10">
        <v>44702</v>
      </c>
      <c r="B2080" s="11" t="s">
        <v>17</v>
      </c>
      <c r="C2080">
        <v>2319</v>
      </c>
      <c r="D2080" t="s">
        <v>7</v>
      </c>
      <c r="E2080" t="str">
        <f>IF(may[[#This Row],[ShiftCounter]]&gt;0, "Running", "Down")</f>
        <v>Running</v>
      </c>
    </row>
    <row r="2081" spans="1:5" x14ac:dyDescent="0.25">
      <c r="A2081" s="10">
        <v>44702</v>
      </c>
      <c r="B2081" s="11" t="s">
        <v>17</v>
      </c>
      <c r="C2081">
        <v>2198</v>
      </c>
      <c r="D2081" t="s">
        <v>8</v>
      </c>
      <c r="E2081" t="str">
        <f>IF(may[[#This Row],[ShiftCounter]]&gt;0, "Running", "Down")</f>
        <v>Running</v>
      </c>
    </row>
    <row r="2082" spans="1:5" x14ac:dyDescent="0.25">
      <c r="A2082" s="10">
        <v>44702</v>
      </c>
      <c r="B2082" s="11" t="s">
        <v>19</v>
      </c>
      <c r="C2082">
        <v>1988</v>
      </c>
      <c r="D2082" t="s">
        <v>6</v>
      </c>
      <c r="E2082" t="str">
        <f>IF(may[[#This Row],[ShiftCounter]]&gt;0, "Running", "Down")</f>
        <v>Running</v>
      </c>
    </row>
    <row r="2083" spans="1:5" x14ac:dyDescent="0.25">
      <c r="A2083" s="10">
        <v>44702</v>
      </c>
      <c r="B2083" s="11" t="s">
        <v>19</v>
      </c>
      <c r="C2083">
        <v>2068</v>
      </c>
      <c r="D2083" t="s">
        <v>7</v>
      </c>
      <c r="E2083" t="str">
        <f>IF(may[[#This Row],[ShiftCounter]]&gt;0, "Running", "Down")</f>
        <v>Running</v>
      </c>
    </row>
    <row r="2084" spans="1:5" x14ac:dyDescent="0.25">
      <c r="A2084" s="10">
        <v>44702</v>
      </c>
      <c r="B2084" s="11" t="s">
        <v>19</v>
      </c>
      <c r="C2084">
        <v>1939</v>
      </c>
      <c r="D2084" t="s">
        <v>8</v>
      </c>
      <c r="E2084" t="str">
        <f>IF(may[[#This Row],[ShiftCounter]]&gt;0, "Running", "Down")</f>
        <v>Running</v>
      </c>
    </row>
    <row r="2085" spans="1:5" x14ac:dyDescent="0.25">
      <c r="A2085" s="10">
        <v>44702</v>
      </c>
      <c r="B2085" s="11" t="s">
        <v>18</v>
      </c>
      <c r="C2085">
        <v>2063</v>
      </c>
      <c r="D2085" t="s">
        <v>6</v>
      </c>
      <c r="E2085" t="str">
        <f>IF(may[[#This Row],[ShiftCounter]]&gt;0, "Running", "Down")</f>
        <v>Running</v>
      </c>
    </row>
    <row r="2086" spans="1:5" x14ac:dyDescent="0.25">
      <c r="A2086" s="10">
        <v>44702</v>
      </c>
      <c r="B2086" s="11" t="s">
        <v>18</v>
      </c>
      <c r="C2086">
        <v>2231</v>
      </c>
      <c r="D2086" t="s">
        <v>7</v>
      </c>
      <c r="E2086" t="str">
        <f>IF(may[[#This Row],[ShiftCounter]]&gt;0, "Running", "Down")</f>
        <v>Running</v>
      </c>
    </row>
    <row r="2087" spans="1:5" x14ac:dyDescent="0.25">
      <c r="A2087" s="10">
        <v>44702</v>
      </c>
      <c r="B2087" s="11" t="s">
        <v>18</v>
      </c>
      <c r="C2087">
        <v>2279</v>
      </c>
      <c r="D2087" t="s">
        <v>8</v>
      </c>
      <c r="E2087" t="str">
        <f>IF(may[[#This Row],[ShiftCounter]]&gt;0, "Running", "Down")</f>
        <v>Running</v>
      </c>
    </row>
    <row r="2088" spans="1:5" x14ac:dyDescent="0.25">
      <c r="A2088" s="10">
        <v>44702</v>
      </c>
      <c r="B2088" s="11" t="s">
        <v>20</v>
      </c>
      <c r="C2088">
        <v>1979</v>
      </c>
      <c r="D2088" t="s">
        <v>6</v>
      </c>
      <c r="E2088" t="str">
        <f>IF(may[[#This Row],[ShiftCounter]]&gt;0, "Running", "Down")</f>
        <v>Running</v>
      </c>
    </row>
    <row r="2089" spans="1:5" x14ac:dyDescent="0.25">
      <c r="A2089" s="10">
        <v>44702</v>
      </c>
      <c r="B2089" s="11" t="s">
        <v>20</v>
      </c>
      <c r="C2089">
        <v>2008</v>
      </c>
      <c r="D2089" t="s">
        <v>7</v>
      </c>
      <c r="E2089" t="str">
        <f>IF(may[[#This Row],[ShiftCounter]]&gt;0, "Running", "Down")</f>
        <v>Running</v>
      </c>
    </row>
    <row r="2090" spans="1:5" x14ac:dyDescent="0.25">
      <c r="A2090" s="10">
        <v>44702</v>
      </c>
      <c r="B2090" s="11" t="s">
        <v>20</v>
      </c>
      <c r="C2090">
        <v>1902</v>
      </c>
      <c r="D2090" t="s">
        <v>8</v>
      </c>
      <c r="E2090" t="str">
        <f>IF(may[[#This Row],[ShiftCounter]]&gt;0, "Running", "Down")</f>
        <v>Running</v>
      </c>
    </row>
    <row r="2091" spans="1:5" x14ac:dyDescent="0.25">
      <c r="A2091" s="10">
        <v>44702</v>
      </c>
      <c r="B2091" s="11" t="s">
        <v>21</v>
      </c>
      <c r="C2091">
        <v>2059</v>
      </c>
      <c r="D2091" t="s">
        <v>6</v>
      </c>
      <c r="E2091" t="str">
        <f>IF(may[[#This Row],[ShiftCounter]]&gt;0, "Running", "Down")</f>
        <v>Running</v>
      </c>
    </row>
    <row r="2092" spans="1:5" x14ac:dyDescent="0.25">
      <c r="A2092" s="10">
        <v>44702</v>
      </c>
      <c r="B2092" s="11" t="s">
        <v>21</v>
      </c>
      <c r="C2092">
        <v>2064</v>
      </c>
      <c r="D2092" t="s">
        <v>7</v>
      </c>
      <c r="E2092" t="str">
        <f>IF(may[[#This Row],[ShiftCounter]]&gt;0, "Running", "Down")</f>
        <v>Running</v>
      </c>
    </row>
    <row r="2093" spans="1:5" x14ac:dyDescent="0.25">
      <c r="A2093" s="10">
        <v>44702</v>
      </c>
      <c r="B2093" s="11" t="s">
        <v>21</v>
      </c>
      <c r="C2093">
        <v>1953</v>
      </c>
      <c r="D2093" t="s">
        <v>8</v>
      </c>
      <c r="E2093" t="str">
        <f>IF(may[[#This Row],[ShiftCounter]]&gt;0, "Running", "Down")</f>
        <v>Running</v>
      </c>
    </row>
    <row r="2094" spans="1:5" x14ac:dyDescent="0.25">
      <c r="A2094" s="10">
        <v>44702</v>
      </c>
      <c r="B2094" s="11" t="s">
        <v>22</v>
      </c>
      <c r="C2094">
        <v>370</v>
      </c>
      <c r="D2094" t="s">
        <v>6</v>
      </c>
      <c r="E2094" t="str">
        <f>IF(may[[#This Row],[ShiftCounter]]&gt;0, "Running", "Down")</f>
        <v>Running</v>
      </c>
    </row>
    <row r="2095" spans="1:5" x14ac:dyDescent="0.25">
      <c r="A2095" s="10">
        <v>44702</v>
      </c>
      <c r="B2095" s="11" t="s">
        <v>22</v>
      </c>
      <c r="C2095">
        <v>2246</v>
      </c>
      <c r="D2095" t="s">
        <v>7</v>
      </c>
      <c r="E2095" t="str">
        <f>IF(may[[#This Row],[ShiftCounter]]&gt;0, "Running", "Down")</f>
        <v>Running</v>
      </c>
    </row>
    <row r="2096" spans="1:5" x14ac:dyDescent="0.25">
      <c r="A2096" s="10">
        <v>44702</v>
      </c>
      <c r="B2096" s="11" t="s">
        <v>22</v>
      </c>
      <c r="C2096">
        <v>2020</v>
      </c>
      <c r="D2096" t="s">
        <v>8</v>
      </c>
      <c r="E2096" t="str">
        <f>IF(may[[#This Row],[ShiftCounter]]&gt;0, "Running", "Down")</f>
        <v>Running</v>
      </c>
    </row>
    <row r="2097" spans="1:5" x14ac:dyDescent="0.25">
      <c r="A2097" s="10">
        <v>44702</v>
      </c>
      <c r="B2097" s="11" t="s">
        <v>23</v>
      </c>
      <c r="C2097">
        <v>2380</v>
      </c>
      <c r="D2097" t="s">
        <v>6</v>
      </c>
      <c r="E2097" t="str">
        <f>IF(may[[#This Row],[ShiftCounter]]&gt;0, "Running", "Down")</f>
        <v>Running</v>
      </c>
    </row>
    <row r="2098" spans="1:5" x14ac:dyDescent="0.25">
      <c r="A2098" s="10">
        <v>44702</v>
      </c>
      <c r="B2098" s="11" t="s">
        <v>23</v>
      </c>
      <c r="C2098">
        <v>2348</v>
      </c>
      <c r="D2098" t="s">
        <v>7</v>
      </c>
      <c r="E2098" t="str">
        <f>IF(may[[#This Row],[ShiftCounter]]&gt;0, "Running", "Down")</f>
        <v>Running</v>
      </c>
    </row>
    <row r="2099" spans="1:5" x14ac:dyDescent="0.25">
      <c r="A2099" s="10">
        <v>44702</v>
      </c>
      <c r="B2099" s="11" t="s">
        <v>23</v>
      </c>
      <c r="C2099">
        <v>2234</v>
      </c>
      <c r="D2099" t="s">
        <v>8</v>
      </c>
      <c r="E2099" t="str">
        <f>IF(may[[#This Row],[ShiftCounter]]&gt;0, "Running", "Down")</f>
        <v>Running</v>
      </c>
    </row>
    <row r="2100" spans="1:5" x14ac:dyDescent="0.25">
      <c r="A2100" s="10">
        <v>44702</v>
      </c>
      <c r="B2100" s="11" t="s">
        <v>24</v>
      </c>
      <c r="C2100">
        <v>1764</v>
      </c>
      <c r="D2100" t="s">
        <v>6</v>
      </c>
      <c r="E2100" t="str">
        <f>IF(may[[#This Row],[ShiftCounter]]&gt;0, "Running", "Down")</f>
        <v>Running</v>
      </c>
    </row>
    <row r="2101" spans="1:5" x14ac:dyDescent="0.25">
      <c r="A2101" s="10">
        <v>44702</v>
      </c>
      <c r="B2101" s="11" t="s">
        <v>24</v>
      </c>
      <c r="C2101">
        <v>2088</v>
      </c>
      <c r="D2101" t="s">
        <v>7</v>
      </c>
      <c r="E2101" t="str">
        <f>IF(may[[#This Row],[ShiftCounter]]&gt;0, "Running", "Down")</f>
        <v>Running</v>
      </c>
    </row>
    <row r="2102" spans="1:5" x14ac:dyDescent="0.25">
      <c r="A2102" s="10">
        <v>44702</v>
      </c>
      <c r="B2102" s="11" t="s">
        <v>24</v>
      </c>
      <c r="C2102">
        <v>1969</v>
      </c>
      <c r="D2102" t="s">
        <v>8</v>
      </c>
      <c r="E2102" t="str">
        <f>IF(may[[#This Row],[ShiftCounter]]&gt;0, "Running", "Down")</f>
        <v>Running</v>
      </c>
    </row>
    <row r="2103" spans="1:5" x14ac:dyDescent="0.25">
      <c r="A2103" s="10">
        <v>44702</v>
      </c>
      <c r="B2103" s="11" t="s">
        <v>25</v>
      </c>
      <c r="C2103">
        <v>2230</v>
      </c>
      <c r="D2103" t="s">
        <v>6</v>
      </c>
      <c r="E2103" t="str">
        <f>IF(may[[#This Row],[ShiftCounter]]&gt;0, "Running", "Down")</f>
        <v>Running</v>
      </c>
    </row>
    <row r="2104" spans="1:5" x14ac:dyDescent="0.25">
      <c r="A2104" s="10">
        <v>44702</v>
      </c>
      <c r="B2104" s="11" t="s">
        <v>25</v>
      </c>
      <c r="C2104">
        <v>2197</v>
      </c>
      <c r="D2104" t="s">
        <v>7</v>
      </c>
      <c r="E2104" t="str">
        <f>IF(may[[#This Row],[ShiftCounter]]&gt;0, "Running", "Down")</f>
        <v>Running</v>
      </c>
    </row>
    <row r="2105" spans="1:5" x14ac:dyDescent="0.25">
      <c r="A2105" s="10">
        <v>44702</v>
      </c>
      <c r="B2105" s="11" t="s">
        <v>25</v>
      </c>
      <c r="C2105">
        <v>1979</v>
      </c>
      <c r="D2105" t="s">
        <v>8</v>
      </c>
      <c r="E2105" t="str">
        <f>IF(may[[#This Row],[ShiftCounter]]&gt;0, "Running", "Down")</f>
        <v>Running</v>
      </c>
    </row>
    <row r="2106" spans="1:5" x14ac:dyDescent="0.25">
      <c r="A2106" s="10">
        <v>44702</v>
      </c>
      <c r="B2106" s="11" t="s">
        <v>26</v>
      </c>
      <c r="C2106">
        <v>2165</v>
      </c>
      <c r="D2106" t="s">
        <v>6</v>
      </c>
      <c r="E2106" t="str">
        <f>IF(may[[#This Row],[ShiftCounter]]&gt;0, "Running", "Down")</f>
        <v>Running</v>
      </c>
    </row>
    <row r="2107" spans="1:5" x14ac:dyDescent="0.25">
      <c r="A2107" s="10">
        <v>44702</v>
      </c>
      <c r="B2107" s="11" t="s">
        <v>26</v>
      </c>
      <c r="C2107">
        <v>1875</v>
      </c>
      <c r="D2107" t="s">
        <v>7</v>
      </c>
      <c r="E2107" t="str">
        <f>IF(may[[#This Row],[ShiftCounter]]&gt;0, "Running", "Down")</f>
        <v>Running</v>
      </c>
    </row>
    <row r="2108" spans="1:5" x14ac:dyDescent="0.25">
      <c r="A2108" s="10">
        <v>44702</v>
      </c>
      <c r="B2108" s="11" t="s">
        <v>26</v>
      </c>
      <c r="C2108">
        <v>1860</v>
      </c>
      <c r="D2108" t="s">
        <v>8</v>
      </c>
      <c r="E2108" t="str">
        <f>IF(may[[#This Row],[ShiftCounter]]&gt;0, "Running", "Down")</f>
        <v>Running</v>
      </c>
    </row>
    <row r="2109" spans="1:5" x14ac:dyDescent="0.25">
      <c r="A2109" s="10">
        <v>44702</v>
      </c>
      <c r="B2109" s="11" t="s">
        <v>27</v>
      </c>
      <c r="C2109">
        <v>2295</v>
      </c>
      <c r="D2109" t="s">
        <v>6</v>
      </c>
      <c r="E2109" t="str">
        <f>IF(may[[#This Row],[ShiftCounter]]&gt;0, "Running", "Down")</f>
        <v>Running</v>
      </c>
    </row>
    <row r="2110" spans="1:5" x14ac:dyDescent="0.25">
      <c r="A2110" s="10">
        <v>44702</v>
      </c>
      <c r="B2110" s="11" t="s">
        <v>27</v>
      </c>
      <c r="C2110">
        <v>1919</v>
      </c>
      <c r="D2110" t="s">
        <v>7</v>
      </c>
      <c r="E2110" t="str">
        <f>IF(may[[#This Row],[ShiftCounter]]&gt;0, "Running", "Down")</f>
        <v>Running</v>
      </c>
    </row>
    <row r="2111" spans="1:5" x14ac:dyDescent="0.25">
      <c r="A2111" s="10">
        <v>44702</v>
      </c>
      <c r="B2111" s="11" t="s">
        <v>27</v>
      </c>
      <c r="C2111">
        <v>2085</v>
      </c>
      <c r="D2111" t="s">
        <v>8</v>
      </c>
      <c r="E2111" t="str">
        <f>IF(may[[#This Row],[ShiftCounter]]&gt;0, "Running", "Down")</f>
        <v>Running</v>
      </c>
    </row>
    <row r="2112" spans="1:5" x14ac:dyDescent="0.25">
      <c r="A2112" s="10">
        <v>44702</v>
      </c>
      <c r="B2112" s="11" t="s">
        <v>28</v>
      </c>
      <c r="C2112">
        <v>2174</v>
      </c>
      <c r="D2112" t="s">
        <v>6</v>
      </c>
      <c r="E2112" t="str">
        <f>IF(may[[#This Row],[ShiftCounter]]&gt;0, "Running", "Down")</f>
        <v>Running</v>
      </c>
    </row>
    <row r="2113" spans="1:5" x14ac:dyDescent="0.25">
      <c r="A2113" s="10">
        <v>44702</v>
      </c>
      <c r="B2113" s="11" t="s">
        <v>28</v>
      </c>
      <c r="C2113">
        <v>1824</v>
      </c>
      <c r="D2113" t="s">
        <v>7</v>
      </c>
      <c r="E2113" t="str">
        <f>IF(may[[#This Row],[ShiftCounter]]&gt;0, "Running", "Down")</f>
        <v>Running</v>
      </c>
    </row>
    <row r="2114" spans="1:5" x14ac:dyDescent="0.25">
      <c r="A2114" s="10">
        <v>44702</v>
      </c>
      <c r="B2114" s="11" t="s">
        <v>28</v>
      </c>
      <c r="C2114">
        <v>1973</v>
      </c>
      <c r="D2114" t="s">
        <v>8</v>
      </c>
      <c r="E2114" t="str">
        <f>IF(may[[#This Row],[ShiftCounter]]&gt;0, "Running", "Down")</f>
        <v>Running</v>
      </c>
    </row>
    <row r="2115" spans="1:5" x14ac:dyDescent="0.25">
      <c r="A2115" s="10">
        <v>44702</v>
      </c>
      <c r="B2115" s="11" t="s">
        <v>29</v>
      </c>
      <c r="C2115">
        <v>2015</v>
      </c>
      <c r="D2115" t="s">
        <v>6</v>
      </c>
      <c r="E2115" t="str">
        <f>IF(may[[#This Row],[ShiftCounter]]&gt;0, "Running", "Down")</f>
        <v>Running</v>
      </c>
    </row>
    <row r="2116" spans="1:5" x14ac:dyDescent="0.25">
      <c r="A2116" s="10">
        <v>44702</v>
      </c>
      <c r="B2116" s="11" t="s">
        <v>29</v>
      </c>
      <c r="C2116">
        <v>1885</v>
      </c>
      <c r="D2116" t="s">
        <v>7</v>
      </c>
      <c r="E2116" t="str">
        <f>IF(may[[#This Row],[ShiftCounter]]&gt;0, "Running", "Down")</f>
        <v>Running</v>
      </c>
    </row>
    <row r="2117" spans="1:5" x14ac:dyDescent="0.25">
      <c r="A2117" s="10">
        <v>44702</v>
      </c>
      <c r="B2117" s="11" t="s">
        <v>29</v>
      </c>
      <c r="C2117">
        <v>1811</v>
      </c>
      <c r="D2117" t="s">
        <v>8</v>
      </c>
      <c r="E2117" t="str">
        <f>IF(may[[#This Row],[ShiftCounter]]&gt;0, "Running", "Down")</f>
        <v>Running</v>
      </c>
    </row>
    <row r="2118" spans="1:5" x14ac:dyDescent="0.25">
      <c r="A2118" s="10">
        <v>44702</v>
      </c>
      <c r="B2118" s="11" t="s">
        <v>30</v>
      </c>
      <c r="C2118">
        <v>2285</v>
      </c>
      <c r="D2118" t="s">
        <v>6</v>
      </c>
      <c r="E2118" t="str">
        <f>IF(may[[#This Row],[ShiftCounter]]&gt;0, "Running", "Down")</f>
        <v>Running</v>
      </c>
    </row>
    <row r="2119" spans="1:5" x14ac:dyDescent="0.25">
      <c r="A2119" s="10">
        <v>44702</v>
      </c>
      <c r="B2119" s="11" t="s">
        <v>30</v>
      </c>
      <c r="C2119">
        <v>2069</v>
      </c>
      <c r="D2119" t="s">
        <v>7</v>
      </c>
      <c r="E2119" t="str">
        <f>IF(may[[#This Row],[ShiftCounter]]&gt;0, "Running", "Down")</f>
        <v>Running</v>
      </c>
    </row>
    <row r="2120" spans="1:5" x14ac:dyDescent="0.25">
      <c r="A2120" s="10">
        <v>44702</v>
      </c>
      <c r="B2120" s="11" t="s">
        <v>30</v>
      </c>
      <c r="C2120">
        <v>2037</v>
      </c>
      <c r="D2120" t="s">
        <v>8</v>
      </c>
      <c r="E2120" t="str">
        <f>IF(may[[#This Row],[ShiftCounter]]&gt;0, "Running", "Down")</f>
        <v>Running</v>
      </c>
    </row>
    <row r="2121" spans="1:5" x14ac:dyDescent="0.25">
      <c r="A2121" s="10">
        <v>44702</v>
      </c>
      <c r="B2121" s="11" t="s">
        <v>31</v>
      </c>
      <c r="C2121">
        <v>1159</v>
      </c>
      <c r="D2121" t="s">
        <v>6</v>
      </c>
      <c r="E2121" t="str">
        <f>IF(may[[#This Row],[ShiftCounter]]&gt;0, "Running", "Down")</f>
        <v>Running</v>
      </c>
    </row>
    <row r="2122" spans="1:5" x14ac:dyDescent="0.25">
      <c r="A2122" s="10">
        <v>44702</v>
      </c>
      <c r="B2122" s="11" t="s">
        <v>31</v>
      </c>
      <c r="C2122">
        <v>2082</v>
      </c>
      <c r="D2122" t="s">
        <v>7</v>
      </c>
      <c r="E2122" t="str">
        <f>IF(may[[#This Row],[ShiftCounter]]&gt;0, "Running", "Down")</f>
        <v>Running</v>
      </c>
    </row>
    <row r="2123" spans="1:5" x14ac:dyDescent="0.25">
      <c r="A2123" s="10">
        <v>44702</v>
      </c>
      <c r="B2123" s="11" t="s">
        <v>31</v>
      </c>
      <c r="C2123">
        <v>1884</v>
      </c>
      <c r="D2123" t="s">
        <v>8</v>
      </c>
      <c r="E2123" t="str">
        <f>IF(may[[#This Row],[ShiftCounter]]&gt;0, "Running", "Down")</f>
        <v>Running</v>
      </c>
    </row>
    <row r="2124" spans="1:5" x14ac:dyDescent="0.25">
      <c r="A2124" s="10">
        <v>44702</v>
      </c>
      <c r="B2124" s="11" t="s">
        <v>32</v>
      </c>
      <c r="C2124">
        <v>2309</v>
      </c>
      <c r="D2124" t="s">
        <v>6</v>
      </c>
      <c r="E2124" t="str">
        <f>IF(may[[#This Row],[ShiftCounter]]&gt;0, "Running", "Down")</f>
        <v>Running</v>
      </c>
    </row>
    <row r="2125" spans="1:5" x14ac:dyDescent="0.25">
      <c r="A2125" s="10">
        <v>44702</v>
      </c>
      <c r="B2125" s="11" t="s">
        <v>32</v>
      </c>
      <c r="C2125">
        <v>2120</v>
      </c>
      <c r="D2125" t="s">
        <v>7</v>
      </c>
      <c r="E2125" t="str">
        <f>IF(may[[#This Row],[ShiftCounter]]&gt;0, "Running", "Down")</f>
        <v>Running</v>
      </c>
    </row>
    <row r="2126" spans="1:5" x14ac:dyDescent="0.25">
      <c r="A2126" s="10">
        <v>44702</v>
      </c>
      <c r="B2126" s="11" t="s">
        <v>32</v>
      </c>
      <c r="C2126">
        <v>1633</v>
      </c>
      <c r="D2126" t="s">
        <v>8</v>
      </c>
      <c r="E2126" t="str">
        <f>IF(may[[#This Row],[ShiftCounter]]&gt;0, "Running", "Down")</f>
        <v>Running</v>
      </c>
    </row>
    <row r="2127" spans="1:5" x14ac:dyDescent="0.25">
      <c r="A2127" s="10">
        <v>44702</v>
      </c>
      <c r="B2127" s="11" t="s">
        <v>33</v>
      </c>
      <c r="C2127">
        <v>2400</v>
      </c>
      <c r="D2127" t="s">
        <v>6</v>
      </c>
      <c r="E2127" t="str">
        <f>IF(may[[#This Row],[ShiftCounter]]&gt;0, "Running", "Down")</f>
        <v>Running</v>
      </c>
    </row>
    <row r="2128" spans="1:5" x14ac:dyDescent="0.25">
      <c r="A2128" s="10">
        <v>44702</v>
      </c>
      <c r="B2128" s="11" t="s">
        <v>33</v>
      </c>
      <c r="C2128">
        <v>2240</v>
      </c>
      <c r="D2128" t="s">
        <v>7</v>
      </c>
      <c r="E2128" t="str">
        <f>IF(may[[#This Row],[ShiftCounter]]&gt;0, "Running", "Down")</f>
        <v>Running</v>
      </c>
    </row>
    <row r="2129" spans="1:5" x14ac:dyDescent="0.25">
      <c r="A2129" s="10">
        <v>44702</v>
      </c>
      <c r="B2129" s="11" t="s">
        <v>33</v>
      </c>
      <c r="C2129">
        <v>2123</v>
      </c>
      <c r="D2129" t="s">
        <v>8</v>
      </c>
      <c r="E2129" t="str">
        <f>IF(may[[#This Row],[ShiftCounter]]&gt;0, "Running", "Down")</f>
        <v>Running</v>
      </c>
    </row>
    <row r="2130" spans="1:5" x14ac:dyDescent="0.25">
      <c r="A2130" s="10">
        <v>44702</v>
      </c>
      <c r="B2130" s="11" t="s">
        <v>34</v>
      </c>
      <c r="C2130">
        <v>2120</v>
      </c>
      <c r="D2130" t="s">
        <v>6</v>
      </c>
      <c r="E2130" t="str">
        <f>IF(may[[#This Row],[ShiftCounter]]&gt;0, "Running", "Down")</f>
        <v>Running</v>
      </c>
    </row>
    <row r="2131" spans="1:5" x14ac:dyDescent="0.25">
      <c r="A2131" s="10">
        <v>44702</v>
      </c>
      <c r="B2131" s="11" t="s">
        <v>34</v>
      </c>
      <c r="C2131">
        <v>1963</v>
      </c>
      <c r="D2131" t="s">
        <v>7</v>
      </c>
      <c r="E2131" t="str">
        <f>IF(may[[#This Row],[ShiftCounter]]&gt;0, "Running", "Down")</f>
        <v>Running</v>
      </c>
    </row>
    <row r="2132" spans="1:5" x14ac:dyDescent="0.25">
      <c r="A2132" s="10">
        <v>44702</v>
      </c>
      <c r="B2132" s="11" t="s">
        <v>34</v>
      </c>
      <c r="C2132">
        <v>1714</v>
      </c>
      <c r="D2132" t="s">
        <v>8</v>
      </c>
      <c r="E2132" t="str">
        <f>IF(may[[#This Row],[ShiftCounter]]&gt;0, "Running", "Down")</f>
        <v>Running</v>
      </c>
    </row>
    <row r="2133" spans="1:5" x14ac:dyDescent="0.25">
      <c r="A2133" s="10">
        <v>44702</v>
      </c>
      <c r="B2133" s="11" t="s">
        <v>36</v>
      </c>
      <c r="C2133">
        <v>2573</v>
      </c>
      <c r="D2133" t="s">
        <v>6</v>
      </c>
      <c r="E2133" t="str">
        <f>IF(may[[#This Row],[ShiftCounter]]&gt;0, "Running", "Down")</f>
        <v>Running</v>
      </c>
    </row>
    <row r="2134" spans="1:5" x14ac:dyDescent="0.25">
      <c r="A2134" s="10">
        <v>44702</v>
      </c>
      <c r="B2134" s="11" t="s">
        <v>36</v>
      </c>
      <c r="C2134">
        <v>2380</v>
      </c>
      <c r="D2134" t="s">
        <v>7</v>
      </c>
      <c r="E2134" t="str">
        <f>IF(may[[#This Row],[ShiftCounter]]&gt;0, "Running", "Down")</f>
        <v>Running</v>
      </c>
    </row>
    <row r="2135" spans="1:5" x14ac:dyDescent="0.25">
      <c r="A2135" s="10">
        <v>44702</v>
      </c>
      <c r="B2135" s="11" t="s">
        <v>36</v>
      </c>
      <c r="C2135">
        <v>2089</v>
      </c>
      <c r="D2135" t="s">
        <v>8</v>
      </c>
      <c r="E2135" t="str">
        <f>IF(may[[#This Row],[ShiftCounter]]&gt;0, "Running", "Down")</f>
        <v>Running</v>
      </c>
    </row>
    <row r="2136" spans="1:5" x14ac:dyDescent="0.25">
      <c r="A2136" s="10">
        <v>44702</v>
      </c>
      <c r="B2136" s="11" t="s">
        <v>37</v>
      </c>
      <c r="C2136">
        <v>2342</v>
      </c>
      <c r="D2136" t="s">
        <v>6</v>
      </c>
      <c r="E2136" t="str">
        <f>IF(may[[#This Row],[ShiftCounter]]&gt;0, "Running", "Down")</f>
        <v>Running</v>
      </c>
    </row>
    <row r="2137" spans="1:5" x14ac:dyDescent="0.25">
      <c r="A2137" s="10">
        <v>44702</v>
      </c>
      <c r="B2137" s="11" t="s">
        <v>37</v>
      </c>
      <c r="C2137">
        <v>2251</v>
      </c>
      <c r="D2137" t="s">
        <v>7</v>
      </c>
      <c r="E2137" t="str">
        <f>IF(may[[#This Row],[ShiftCounter]]&gt;0, "Running", "Down")</f>
        <v>Running</v>
      </c>
    </row>
    <row r="2138" spans="1:5" x14ac:dyDescent="0.25">
      <c r="A2138" s="10">
        <v>44702</v>
      </c>
      <c r="B2138" s="11" t="s">
        <v>37</v>
      </c>
      <c r="C2138">
        <v>2006</v>
      </c>
      <c r="D2138" t="s">
        <v>8</v>
      </c>
      <c r="E2138" t="str">
        <f>IF(may[[#This Row],[ShiftCounter]]&gt;0, "Running", "Down")</f>
        <v>Running</v>
      </c>
    </row>
    <row r="2139" spans="1:5" x14ac:dyDescent="0.25">
      <c r="A2139" s="10">
        <v>44704</v>
      </c>
      <c r="B2139" s="11" t="s">
        <v>40</v>
      </c>
      <c r="C2139">
        <v>2382</v>
      </c>
      <c r="D2139" t="s">
        <v>6</v>
      </c>
      <c r="E2139" t="str">
        <f>IF(may[[#This Row],[ShiftCounter]]&gt;0, "Running", "Down")</f>
        <v>Running</v>
      </c>
    </row>
    <row r="2140" spans="1:5" x14ac:dyDescent="0.25">
      <c r="A2140" s="10">
        <v>44704</v>
      </c>
      <c r="B2140" s="11" t="s">
        <v>40</v>
      </c>
      <c r="C2140">
        <v>2231</v>
      </c>
      <c r="D2140" t="s">
        <v>7</v>
      </c>
      <c r="E2140" t="str">
        <f>IF(may[[#This Row],[ShiftCounter]]&gt;0, "Running", "Down")</f>
        <v>Running</v>
      </c>
    </row>
    <row r="2141" spans="1:5" x14ac:dyDescent="0.25">
      <c r="A2141" s="10">
        <v>44704</v>
      </c>
      <c r="B2141" s="11" t="s">
        <v>40</v>
      </c>
      <c r="C2141">
        <v>2021</v>
      </c>
      <c r="D2141" t="s">
        <v>8</v>
      </c>
      <c r="E2141" t="str">
        <f>IF(may[[#This Row],[ShiftCounter]]&gt;0, "Running", "Down")</f>
        <v>Running</v>
      </c>
    </row>
    <row r="2142" spans="1:5" x14ac:dyDescent="0.25">
      <c r="A2142" s="10">
        <v>44704</v>
      </c>
      <c r="B2142" s="11" t="s">
        <v>39</v>
      </c>
      <c r="C2142">
        <v>2084</v>
      </c>
      <c r="D2142" t="s">
        <v>6</v>
      </c>
      <c r="E2142" t="str">
        <f>IF(may[[#This Row],[ShiftCounter]]&gt;0, "Running", "Down")</f>
        <v>Running</v>
      </c>
    </row>
    <row r="2143" spans="1:5" x14ac:dyDescent="0.25">
      <c r="A2143" s="10">
        <v>44704</v>
      </c>
      <c r="B2143" s="11" t="s">
        <v>39</v>
      </c>
      <c r="C2143">
        <v>2096</v>
      </c>
      <c r="D2143" t="s">
        <v>7</v>
      </c>
      <c r="E2143" t="str">
        <f>IF(may[[#This Row],[ShiftCounter]]&gt;0, "Running", "Down")</f>
        <v>Running</v>
      </c>
    </row>
    <row r="2144" spans="1:5" x14ac:dyDescent="0.25">
      <c r="A2144" s="10">
        <v>44704</v>
      </c>
      <c r="B2144" s="11" t="s">
        <v>39</v>
      </c>
      <c r="C2144">
        <v>1774</v>
      </c>
      <c r="D2144" t="s">
        <v>8</v>
      </c>
      <c r="E2144" t="str">
        <f>IF(may[[#This Row],[ShiftCounter]]&gt;0, "Running", "Down")</f>
        <v>Running</v>
      </c>
    </row>
    <row r="2145" spans="1:5" x14ac:dyDescent="0.25">
      <c r="A2145" s="10">
        <v>44704</v>
      </c>
      <c r="B2145" s="11" t="s">
        <v>41</v>
      </c>
      <c r="C2145">
        <v>2339</v>
      </c>
      <c r="D2145" t="s">
        <v>6</v>
      </c>
      <c r="E2145" t="str">
        <f>IF(may[[#This Row],[ShiftCounter]]&gt;0, "Running", "Down")</f>
        <v>Running</v>
      </c>
    </row>
    <row r="2146" spans="1:5" x14ac:dyDescent="0.25">
      <c r="A2146" s="10">
        <v>44704</v>
      </c>
      <c r="B2146" s="11" t="s">
        <v>41</v>
      </c>
      <c r="C2146">
        <v>2288</v>
      </c>
      <c r="D2146" t="s">
        <v>7</v>
      </c>
      <c r="E2146" t="str">
        <f>IF(may[[#This Row],[ShiftCounter]]&gt;0, "Running", "Down")</f>
        <v>Running</v>
      </c>
    </row>
    <row r="2147" spans="1:5" x14ac:dyDescent="0.25">
      <c r="A2147" s="10">
        <v>44704</v>
      </c>
      <c r="B2147" s="11" t="s">
        <v>41</v>
      </c>
      <c r="C2147">
        <v>1985</v>
      </c>
      <c r="D2147" t="s">
        <v>8</v>
      </c>
      <c r="E2147" t="str">
        <f>IF(may[[#This Row],[ShiftCounter]]&gt;0, "Running", "Down")</f>
        <v>Running</v>
      </c>
    </row>
    <row r="2148" spans="1:5" x14ac:dyDescent="0.25">
      <c r="A2148" s="10">
        <v>44704</v>
      </c>
      <c r="B2148" s="11" t="s">
        <v>5</v>
      </c>
      <c r="C2148">
        <v>0</v>
      </c>
      <c r="D2148" t="s">
        <v>6</v>
      </c>
      <c r="E2148" t="str">
        <f>IF(may[[#This Row],[ShiftCounter]]&gt;0, "Running", "Down")</f>
        <v>Down</v>
      </c>
    </row>
    <row r="2149" spans="1:5" x14ac:dyDescent="0.25">
      <c r="A2149" s="10">
        <v>44704</v>
      </c>
      <c r="B2149" s="11" t="s">
        <v>5</v>
      </c>
      <c r="C2149">
        <v>0</v>
      </c>
      <c r="D2149" t="s">
        <v>7</v>
      </c>
      <c r="E2149" t="str">
        <f>IF(may[[#This Row],[ShiftCounter]]&gt;0, "Running", "Down")</f>
        <v>Down</v>
      </c>
    </row>
    <row r="2150" spans="1:5" x14ac:dyDescent="0.25">
      <c r="A2150" s="10">
        <v>44704</v>
      </c>
      <c r="B2150" s="11" t="s">
        <v>5</v>
      </c>
      <c r="C2150">
        <v>0</v>
      </c>
      <c r="D2150" t="s">
        <v>8</v>
      </c>
      <c r="E2150" t="str">
        <f>IF(may[[#This Row],[ShiftCounter]]&gt;0, "Running", "Down")</f>
        <v>Down</v>
      </c>
    </row>
    <row r="2151" spans="1:5" x14ac:dyDescent="0.25">
      <c r="A2151" s="10">
        <v>44704</v>
      </c>
      <c r="B2151" s="11" t="s">
        <v>9</v>
      </c>
      <c r="C2151">
        <v>1785</v>
      </c>
      <c r="D2151" t="s">
        <v>6</v>
      </c>
      <c r="E2151" t="str">
        <f>IF(may[[#This Row],[ShiftCounter]]&gt;0, "Running", "Down")</f>
        <v>Running</v>
      </c>
    </row>
    <row r="2152" spans="1:5" x14ac:dyDescent="0.25">
      <c r="A2152" s="10">
        <v>44704</v>
      </c>
      <c r="B2152" s="11" t="s">
        <v>9</v>
      </c>
      <c r="C2152">
        <v>2285</v>
      </c>
      <c r="D2152" t="s">
        <v>7</v>
      </c>
      <c r="E2152" t="str">
        <f>IF(may[[#This Row],[ShiftCounter]]&gt;0, "Running", "Down")</f>
        <v>Running</v>
      </c>
    </row>
    <row r="2153" spans="1:5" x14ac:dyDescent="0.25">
      <c r="A2153" s="10">
        <v>44704</v>
      </c>
      <c r="B2153" s="11" t="s">
        <v>9</v>
      </c>
      <c r="C2153">
        <v>2075</v>
      </c>
      <c r="D2153" t="s">
        <v>8</v>
      </c>
      <c r="E2153" t="str">
        <f>IF(may[[#This Row],[ShiftCounter]]&gt;0, "Running", "Down")</f>
        <v>Running</v>
      </c>
    </row>
    <row r="2154" spans="1:5" x14ac:dyDescent="0.25">
      <c r="A2154" s="10">
        <v>44704</v>
      </c>
      <c r="B2154" s="11" t="s">
        <v>10</v>
      </c>
      <c r="C2154">
        <v>1950</v>
      </c>
      <c r="D2154" t="s">
        <v>6</v>
      </c>
      <c r="E2154" t="str">
        <f>IF(may[[#This Row],[ShiftCounter]]&gt;0, "Running", "Down")</f>
        <v>Running</v>
      </c>
    </row>
    <row r="2155" spans="1:5" x14ac:dyDescent="0.25">
      <c r="A2155" s="10">
        <v>44704</v>
      </c>
      <c r="B2155" s="11" t="s">
        <v>10</v>
      </c>
      <c r="C2155">
        <v>1902</v>
      </c>
      <c r="D2155" t="s">
        <v>7</v>
      </c>
      <c r="E2155" t="str">
        <f>IF(may[[#This Row],[ShiftCounter]]&gt;0, "Running", "Down")</f>
        <v>Running</v>
      </c>
    </row>
    <row r="2156" spans="1:5" x14ac:dyDescent="0.25">
      <c r="A2156" s="10">
        <v>44704</v>
      </c>
      <c r="B2156" s="11" t="s">
        <v>10</v>
      </c>
      <c r="C2156">
        <v>1775</v>
      </c>
      <c r="D2156" t="s">
        <v>8</v>
      </c>
      <c r="E2156" t="str">
        <f>IF(may[[#This Row],[ShiftCounter]]&gt;0, "Running", "Down")</f>
        <v>Running</v>
      </c>
    </row>
    <row r="2157" spans="1:5" x14ac:dyDescent="0.25">
      <c r="A2157" s="10">
        <v>44704</v>
      </c>
      <c r="B2157" s="11" t="s">
        <v>12</v>
      </c>
      <c r="C2157">
        <v>2170</v>
      </c>
      <c r="D2157" t="s">
        <v>6</v>
      </c>
      <c r="E2157" t="str">
        <f>IF(may[[#This Row],[ShiftCounter]]&gt;0, "Running", "Down")</f>
        <v>Running</v>
      </c>
    </row>
    <row r="2158" spans="1:5" x14ac:dyDescent="0.25">
      <c r="A2158" s="10">
        <v>44704</v>
      </c>
      <c r="B2158" s="11" t="s">
        <v>12</v>
      </c>
      <c r="C2158">
        <v>2117</v>
      </c>
      <c r="D2158" t="s">
        <v>7</v>
      </c>
      <c r="E2158" t="str">
        <f>IF(may[[#This Row],[ShiftCounter]]&gt;0, "Running", "Down")</f>
        <v>Running</v>
      </c>
    </row>
    <row r="2159" spans="1:5" x14ac:dyDescent="0.25">
      <c r="A2159" s="10">
        <v>44704</v>
      </c>
      <c r="B2159" s="11" t="s">
        <v>12</v>
      </c>
      <c r="C2159">
        <v>1865</v>
      </c>
      <c r="D2159" t="s">
        <v>8</v>
      </c>
      <c r="E2159" t="str">
        <f>IF(may[[#This Row],[ShiftCounter]]&gt;0, "Running", "Down")</f>
        <v>Running</v>
      </c>
    </row>
    <row r="2160" spans="1:5" x14ac:dyDescent="0.25">
      <c r="A2160" s="10">
        <v>44704</v>
      </c>
      <c r="B2160" s="11" t="s">
        <v>105</v>
      </c>
      <c r="C2160">
        <v>2287</v>
      </c>
      <c r="D2160" t="s">
        <v>6</v>
      </c>
      <c r="E2160" t="str">
        <f>IF(may[[#This Row],[ShiftCounter]]&gt;0, "Running", "Down")</f>
        <v>Running</v>
      </c>
    </row>
    <row r="2161" spans="1:5" x14ac:dyDescent="0.25">
      <c r="A2161" s="10">
        <v>44704</v>
      </c>
      <c r="B2161" s="11" t="s">
        <v>105</v>
      </c>
      <c r="C2161">
        <v>2192</v>
      </c>
      <c r="D2161" t="s">
        <v>7</v>
      </c>
      <c r="E2161" t="str">
        <f>IF(may[[#This Row],[ShiftCounter]]&gt;0, "Running", "Down")</f>
        <v>Running</v>
      </c>
    </row>
    <row r="2162" spans="1:5" x14ac:dyDescent="0.25">
      <c r="A2162" s="10">
        <v>44704</v>
      </c>
      <c r="B2162" s="11" t="s">
        <v>105</v>
      </c>
      <c r="C2162">
        <v>1962</v>
      </c>
      <c r="D2162" t="s">
        <v>8</v>
      </c>
      <c r="E2162" t="str">
        <f>IF(may[[#This Row],[ShiftCounter]]&gt;0, "Running", "Down")</f>
        <v>Running</v>
      </c>
    </row>
    <row r="2163" spans="1:5" x14ac:dyDescent="0.25">
      <c r="A2163" s="10">
        <v>44704</v>
      </c>
      <c r="B2163" s="11" t="s">
        <v>13</v>
      </c>
      <c r="C2163">
        <v>2195</v>
      </c>
      <c r="D2163" t="s">
        <v>6</v>
      </c>
      <c r="E2163" t="str">
        <f>IF(may[[#This Row],[ShiftCounter]]&gt;0, "Running", "Down")</f>
        <v>Running</v>
      </c>
    </row>
    <row r="2164" spans="1:5" x14ac:dyDescent="0.25">
      <c r="A2164" s="10">
        <v>44704</v>
      </c>
      <c r="B2164" s="11" t="s">
        <v>13</v>
      </c>
      <c r="C2164">
        <v>2053</v>
      </c>
      <c r="D2164" t="s">
        <v>7</v>
      </c>
      <c r="E2164" t="str">
        <f>IF(may[[#This Row],[ShiftCounter]]&gt;0, "Running", "Down")</f>
        <v>Running</v>
      </c>
    </row>
    <row r="2165" spans="1:5" x14ac:dyDescent="0.25">
      <c r="A2165" s="10">
        <v>44704</v>
      </c>
      <c r="B2165" s="11" t="s">
        <v>13</v>
      </c>
      <c r="C2165">
        <v>1795</v>
      </c>
      <c r="D2165" t="s">
        <v>8</v>
      </c>
      <c r="E2165" t="str">
        <f>IF(may[[#This Row],[ShiftCounter]]&gt;0, "Running", "Down")</f>
        <v>Running</v>
      </c>
    </row>
    <row r="2166" spans="1:5" x14ac:dyDescent="0.25">
      <c r="A2166" s="10">
        <v>44704</v>
      </c>
      <c r="B2166" s="11" t="s">
        <v>101</v>
      </c>
      <c r="C2166">
        <v>2226</v>
      </c>
      <c r="D2166" t="s">
        <v>6</v>
      </c>
      <c r="E2166" t="str">
        <f>IF(may[[#This Row],[ShiftCounter]]&gt;0, "Running", "Down")</f>
        <v>Running</v>
      </c>
    </row>
    <row r="2167" spans="1:5" x14ac:dyDescent="0.25">
      <c r="A2167" s="10">
        <v>44704</v>
      </c>
      <c r="B2167" s="11" t="s">
        <v>101</v>
      </c>
      <c r="C2167">
        <v>2081</v>
      </c>
      <c r="D2167" t="s">
        <v>7</v>
      </c>
      <c r="E2167" t="str">
        <f>IF(may[[#This Row],[ShiftCounter]]&gt;0, "Running", "Down")</f>
        <v>Running</v>
      </c>
    </row>
    <row r="2168" spans="1:5" x14ac:dyDescent="0.25">
      <c r="A2168" s="10">
        <v>44704</v>
      </c>
      <c r="B2168" s="11" t="s">
        <v>101</v>
      </c>
      <c r="C2168">
        <v>1825</v>
      </c>
      <c r="D2168" t="s">
        <v>8</v>
      </c>
      <c r="E2168" t="str">
        <f>IF(may[[#This Row],[ShiftCounter]]&gt;0, "Running", "Down")</f>
        <v>Running</v>
      </c>
    </row>
    <row r="2169" spans="1:5" x14ac:dyDescent="0.25">
      <c r="A2169" s="10">
        <v>44704</v>
      </c>
      <c r="B2169" s="11" t="s">
        <v>14</v>
      </c>
      <c r="C2169">
        <v>1900</v>
      </c>
      <c r="D2169" t="s">
        <v>6</v>
      </c>
      <c r="E2169" t="str">
        <f>IF(may[[#This Row],[ShiftCounter]]&gt;0, "Running", "Down")</f>
        <v>Running</v>
      </c>
    </row>
    <row r="2170" spans="1:5" x14ac:dyDescent="0.25">
      <c r="A2170" s="10">
        <v>44704</v>
      </c>
      <c r="B2170" s="11" t="s">
        <v>14</v>
      </c>
      <c r="C2170">
        <v>1797</v>
      </c>
      <c r="D2170" t="s">
        <v>7</v>
      </c>
      <c r="E2170" t="str">
        <f>IF(may[[#This Row],[ShiftCounter]]&gt;0, "Running", "Down")</f>
        <v>Running</v>
      </c>
    </row>
    <row r="2171" spans="1:5" x14ac:dyDescent="0.25">
      <c r="A2171" s="10">
        <v>44704</v>
      </c>
      <c r="B2171" s="11" t="s">
        <v>14</v>
      </c>
      <c r="C2171">
        <v>1563</v>
      </c>
      <c r="D2171" t="s">
        <v>8</v>
      </c>
      <c r="E2171" t="str">
        <f>IF(may[[#This Row],[ShiftCounter]]&gt;0, "Running", "Down")</f>
        <v>Running</v>
      </c>
    </row>
    <row r="2172" spans="1:5" x14ac:dyDescent="0.25">
      <c r="A2172" s="10">
        <v>44704</v>
      </c>
      <c r="B2172" s="11" t="s">
        <v>15</v>
      </c>
      <c r="C2172">
        <v>2194</v>
      </c>
      <c r="D2172" t="s">
        <v>6</v>
      </c>
      <c r="E2172" t="str">
        <f>IF(may[[#This Row],[ShiftCounter]]&gt;0, "Running", "Down")</f>
        <v>Running</v>
      </c>
    </row>
    <row r="2173" spans="1:5" x14ac:dyDescent="0.25">
      <c r="A2173" s="10">
        <v>44704</v>
      </c>
      <c r="B2173" s="11" t="s">
        <v>15</v>
      </c>
      <c r="C2173">
        <v>2049</v>
      </c>
      <c r="D2173" t="s">
        <v>7</v>
      </c>
      <c r="E2173" t="str">
        <f>IF(may[[#This Row],[ShiftCounter]]&gt;0, "Running", "Down")</f>
        <v>Running</v>
      </c>
    </row>
    <row r="2174" spans="1:5" x14ac:dyDescent="0.25">
      <c r="A2174" s="10">
        <v>44704</v>
      </c>
      <c r="B2174" s="11" t="s">
        <v>15</v>
      </c>
      <c r="C2174">
        <v>1819</v>
      </c>
      <c r="D2174" t="s">
        <v>8</v>
      </c>
      <c r="E2174" t="str">
        <f>IF(may[[#This Row],[ShiftCounter]]&gt;0, "Running", "Down")</f>
        <v>Running</v>
      </c>
    </row>
    <row r="2175" spans="1:5" x14ac:dyDescent="0.25">
      <c r="A2175" s="10">
        <v>44704</v>
      </c>
      <c r="B2175" s="11" t="s">
        <v>16</v>
      </c>
      <c r="C2175">
        <v>2185</v>
      </c>
      <c r="D2175" t="s">
        <v>6</v>
      </c>
      <c r="E2175" t="str">
        <f>IF(may[[#This Row],[ShiftCounter]]&gt;0, "Running", "Down")</f>
        <v>Running</v>
      </c>
    </row>
    <row r="2176" spans="1:5" x14ac:dyDescent="0.25">
      <c r="A2176" s="10">
        <v>44704</v>
      </c>
      <c r="B2176" s="11" t="s">
        <v>16</v>
      </c>
      <c r="C2176">
        <v>2207</v>
      </c>
      <c r="D2176" t="s">
        <v>7</v>
      </c>
      <c r="E2176" t="str">
        <f>IF(may[[#This Row],[ShiftCounter]]&gt;0, "Running", "Down")</f>
        <v>Running</v>
      </c>
    </row>
    <row r="2177" spans="1:5" x14ac:dyDescent="0.25">
      <c r="A2177" s="10">
        <v>44704</v>
      </c>
      <c r="B2177" s="11" t="s">
        <v>16</v>
      </c>
      <c r="C2177">
        <v>1918</v>
      </c>
      <c r="D2177" t="s">
        <v>8</v>
      </c>
      <c r="E2177" t="str">
        <f>IF(may[[#This Row],[ShiftCounter]]&gt;0, "Running", "Down")</f>
        <v>Running</v>
      </c>
    </row>
    <row r="2178" spans="1:5" x14ac:dyDescent="0.25">
      <c r="A2178" s="10">
        <v>44704</v>
      </c>
      <c r="B2178" s="11" t="s">
        <v>17</v>
      </c>
      <c r="C2178">
        <v>2397</v>
      </c>
      <c r="D2178" t="s">
        <v>6</v>
      </c>
      <c r="E2178" t="str">
        <f>IF(may[[#This Row],[ShiftCounter]]&gt;0, "Running", "Down")</f>
        <v>Running</v>
      </c>
    </row>
    <row r="2179" spans="1:5" x14ac:dyDescent="0.25">
      <c r="A2179" s="10">
        <v>44704</v>
      </c>
      <c r="B2179" s="11" t="s">
        <v>17</v>
      </c>
      <c r="C2179">
        <v>2333</v>
      </c>
      <c r="D2179" t="s">
        <v>7</v>
      </c>
      <c r="E2179" t="str">
        <f>IF(may[[#This Row],[ShiftCounter]]&gt;0, "Running", "Down")</f>
        <v>Running</v>
      </c>
    </row>
    <row r="2180" spans="1:5" x14ac:dyDescent="0.25">
      <c r="A2180" s="10">
        <v>44704</v>
      </c>
      <c r="B2180" s="11" t="s">
        <v>17</v>
      </c>
      <c r="C2180">
        <v>2041</v>
      </c>
      <c r="D2180" t="s">
        <v>8</v>
      </c>
      <c r="E2180" t="str">
        <f>IF(may[[#This Row],[ShiftCounter]]&gt;0, "Running", "Down")</f>
        <v>Running</v>
      </c>
    </row>
    <row r="2181" spans="1:5" x14ac:dyDescent="0.25">
      <c r="A2181" s="10">
        <v>44704</v>
      </c>
      <c r="B2181" s="11" t="s">
        <v>19</v>
      </c>
      <c r="C2181">
        <v>2378</v>
      </c>
      <c r="D2181" t="s">
        <v>6</v>
      </c>
      <c r="E2181" t="str">
        <f>IF(may[[#This Row],[ShiftCounter]]&gt;0, "Running", "Down")</f>
        <v>Running</v>
      </c>
    </row>
    <row r="2182" spans="1:5" x14ac:dyDescent="0.25">
      <c r="A2182" s="10">
        <v>44704</v>
      </c>
      <c r="B2182" s="11" t="s">
        <v>19</v>
      </c>
      <c r="C2182">
        <v>2038</v>
      </c>
      <c r="D2182" t="s">
        <v>7</v>
      </c>
      <c r="E2182" t="str">
        <f>IF(may[[#This Row],[ShiftCounter]]&gt;0, "Running", "Down")</f>
        <v>Running</v>
      </c>
    </row>
    <row r="2183" spans="1:5" x14ac:dyDescent="0.25">
      <c r="A2183" s="10">
        <v>44704</v>
      </c>
      <c r="B2183" s="11" t="s">
        <v>19</v>
      </c>
      <c r="C2183">
        <v>1700</v>
      </c>
      <c r="D2183" t="s">
        <v>8</v>
      </c>
      <c r="E2183" t="str">
        <f>IF(may[[#This Row],[ShiftCounter]]&gt;0, "Running", "Down")</f>
        <v>Running</v>
      </c>
    </row>
    <row r="2184" spans="1:5" x14ac:dyDescent="0.25">
      <c r="A2184" s="10">
        <v>44704</v>
      </c>
      <c r="B2184" s="11" t="s">
        <v>18</v>
      </c>
      <c r="C2184">
        <v>2653</v>
      </c>
      <c r="D2184" t="s">
        <v>6</v>
      </c>
      <c r="E2184" t="str">
        <f>IF(may[[#This Row],[ShiftCounter]]&gt;0, "Running", "Down")</f>
        <v>Running</v>
      </c>
    </row>
    <row r="2185" spans="1:5" x14ac:dyDescent="0.25">
      <c r="A2185" s="10">
        <v>44704</v>
      </c>
      <c r="B2185" s="11" t="s">
        <v>18</v>
      </c>
      <c r="C2185">
        <v>2307</v>
      </c>
      <c r="D2185" t="s">
        <v>7</v>
      </c>
      <c r="E2185" t="str">
        <f>IF(may[[#This Row],[ShiftCounter]]&gt;0, "Running", "Down")</f>
        <v>Running</v>
      </c>
    </row>
    <row r="2186" spans="1:5" x14ac:dyDescent="0.25">
      <c r="A2186" s="10">
        <v>44704</v>
      </c>
      <c r="B2186" s="11" t="s">
        <v>18</v>
      </c>
      <c r="C2186">
        <v>2133</v>
      </c>
      <c r="D2186" t="s">
        <v>8</v>
      </c>
      <c r="E2186" t="str">
        <f>IF(may[[#This Row],[ShiftCounter]]&gt;0, "Running", "Down")</f>
        <v>Running</v>
      </c>
    </row>
    <row r="2187" spans="1:5" x14ac:dyDescent="0.25">
      <c r="A2187" s="10">
        <v>44704</v>
      </c>
      <c r="B2187" s="11" t="s">
        <v>20</v>
      </c>
      <c r="C2187">
        <v>2012</v>
      </c>
      <c r="D2187" t="s">
        <v>6</v>
      </c>
      <c r="E2187" t="str">
        <f>IF(may[[#This Row],[ShiftCounter]]&gt;0, "Running", "Down")</f>
        <v>Running</v>
      </c>
    </row>
    <row r="2188" spans="1:5" x14ac:dyDescent="0.25">
      <c r="A2188" s="10">
        <v>44704</v>
      </c>
      <c r="B2188" s="11" t="s">
        <v>20</v>
      </c>
      <c r="C2188">
        <v>2020</v>
      </c>
      <c r="D2188" t="s">
        <v>7</v>
      </c>
      <c r="E2188" t="str">
        <f>IF(may[[#This Row],[ShiftCounter]]&gt;0, "Running", "Down")</f>
        <v>Running</v>
      </c>
    </row>
    <row r="2189" spans="1:5" x14ac:dyDescent="0.25">
      <c r="A2189" s="10">
        <v>44704</v>
      </c>
      <c r="B2189" s="11" t="s">
        <v>20</v>
      </c>
      <c r="C2189">
        <v>1786</v>
      </c>
      <c r="D2189" t="s">
        <v>8</v>
      </c>
      <c r="E2189" t="str">
        <f>IF(may[[#This Row],[ShiftCounter]]&gt;0, "Running", "Down")</f>
        <v>Running</v>
      </c>
    </row>
    <row r="2190" spans="1:5" x14ac:dyDescent="0.25">
      <c r="A2190" s="10">
        <v>44704</v>
      </c>
      <c r="B2190" s="11" t="s">
        <v>21</v>
      </c>
      <c r="C2190">
        <v>2118</v>
      </c>
      <c r="D2190" t="s">
        <v>6</v>
      </c>
      <c r="E2190" t="str">
        <f>IF(may[[#This Row],[ShiftCounter]]&gt;0, "Running", "Down")</f>
        <v>Running</v>
      </c>
    </row>
    <row r="2191" spans="1:5" x14ac:dyDescent="0.25">
      <c r="A2191" s="10">
        <v>44704</v>
      </c>
      <c r="B2191" s="11" t="s">
        <v>21</v>
      </c>
      <c r="C2191">
        <v>2098</v>
      </c>
      <c r="D2191" t="s">
        <v>7</v>
      </c>
      <c r="E2191" t="str">
        <f>IF(may[[#This Row],[ShiftCounter]]&gt;0, "Running", "Down")</f>
        <v>Running</v>
      </c>
    </row>
    <row r="2192" spans="1:5" x14ac:dyDescent="0.25">
      <c r="A2192" s="10">
        <v>44704</v>
      </c>
      <c r="B2192" s="11" t="s">
        <v>21</v>
      </c>
      <c r="C2192">
        <v>1792</v>
      </c>
      <c r="D2192" t="s">
        <v>8</v>
      </c>
      <c r="E2192" t="str">
        <f>IF(may[[#This Row],[ShiftCounter]]&gt;0, "Running", "Down")</f>
        <v>Running</v>
      </c>
    </row>
    <row r="2193" spans="1:5" x14ac:dyDescent="0.25">
      <c r="A2193" s="10">
        <v>44704</v>
      </c>
      <c r="B2193" s="11" t="s">
        <v>22</v>
      </c>
      <c r="C2193">
        <v>2053</v>
      </c>
      <c r="D2193" t="s">
        <v>6</v>
      </c>
      <c r="E2193" t="str">
        <f>IF(may[[#This Row],[ShiftCounter]]&gt;0, "Running", "Down")</f>
        <v>Running</v>
      </c>
    </row>
    <row r="2194" spans="1:5" x14ac:dyDescent="0.25">
      <c r="A2194" s="10">
        <v>44704</v>
      </c>
      <c r="B2194" s="11" t="s">
        <v>22</v>
      </c>
      <c r="C2194">
        <v>2283</v>
      </c>
      <c r="D2194" t="s">
        <v>7</v>
      </c>
      <c r="E2194" t="str">
        <f>IF(may[[#This Row],[ShiftCounter]]&gt;0, "Running", "Down")</f>
        <v>Running</v>
      </c>
    </row>
    <row r="2195" spans="1:5" x14ac:dyDescent="0.25">
      <c r="A2195" s="10">
        <v>44704</v>
      </c>
      <c r="B2195" s="11" t="s">
        <v>22</v>
      </c>
      <c r="C2195">
        <v>2021</v>
      </c>
      <c r="D2195" t="s">
        <v>8</v>
      </c>
      <c r="E2195" t="str">
        <f>IF(may[[#This Row],[ShiftCounter]]&gt;0, "Running", "Down")</f>
        <v>Running</v>
      </c>
    </row>
    <row r="2196" spans="1:5" x14ac:dyDescent="0.25">
      <c r="A2196" s="10">
        <v>44704</v>
      </c>
      <c r="B2196" s="11" t="s">
        <v>23</v>
      </c>
      <c r="C2196">
        <v>1811</v>
      </c>
      <c r="D2196" t="s">
        <v>6</v>
      </c>
      <c r="E2196" t="str">
        <f>IF(may[[#This Row],[ShiftCounter]]&gt;0, "Running", "Down")</f>
        <v>Running</v>
      </c>
    </row>
    <row r="2197" spans="1:5" x14ac:dyDescent="0.25">
      <c r="A2197" s="10">
        <v>44704</v>
      </c>
      <c r="B2197" s="11" t="s">
        <v>23</v>
      </c>
      <c r="C2197">
        <v>2385</v>
      </c>
      <c r="D2197" t="s">
        <v>7</v>
      </c>
      <c r="E2197" t="str">
        <f>IF(may[[#This Row],[ShiftCounter]]&gt;0, "Running", "Down")</f>
        <v>Running</v>
      </c>
    </row>
    <row r="2198" spans="1:5" x14ac:dyDescent="0.25">
      <c r="A2198" s="10">
        <v>44704</v>
      </c>
      <c r="B2198" s="11" t="s">
        <v>23</v>
      </c>
      <c r="C2198">
        <v>2085</v>
      </c>
      <c r="D2198" t="s">
        <v>8</v>
      </c>
      <c r="E2198" t="str">
        <f>IF(may[[#This Row],[ShiftCounter]]&gt;0, "Running", "Down")</f>
        <v>Running</v>
      </c>
    </row>
    <row r="2199" spans="1:5" x14ac:dyDescent="0.25">
      <c r="A2199" s="10">
        <v>44704</v>
      </c>
      <c r="B2199" s="11" t="s">
        <v>24</v>
      </c>
      <c r="C2199">
        <v>1954</v>
      </c>
      <c r="D2199" t="s">
        <v>6</v>
      </c>
      <c r="E2199" t="str">
        <f>IF(may[[#This Row],[ShiftCounter]]&gt;0, "Running", "Down")</f>
        <v>Running</v>
      </c>
    </row>
    <row r="2200" spans="1:5" x14ac:dyDescent="0.25">
      <c r="A2200" s="10">
        <v>44704</v>
      </c>
      <c r="B2200" s="11" t="s">
        <v>24</v>
      </c>
      <c r="C2200">
        <v>2080</v>
      </c>
      <c r="D2200" t="s">
        <v>7</v>
      </c>
      <c r="E2200" t="str">
        <f>IF(may[[#This Row],[ShiftCounter]]&gt;0, "Running", "Down")</f>
        <v>Running</v>
      </c>
    </row>
    <row r="2201" spans="1:5" x14ac:dyDescent="0.25">
      <c r="A2201" s="10">
        <v>44704</v>
      </c>
      <c r="B2201" s="11" t="s">
        <v>24</v>
      </c>
      <c r="C2201">
        <v>1939</v>
      </c>
      <c r="D2201" t="s">
        <v>8</v>
      </c>
      <c r="E2201" t="str">
        <f>IF(may[[#This Row],[ShiftCounter]]&gt;0, "Running", "Down")</f>
        <v>Running</v>
      </c>
    </row>
    <row r="2202" spans="1:5" x14ac:dyDescent="0.25">
      <c r="A2202" s="10">
        <v>44704</v>
      </c>
      <c r="B2202" s="11" t="s">
        <v>25</v>
      </c>
      <c r="C2202">
        <v>2235</v>
      </c>
      <c r="D2202" t="s">
        <v>6</v>
      </c>
      <c r="E2202" t="str">
        <f>IF(may[[#This Row],[ShiftCounter]]&gt;0, "Running", "Down")</f>
        <v>Running</v>
      </c>
    </row>
    <row r="2203" spans="1:5" x14ac:dyDescent="0.25">
      <c r="A2203" s="10">
        <v>44704</v>
      </c>
      <c r="B2203" s="11" t="s">
        <v>25</v>
      </c>
      <c r="C2203">
        <v>2214</v>
      </c>
      <c r="D2203" t="s">
        <v>7</v>
      </c>
      <c r="E2203" t="str">
        <f>IF(may[[#This Row],[ShiftCounter]]&gt;0, "Running", "Down")</f>
        <v>Running</v>
      </c>
    </row>
    <row r="2204" spans="1:5" x14ac:dyDescent="0.25">
      <c r="A2204" s="10">
        <v>44704</v>
      </c>
      <c r="B2204" s="11" t="s">
        <v>25</v>
      </c>
      <c r="C2204">
        <v>1959</v>
      </c>
      <c r="D2204" t="s">
        <v>8</v>
      </c>
      <c r="E2204" t="str">
        <f>IF(may[[#This Row],[ShiftCounter]]&gt;0, "Running", "Down")</f>
        <v>Running</v>
      </c>
    </row>
    <row r="2205" spans="1:5" x14ac:dyDescent="0.25">
      <c r="A2205" s="10">
        <v>44704</v>
      </c>
      <c r="B2205" s="11" t="s">
        <v>26</v>
      </c>
      <c r="C2205">
        <v>2172</v>
      </c>
      <c r="D2205" t="s">
        <v>6</v>
      </c>
      <c r="E2205" t="str">
        <f>IF(may[[#This Row],[ShiftCounter]]&gt;0, "Running", "Down")</f>
        <v>Running</v>
      </c>
    </row>
    <row r="2206" spans="1:5" x14ac:dyDescent="0.25">
      <c r="A2206" s="10">
        <v>44704</v>
      </c>
      <c r="B2206" s="11" t="s">
        <v>26</v>
      </c>
      <c r="C2206">
        <v>2092</v>
      </c>
      <c r="D2206" t="s">
        <v>7</v>
      </c>
      <c r="E2206" t="str">
        <f>IF(may[[#This Row],[ShiftCounter]]&gt;0, "Running", "Down")</f>
        <v>Running</v>
      </c>
    </row>
    <row r="2207" spans="1:5" x14ac:dyDescent="0.25">
      <c r="A2207" s="10">
        <v>44704</v>
      </c>
      <c r="B2207" s="11" t="s">
        <v>26</v>
      </c>
      <c r="C2207">
        <v>1917</v>
      </c>
      <c r="D2207" t="s">
        <v>8</v>
      </c>
      <c r="E2207" t="str">
        <f>IF(may[[#This Row],[ShiftCounter]]&gt;0, "Running", "Down")</f>
        <v>Running</v>
      </c>
    </row>
    <row r="2208" spans="1:5" x14ac:dyDescent="0.25">
      <c r="A2208" s="10">
        <v>44704</v>
      </c>
      <c r="B2208" s="11" t="s">
        <v>27</v>
      </c>
      <c r="C2208">
        <v>2280</v>
      </c>
      <c r="D2208" t="s">
        <v>6</v>
      </c>
      <c r="E2208" t="str">
        <f>IF(may[[#This Row],[ShiftCounter]]&gt;0, "Running", "Down")</f>
        <v>Running</v>
      </c>
    </row>
    <row r="2209" spans="1:5" x14ac:dyDescent="0.25">
      <c r="A2209" s="10">
        <v>44704</v>
      </c>
      <c r="B2209" s="11" t="s">
        <v>27</v>
      </c>
      <c r="C2209">
        <v>2249</v>
      </c>
      <c r="D2209" t="s">
        <v>7</v>
      </c>
      <c r="E2209" t="str">
        <f>IF(may[[#This Row],[ShiftCounter]]&gt;0, "Running", "Down")</f>
        <v>Running</v>
      </c>
    </row>
    <row r="2210" spans="1:5" x14ac:dyDescent="0.25">
      <c r="A2210" s="10">
        <v>44704</v>
      </c>
      <c r="B2210" s="11" t="s">
        <v>27</v>
      </c>
      <c r="C2210">
        <v>2028</v>
      </c>
      <c r="D2210" t="s">
        <v>8</v>
      </c>
      <c r="E2210" t="str">
        <f>IF(may[[#This Row],[ShiftCounter]]&gt;0, "Running", "Down")</f>
        <v>Running</v>
      </c>
    </row>
    <row r="2211" spans="1:5" x14ac:dyDescent="0.25">
      <c r="A2211" s="10">
        <v>44704</v>
      </c>
      <c r="B2211" s="11" t="s">
        <v>28</v>
      </c>
      <c r="C2211">
        <v>2226</v>
      </c>
      <c r="D2211" t="s">
        <v>6</v>
      </c>
      <c r="E2211" t="str">
        <f>IF(may[[#This Row],[ShiftCounter]]&gt;0, "Running", "Down")</f>
        <v>Running</v>
      </c>
    </row>
    <row r="2212" spans="1:5" x14ac:dyDescent="0.25">
      <c r="A2212" s="10">
        <v>44704</v>
      </c>
      <c r="B2212" s="11" t="s">
        <v>28</v>
      </c>
      <c r="C2212">
        <v>2125</v>
      </c>
      <c r="D2212" t="s">
        <v>7</v>
      </c>
      <c r="E2212" t="str">
        <f>IF(may[[#This Row],[ShiftCounter]]&gt;0, "Running", "Down")</f>
        <v>Running</v>
      </c>
    </row>
    <row r="2213" spans="1:5" x14ac:dyDescent="0.25">
      <c r="A2213" s="10">
        <v>44704</v>
      </c>
      <c r="B2213" s="11" t="s">
        <v>28</v>
      </c>
      <c r="C2213">
        <v>1957</v>
      </c>
      <c r="D2213" t="s">
        <v>8</v>
      </c>
      <c r="E2213" t="str">
        <f>IF(may[[#This Row],[ShiftCounter]]&gt;0, "Running", "Down")</f>
        <v>Running</v>
      </c>
    </row>
    <row r="2214" spans="1:5" x14ac:dyDescent="0.25">
      <c r="A2214" s="10">
        <v>44704</v>
      </c>
      <c r="B2214" s="11" t="s">
        <v>29</v>
      </c>
      <c r="C2214">
        <v>2048</v>
      </c>
      <c r="D2214" t="s">
        <v>6</v>
      </c>
      <c r="E2214" t="str">
        <f>IF(may[[#This Row],[ShiftCounter]]&gt;0, "Running", "Down")</f>
        <v>Running</v>
      </c>
    </row>
    <row r="2215" spans="1:5" x14ac:dyDescent="0.25">
      <c r="A2215" s="10">
        <v>44704</v>
      </c>
      <c r="B2215" s="11" t="s">
        <v>29</v>
      </c>
      <c r="C2215">
        <v>1962</v>
      </c>
      <c r="D2215" t="s">
        <v>7</v>
      </c>
      <c r="E2215" t="str">
        <f>IF(may[[#This Row],[ShiftCounter]]&gt;0, "Running", "Down")</f>
        <v>Running</v>
      </c>
    </row>
    <row r="2216" spans="1:5" x14ac:dyDescent="0.25">
      <c r="A2216" s="10">
        <v>44704</v>
      </c>
      <c r="B2216" s="11" t="s">
        <v>29</v>
      </c>
      <c r="C2216">
        <v>1801</v>
      </c>
      <c r="D2216" t="s">
        <v>8</v>
      </c>
      <c r="E2216" t="str">
        <f>IF(may[[#This Row],[ShiftCounter]]&gt;0, "Running", "Down")</f>
        <v>Running</v>
      </c>
    </row>
    <row r="2217" spans="1:5" x14ac:dyDescent="0.25">
      <c r="A2217" s="10">
        <v>44704</v>
      </c>
      <c r="B2217" s="11" t="s">
        <v>30</v>
      </c>
      <c r="C2217">
        <v>2302</v>
      </c>
      <c r="D2217" t="s">
        <v>6</v>
      </c>
      <c r="E2217" t="str">
        <f>IF(may[[#This Row],[ShiftCounter]]&gt;0, "Running", "Down")</f>
        <v>Running</v>
      </c>
    </row>
    <row r="2218" spans="1:5" x14ac:dyDescent="0.25">
      <c r="A2218" s="10">
        <v>44704</v>
      </c>
      <c r="B2218" s="11" t="s">
        <v>30</v>
      </c>
      <c r="C2218">
        <v>2157</v>
      </c>
      <c r="D2218" t="s">
        <v>7</v>
      </c>
      <c r="E2218" t="str">
        <f>IF(may[[#This Row],[ShiftCounter]]&gt;0, "Running", "Down")</f>
        <v>Running</v>
      </c>
    </row>
    <row r="2219" spans="1:5" x14ac:dyDescent="0.25">
      <c r="A2219" s="10">
        <v>44704</v>
      </c>
      <c r="B2219" s="11" t="s">
        <v>30</v>
      </c>
      <c r="C2219">
        <v>1957</v>
      </c>
      <c r="D2219" t="s">
        <v>8</v>
      </c>
      <c r="E2219" t="str">
        <f>IF(may[[#This Row],[ShiftCounter]]&gt;0, "Running", "Down")</f>
        <v>Running</v>
      </c>
    </row>
    <row r="2220" spans="1:5" x14ac:dyDescent="0.25">
      <c r="A2220" s="10">
        <v>44704</v>
      </c>
      <c r="B2220" s="11" t="s">
        <v>31</v>
      </c>
      <c r="C2220">
        <v>2223</v>
      </c>
      <c r="D2220" t="s">
        <v>6</v>
      </c>
      <c r="E2220" t="str">
        <f>IF(may[[#This Row],[ShiftCounter]]&gt;0, "Running", "Down")</f>
        <v>Running</v>
      </c>
    </row>
    <row r="2221" spans="1:5" x14ac:dyDescent="0.25">
      <c r="A2221" s="10">
        <v>44704</v>
      </c>
      <c r="B2221" s="11" t="s">
        <v>31</v>
      </c>
      <c r="C2221">
        <v>2133</v>
      </c>
      <c r="D2221" t="s">
        <v>7</v>
      </c>
      <c r="E2221" t="str">
        <f>IF(may[[#This Row],[ShiftCounter]]&gt;0, "Running", "Down")</f>
        <v>Running</v>
      </c>
    </row>
    <row r="2222" spans="1:5" x14ac:dyDescent="0.25">
      <c r="A2222" s="10">
        <v>44704</v>
      </c>
      <c r="B2222" s="11" t="s">
        <v>31</v>
      </c>
      <c r="C2222">
        <v>1925</v>
      </c>
      <c r="D2222" t="s">
        <v>8</v>
      </c>
      <c r="E2222" t="str">
        <f>IF(may[[#This Row],[ShiftCounter]]&gt;0, "Running", "Down")</f>
        <v>Running</v>
      </c>
    </row>
    <row r="2223" spans="1:5" x14ac:dyDescent="0.25">
      <c r="A2223" s="10">
        <v>44704</v>
      </c>
      <c r="B2223" s="11" t="s">
        <v>32</v>
      </c>
      <c r="C2223">
        <v>2309</v>
      </c>
      <c r="D2223" t="s">
        <v>6</v>
      </c>
      <c r="E2223" t="str">
        <f>IF(may[[#This Row],[ShiftCounter]]&gt;0, "Running", "Down")</f>
        <v>Running</v>
      </c>
    </row>
    <row r="2224" spans="1:5" x14ac:dyDescent="0.25">
      <c r="A2224" s="10">
        <v>44704</v>
      </c>
      <c r="B2224" s="11" t="s">
        <v>32</v>
      </c>
      <c r="C2224">
        <v>2259</v>
      </c>
      <c r="D2224" t="s">
        <v>7</v>
      </c>
      <c r="E2224" t="str">
        <f>IF(may[[#This Row],[ShiftCounter]]&gt;0, "Running", "Down")</f>
        <v>Running</v>
      </c>
    </row>
    <row r="2225" spans="1:5" x14ac:dyDescent="0.25">
      <c r="A2225" s="10">
        <v>44704</v>
      </c>
      <c r="B2225" s="11" t="s">
        <v>32</v>
      </c>
      <c r="C2225">
        <v>1978</v>
      </c>
      <c r="D2225" t="s">
        <v>8</v>
      </c>
      <c r="E2225" t="str">
        <f>IF(may[[#This Row],[ShiftCounter]]&gt;0, "Running", "Down")</f>
        <v>Running</v>
      </c>
    </row>
    <row r="2226" spans="1:5" x14ac:dyDescent="0.25">
      <c r="A2226" s="10">
        <v>44704</v>
      </c>
      <c r="B2226" s="11" t="s">
        <v>33</v>
      </c>
      <c r="C2226">
        <v>2321</v>
      </c>
      <c r="D2226" t="s">
        <v>6</v>
      </c>
      <c r="E2226" t="str">
        <f>IF(may[[#This Row],[ShiftCounter]]&gt;0, "Running", "Down")</f>
        <v>Running</v>
      </c>
    </row>
    <row r="2227" spans="1:5" x14ac:dyDescent="0.25">
      <c r="A2227" s="10">
        <v>44704</v>
      </c>
      <c r="B2227" s="11" t="s">
        <v>33</v>
      </c>
      <c r="C2227">
        <v>2470</v>
      </c>
      <c r="D2227" t="s">
        <v>7</v>
      </c>
      <c r="E2227" t="str">
        <f>IF(may[[#This Row],[ShiftCounter]]&gt;0, "Running", "Down")</f>
        <v>Running</v>
      </c>
    </row>
    <row r="2228" spans="1:5" x14ac:dyDescent="0.25">
      <c r="A2228" s="10">
        <v>44704</v>
      </c>
      <c r="B2228" s="11" t="s">
        <v>33</v>
      </c>
      <c r="C2228">
        <v>2202</v>
      </c>
      <c r="D2228" t="s">
        <v>8</v>
      </c>
      <c r="E2228" t="str">
        <f>IF(may[[#This Row],[ShiftCounter]]&gt;0, "Running", "Down")</f>
        <v>Running</v>
      </c>
    </row>
    <row r="2229" spans="1:5" x14ac:dyDescent="0.25">
      <c r="A2229" s="10">
        <v>44704</v>
      </c>
      <c r="B2229" s="11" t="s">
        <v>34</v>
      </c>
      <c r="C2229">
        <v>2055</v>
      </c>
      <c r="D2229" t="s">
        <v>6</v>
      </c>
      <c r="E2229" t="str">
        <f>IF(may[[#This Row],[ShiftCounter]]&gt;0, "Running", "Down")</f>
        <v>Running</v>
      </c>
    </row>
    <row r="2230" spans="1:5" x14ac:dyDescent="0.25">
      <c r="A2230" s="10">
        <v>44704</v>
      </c>
      <c r="B2230" s="11" t="s">
        <v>34</v>
      </c>
      <c r="C2230">
        <v>2038</v>
      </c>
      <c r="D2230" t="s">
        <v>7</v>
      </c>
      <c r="E2230" t="str">
        <f>IF(may[[#This Row],[ShiftCounter]]&gt;0, "Running", "Down")</f>
        <v>Running</v>
      </c>
    </row>
    <row r="2231" spans="1:5" x14ac:dyDescent="0.25">
      <c r="A2231" s="10">
        <v>44704</v>
      </c>
      <c r="B2231" s="11" t="s">
        <v>34</v>
      </c>
      <c r="C2231">
        <v>1808</v>
      </c>
      <c r="D2231" t="s">
        <v>8</v>
      </c>
      <c r="E2231" t="str">
        <f>IF(may[[#This Row],[ShiftCounter]]&gt;0, "Running", "Down")</f>
        <v>Running</v>
      </c>
    </row>
    <row r="2232" spans="1:5" x14ac:dyDescent="0.25">
      <c r="A2232" s="10">
        <v>44704</v>
      </c>
      <c r="B2232" s="11" t="s">
        <v>36</v>
      </c>
      <c r="C2232">
        <v>1890</v>
      </c>
      <c r="D2232" t="s">
        <v>6</v>
      </c>
      <c r="E2232" t="str">
        <f>IF(may[[#This Row],[ShiftCounter]]&gt;0, "Running", "Down")</f>
        <v>Running</v>
      </c>
    </row>
    <row r="2233" spans="1:5" x14ac:dyDescent="0.25">
      <c r="A2233" s="10">
        <v>44704</v>
      </c>
      <c r="B2233" s="11" t="s">
        <v>36</v>
      </c>
      <c r="C2233">
        <v>2476</v>
      </c>
      <c r="D2233" t="s">
        <v>7</v>
      </c>
      <c r="E2233" t="str">
        <f>IF(may[[#This Row],[ShiftCounter]]&gt;0, "Running", "Down")</f>
        <v>Running</v>
      </c>
    </row>
    <row r="2234" spans="1:5" x14ac:dyDescent="0.25">
      <c r="A2234" s="10">
        <v>44704</v>
      </c>
      <c r="B2234" s="11" t="s">
        <v>36</v>
      </c>
      <c r="C2234">
        <v>2194</v>
      </c>
      <c r="D2234" t="s">
        <v>8</v>
      </c>
      <c r="E2234" t="str">
        <f>IF(may[[#This Row],[ShiftCounter]]&gt;0, "Running", "Down")</f>
        <v>Running</v>
      </c>
    </row>
    <row r="2235" spans="1:5" x14ac:dyDescent="0.25">
      <c r="A2235" s="10">
        <v>44705</v>
      </c>
      <c r="B2235" s="11" t="s">
        <v>40</v>
      </c>
      <c r="C2235">
        <v>2355</v>
      </c>
      <c r="D2235" t="s">
        <v>6</v>
      </c>
      <c r="E2235" t="str">
        <f>IF(may[[#This Row],[ShiftCounter]]&gt;0, "Running", "Down")</f>
        <v>Running</v>
      </c>
    </row>
    <row r="2236" spans="1:5" x14ac:dyDescent="0.25">
      <c r="A2236" s="10">
        <v>44705</v>
      </c>
      <c r="B2236" s="11" t="s">
        <v>40</v>
      </c>
      <c r="C2236">
        <v>2216</v>
      </c>
      <c r="D2236" t="s">
        <v>7</v>
      </c>
      <c r="E2236" t="str">
        <f>IF(may[[#This Row],[ShiftCounter]]&gt;0, "Running", "Down")</f>
        <v>Running</v>
      </c>
    </row>
    <row r="2237" spans="1:5" x14ac:dyDescent="0.25">
      <c r="A2237" s="10">
        <v>44705</v>
      </c>
      <c r="B2237" s="11" t="s">
        <v>40</v>
      </c>
      <c r="C2237">
        <v>2086</v>
      </c>
      <c r="D2237" t="s">
        <v>8</v>
      </c>
      <c r="E2237" t="str">
        <f>IF(may[[#This Row],[ShiftCounter]]&gt;0, "Running", "Down")</f>
        <v>Running</v>
      </c>
    </row>
    <row r="2238" spans="1:5" x14ac:dyDescent="0.25">
      <c r="A2238" s="10">
        <v>44705</v>
      </c>
      <c r="B2238" s="11" t="s">
        <v>39</v>
      </c>
      <c r="C2238">
        <v>2078</v>
      </c>
      <c r="D2238" t="s">
        <v>6</v>
      </c>
      <c r="E2238" t="str">
        <f>IF(may[[#This Row],[ShiftCounter]]&gt;0, "Running", "Down")</f>
        <v>Running</v>
      </c>
    </row>
    <row r="2239" spans="1:5" x14ac:dyDescent="0.25">
      <c r="A2239" s="10">
        <v>44705</v>
      </c>
      <c r="B2239" s="11" t="s">
        <v>39</v>
      </c>
      <c r="C2239">
        <v>2009</v>
      </c>
      <c r="D2239" t="s">
        <v>7</v>
      </c>
      <c r="E2239" t="str">
        <f>IF(may[[#This Row],[ShiftCounter]]&gt;0, "Running", "Down")</f>
        <v>Running</v>
      </c>
    </row>
    <row r="2240" spans="1:5" x14ac:dyDescent="0.25">
      <c r="A2240" s="10">
        <v>44705</v>
      </c>
      <c r="B2240" s="11" t="s">
        <v>39</v>
      </c>
      <c r="C2240">
        <v>1848</v>
      </c>
      <c r="D2240" t="s">
        <v>8</v>
      </c>
      <c r="E2240" t="str">
        <f>IF(may[[#This Row],[ShiftCounter]]&gt;0, "Running", "Down")</f>
        <v>Running</v>
      </c>
    </row>
    <row r="2241" spans="1:5" x14ac:dyDescent="0.25">
      <c r="A2241" s="10">
        <v>44705</v>
      </c>
      <c r="B2241" s="11" t="s">
        <v>41</v>
      </c>
      <c r="C2241">
        <v>2362</v>
      </c>
      <c r="D2241" t="s">
        <v>6</v>
      </c>
      <c r="E2241" t="str">
        <f>IF(may[[#This Row],[ShiftCounter]]&gt;0, "Running", "Down")</f>
        <v>Running</v>
      </c>
    </row>
    <row r="2242" spans="1:5" x14ac:dyDescent="0.25">
      <c r="A2242" s="10">
        <v>44705</v>
      </c>
      <c r="B2242" s="11" t="s">
        <v>41</v>
      </c>
      <c r="C2242">
        <v>2248</v>
      </c>
      <c r="D2242" t="s">
        <v>7</v>
      </c>
      <c r="E2242" t="str">
        <f>IF(may[[#This Row],[ShiftCounter]]&gt;0, "Running", "Down")</f>
        <v>Running</v>
      </c>
    </row>
    <row r="2243" spans="1:5" x14ac:dyDescent="0.25">
      <c r="A2243" s="10">
        <v>44705</v>
      </c>
      <c r="B2243" s="11" t="s">
        <v>41</v>
      </c>
      <c r="C2243">
        <v>2083</v>
      </c>
      <c r="D2243" t="s">
        <v>8</v>
      </c>
      <c r="E2243" t="str">
        <f>IF(may[[#This Row],[ShiftCounter]]&gt;0, "Running", "Down")</f>
        <v>Running</v>
      </c>
    </row>
    <row r="2244" spans="1:5" x14ac:dyDescent="0.25">
      <c r="A2244" s="10">
        <v>44705</v>
      </c>
      <c r="B2244" s="11" t="s">
        <v>5</v>
      </c>
      <c r="C2244">
        <v>-1</v>
      </c>
      <c r="D2244" t="s">
        <v>6</v>
      </c>
      <c r="E2244" t="str">
        <f>IF(may[[#This Row],[ShiftCounter]]&gt;0, "Running", "Down")</f>
        <v>Down</v>
      </c>
    </row>
    <row r="2245" spans="1:5" x14ac:dyDescent="0.25">
      <c r="A2245" s="10">
        <v>44705</v>
      </c>
      <c r="B2245" s="11" t="s">
        <v>5</v>
      </c>
      <c r="C2245">
        <v>2305</v>
      </c>
      <c r="D2245" t="s">
        <v>7</v>
      </c>
      <c r="E2245" t="str">
        <f>IF(may[[#This Row],[ShiftCounter]]&gt;0, "Running", "Down")</f>
        <v>Running</v>
      </c>
    </row>
    <row r="2246" spans="1:5" x14ac:dyDescent="0.25">
      <c r="A2246" s="10">
        <v>44705</v>
      </c>
      <c r="B2246" s="11" t="s">
        <v>5</v>
      </c>
      <c r="C2246">
        <v>0</v>
      </c>
      <c r="D2246" t="s">
        <v>8</v>
      </c>
      <c r="E2246" t="str">
        <f>IF(may[[#This Row],[ShiftCounter]]&gt;0, "Running", "Down")</f>
        <v>Down</v>
      </c>
    </row>
    <row r="2247" spans="1:5" x14ac:dyDescent="0.25">
      <c r="A2247" s="10">
        <v>44705</v>
      </c>
      <c r="B2247" s="11" t="s">
        <v>9</v>
      </c>
      <c r="C2247">
        <v>2311</v>
      </c>
      <c r="D2247" t="s">
        <v>6</v>
      </c>
      <c r="E2247" t="str">
        <f>IF(may[[#This Row],[ShiftCounter]]&gt;0, "Running", "Down")</f>
        <v>Running</v>
      </c>
    </row>
    <row r="2248" spans="1:5" x14ac:dyDescent="0.25">
      <c r="A2248" s="10">
        <v>44705</v>
      </c>
      <c r="B2248" s="11" t="s">
        <v>9</v>
      </c>
      <c r="C2248">
        <v>2255</v>
      </c>
      <c r="D2248" t="s">
        <v>7</v>
      </c>
      <c r="E2248" t="str">
        <f>IF(may[[#This Row],[ShiftCounter]]&gt;0, "Running", "Down")</f>
        <v>Running</v>
      </c>
    </row>
    <row r="2249" spans="1:5" x14ac:dyDescent="0.25">
      <c r="A2249" s="10">
        <v>44705</v>
      </c>
      <c r="B2249" s="11" t="s">
        <v>9</v>
      </c>
      <c r="C2249">
        <v>2111</v>
      </c>
      <c r="D2249" t="s">
        <v>8</v>
      </c>
      <c r="E2249" t="str">
        <f>IF(may[[#This Row],[ShiftCounter]]&gt;0, "Running", "Down")</f>
        <v>Running</v>
      </c>
    </row>
    <row r="2250" spans="1:5" x14ac:dyDescent="0.25">
      <c r="A2250" s="10">
        <v>44705</v>
      </c>
      <c r="B2250" s="11" t="s">
        <v>10</v>
      </c>
      <c r="C2250">
        <v>2091</v>
      </c>
      <c r="D2250" t="s">
        <v>6</v>
      </c>
      <c r="E2250" t="str">
        <f>IF(may[[#This Row],[ShiftCounter]]&gt;0, "Running", "Down")</f>
        <v>Running</v>
      </c>
    </row>
    <row r="2251" spans="1:5" x14ac:dyDescent="0.25">
      <c r="A2251" s="10">
        <v>44705</v>
      </c>
      <c r="B2251" s="11" t="s">
        <v>10</v>
      </c>
      <c r="C2251">
        <v>2263</v>
      </c>
      <c r="D2251" t="s">
        <v>7</v>
      </c>
      <c r="E2251" t="str">
        <f>IF(may[[#This Row],[ShiftCounter]]&gt;0, "Running", "Down")</f>
        <v>Running</v>
      </c>
    </row>
    <row r="2252" spans="1:5" x14ac:dyDescent="0.25">
      <c r="A2252" s="10">
        <v>44705</v>
      </c>
      <c r="B2252" s="11" t="s">
        <v>10</v>
      </c>
      <c r="C2252">
        <v>2147</v>
      </c>
      <c r="D2252" t="s">
        <v>8</v>
      </c>
      <c r="E2252" t="str">
        <f>IF(may[[#This Row],[ShiftCounter]]&gt;0, "Running", "Down")</f>
        <v>Running</v>
      </c>
    </row>
    <row r="2253" spans="1:5" x14ac:dyDescent="0.25">
      <c r="A2253" s="10">
        <v>44705</v>
      </c>
      <c r="B2253" s="11" t="s">
        <v>12</v>
      </c>
      <c r="C2253">
        <v>2159</v>
      </c>
      <c r="D2253" t="s">
        <v>6</v>
      </c>
      <c r="E2253" t="str">
        <f>IF(may[[#This Row],[ShiftCounter]]&gt;0, "Running", "Down")</f>
        <v>Running</v>
      </c>
    </row>
    <row r="2254" spans="1:5" x14ac:dyDescent="0.25">
      <c r="A2254" s="10">
        <v>44705</v>
      </c>
      <c r="B2254" s="11" t="s">
        <v>12</v>
      </c>
      <c r="C2254">
        <v>2065</v>
      </c>
      <c r="D2254" t="s">
        <v>7</v>
      </c>
      <c r="E2254" t="str">
        <f>IF(may[[#This Row],[ShiftCounter]]&gt;0, "Running", "Down")</f>
        <v>Running</v>
      </c>
    </row>
    <row r="2255" spans="1:5" x14ac:dyDescent="0.25">
      <c r="A2255" s="10">
        <v>44705</v>
      </c>
      <c r="B2255" s="11" t="s">
        <v>12</v>
      </c>
      <c r="C2255">
        <v>1931</v>
      </c>
      <c r="D2255" t="s">
        <v>8</v>
      </c>
      <c r="E2255" t="str">
        <f>IF(may[[#This Row],[ShiftCounter]]&gt;0, "Running", "Down")</f>
        <v>Running</v>
      </c>
    </row>
    <row r="2256" spans="1:5" x14ac:dyDescent="0.25">
      <c r="A2256" s="10">
        <v>44705</v>
      </c>
      <c r="B2256" s="11" t="s">
        <v>105</v>
      </c>
      <c r="C2256">
        <v>2266</v>
      </c>
      <c r="D2256" t="s">
        <v>6</v>
      </c>
      <c r="E2256" t="str">
        <f>IF(may[[#This Row],[ShiftCounter]]&gt;0, "Running", "Down")</f>
        <v>Running</v>
      </c>
    </row>
    <row r="2257" spans="1:5" x14ac:dyDescent="0.25">
      <c r="A2257" s="10">
        <v>44705</v>
      </c>
      <c r="B2257" s="11" t="s">
        <v>105</v>
      </c>
      <c r="C2257">
        <v>2166</v>
      </c>
      <c r="D2257" t="s">
        <v>7</v>
      </c>
      <c r="E2257" t="str">
        <f>IF(may[[#This Row],[ShiftCounter]]&gt;0, "Running", "Down")</f>
        <v>Running</v>
      </c>
    </row>
    <row r="2258" spans="1:5" x14ac:dyDescent="0.25">
      <c r="A2258" s="10">
        <v>44705</v>
      </c>
      <c r="B2258" s="11" t="s">
        <v>105</v>
      </c>
      <c r="C2258">
        <v>2017</v>
      </c>
      <c r="D2258" t="s">
        <v>8</v>
      </c>
      <c r="E2258" t="str">
        <f>IF(may[[#This Row],[ShiftCounter]]&gt;0, "Running", "Down")</f>
        <v>Running</v>
      </c>
    </row>
    <row r="2259" spans="1:5" x14ac:dyDescent="0.25">
      <c r="A2259" s="10">
        <v>44705</v>
      </c>
      <c r="B2259" s="11" t="s">
        <v>13</v>
      </c>
      <c r="C2259">
        <v>2187</v>
      </c>
      <c r="D2259" t="s">
        <v>6</v>
      </c>
      <c r="E2259" t="str">
        <f>IF(may[[#This Row],[ShiftCounter]]&gt;0, "Running", "Down")</f>
        <v>Running</v>
      </c>
    </row>
    <row r="2260" spans="1:5" x14ac:dyDescent="0.25">
      <c r="A2260" s="10">
        <v>44705</v>
      </c>
      <c r="B2260" s="11" t="s">
        <v>13</v>
      </c>
      <c r="C2260">
        <v>2066</v>
      </c>
      <c r="D2260" t="s">
        <v>7</v>
      </c>
      <c r="E2260" t="str">
        <f>IF(may[[#This Row],[ShiftCounter]]&gt;0, "Running", "Down")</f>
        <v>Running</v>
      </c>
    </row>
    <row r="2261" spans="1:5" x14ac:dyDescent="0.25">
      <c r="A2261" s="10">
        <v>44705</v>
      </c>
      <c r="B2261" s="11" t="s">
        <v>13</v>
      </c>
      <c r="C2261">
        <v>1781</v>
      </c>
      <c r="D2261" t="s">
        <v>8</v>
      </c>
      <c r="E2261" t="str">
        <f>IF(may[[#This Row],[ShiftCounter]]&gt;0, "Running", "Down")</f>
        <v>Running</v>
      </c>
    </row>
    <row r="2262" spans="1:5" x14ac:dyDescent="0.25">
      <c r="A2262" s="10">
        <v>44705</v>
      </c>
      <c r="B2262" s="11" t="s">
        <v>101</v>
      </c>
      <c r="C2262">
        <v>1785</v>
      </c>
      <c r="D2262" t="s">
        <v>6</v>
      </c>
      <c r="E2262" t="str">
        <f>IF(may[[#This Row],[ShiftCounter]]&gt;0, "Running", "Down")</f>
        <v>Running</v>
      </c>
    </row>
    <row r="2263" spans="1:5" x14ac:dyDescent="0.25">
      <c r="A2263" s="10">
        <v>44705</v>
      </c>
      <c r="B2263" s="11" t="s">
        <v>101</v>
      </c>
      <c r="C2263">
        <v>2101</v>
      </c>
      <c r="D2263" t="s">
        <v>7</v>
      </c>
      <c r="E2263" t="str">
        <f>IF(may[[#This Row],[ShiftCounter]]&gt;0, "Running", "Down")</f>
        <v>Running</v>
      </c>
    </row>
    <row r="2264" spans="1:5" x14ac:dyDescent="0.25">
      <c r="A2264" s="10">
        <v>44705</v>
      </c>
      <c r="B2264" s="11" t="s">
        <v>101</v>
      </c>
      <c r="C2264">
        <v>1808</v>
      </c>
      <c r="D2264" t="s">
        <v>8</v>
      </c>
      <c r="E2264" t="str">
        <f>IF(may[[#This Row],[ShiftCounter]]&gt;0, "Running", "Down")</f>
        <v>Running</v>
      </c>
    </row>
    <row r="2265" spans="1:5" x14ac:dyDescent="0.25">
      <c r="A2265" s="10">
        <v>44705</v>
      </c>
      <c r="B2265" s="11" t="s">
        <v>14</v>
      </c>
      <c r="C2265">
        <v>1898</v>
      </c>
      <c r="D2265" t="s">
        <v>6</v>
      </c>
      <c r="E2265" t="str">
        <f>IF(may[[#This Row],[ShiftCounter]]&gt;0, "Running", "Down")</f>
        <v>Running</v>
      </c>
    </row>
    <row r="2266" spans="1:5" x14ac:dyDescent="0.25">
      <c r="A2266" s="10">
        <v>44705</v>
      </c>
      <c r="B2266" s="11" t="s">
        <v>14</v>
      </c>
      <c r="C2266">
        <v>1786</v>
      </c>
      <c r="D2266" t="s">
        <v>7</v>
      </c>
      <c r="E2266" t="str">
        <f>IF(may[[#This Row],[ShiftCounter]]&gt;0, "Running", "Down")</f>
        <v>Running</v>
      </c>
    </row>
    <row r="2267" spans="1:5" x14ac:dyDescent="0.25">
      <c r="A2267" s="10">
        <v>44705</v>
      </c>
      <c r="B2267" s="11" t="s">
        <v>14</v>
      </c>
      <c r="C2267">
        <v>1544</v>
      </c>
      <c r="D2267" t="s">
        <v>8</v>
      </c>
      <c r="E2267" t="str">
        <f>IF(may[[#This Row],[ShiftCounter]]&gt;0, "Running", "Down")</f>
        <v>Running</v>
      </c>
    </row>
    <row r="2268" spans="1:5" x14ac:dyDescent="0.25">
      <c r="A2268" s="10">
        <v>44705</v>
      </c>
      <c r="B2268" s="11" t="s">
        <v>15</v>
      </c>
      <c r="C2268">
        <v>2192</v>
      </c>
      <c r="D2268" t="s">
        <v>6</v>
      </c>
      <c r="E2268" t="str">
        <f>IF(may[[#This Row],[ShiftCounter]]&gt;0, "Running", "Down")</f>
        <v>Running</v>
      </c>
    </row>
    <row r="2269" spans="1:5" x14ac:dyDescent="0.25">
      <c r="A2269" s="10">
        <v>44705</v>
      </c>
      <c r="B2269" s="11" t="s">
        <v>15</v>
      </c>
      <c r="C2269">
        <v>2071</v>
      </c>
      <c r="D2269" t="s">
        <v>7</v>
      </c>
      <c r="E2269" t="str">
        <f>IF(may[[#This Row],[ShiftCounter]]&gt;0, "Running", "Down")</f>
        <v>Running</v>
      </c>
    </row>
    <row r="2270" spans="1:5" x14ac:dyDescent="0.25">
      <c r="A2270" s="10">
        <v>44705</v>
      </c>
      <c r="B2270" s="11" t="s">
        <v>15</v>
      </c>
      <c r="C2270">
        <v>1796</v>
      </c>
      <c r="D2270" t="s">
        <v>8</v>
      </c>
      <c r="E2270" t="str">
        <f>IF(may[[#This Row],[ShiftCounter]]&gt;0, "Running", "Down")</f>
        <v>Running</v>
      </c>
    </row>
    <row r="2271" spans="1:5" x14ac:dyDescent="0.25">
      <c r="A2271" s="10">
        <v>44705</v>
      </c>
      <c r="B2271" s="11" t="s">
        <v>16</v>
      </c>
      <c r="C2271">
        <v>2281</v>
      </c>
      <c r="D2271" t="s">
        <v>6</v>
      </c>
      <c r="E2271" t="str">
        <f>IF(may[[#This Row],[ShiftCounter]]&gt;0, "Running", "Down")</f>
        <v>Running</v>
      </c>
    </row>
    <row r="2272" spans="1:5" x14ac:dyDescent="0.25">
      <c r="A2272" s="10">
        <v>44705</v>
      </c>
      <c r="B2272" s="11" t="s">
        <v>16</v>
      </c>
      <c r="C2272">
        <v>2198</v>
      </c>
      <c r="D2272" t="s">
        <v>7</v>
      </c>
      <c r="E2272" t="str">
        <f>IF(may[[#This Row],[ShiftCounter]]&gt;0, "Running", "Down")</f>
        <v>Running</v>
      </c>
    </row>
    <row r="2273" spans="1:5" x14ac:dyDescent="0.25">
      <c r="A2273" s="10">
        <v>44705</v>
      </c>
      <c r="B2273" s="11" t="s">
        <v>16</v>
      </c>
      <c r="C2273">
        <v>1889</v>
      </c>
      <c r="D2273" t="s">
        <v>8</v>
      </c>
      <c r="E2273" t="str">
        <f>IF(may[[#This Row],[ShiftCounter]]&gt;0, "Running", "Down")</f>
        <v>Running</v>
      </c>
    </row>
    <row r="2274" spans="1:5" x14ac:dyDescent="0.25">
      <c r="A2274" s="10">
        <v>44705</v>
      </c>
      <c r="B2274" s="11" t="s">
        <v>17</v>
      </c>
      <c r="C2274">
        <v>2429</v>
      </c>
      <c r="D2274" t="s">
        <v>6</v>
      </c>
      <c r="E2274" t="str">
        <f>IF(may[[#This Row],[ShiftCounter]]&gt;0, "Running", "Down")</f>
        <v>Running</v>
      </c>
    </row>
    <row r="2275" spans="1:5" x14ac:dyDescent="0.25">
      <c r="A2275" s="10">
        <v>44705</v>
      </c>
      <c r="B2275" s="11" t="s">
        <v>17</v>
      </c>
      <c r="C2275">
        <v>2336</v>
      </c>
      <c r="D2275" t="s">
        <v>7</v>
      </c>
      <c r="E2275" t="str">
        <f>IF(may[[#This Row],[ShiftCounter]]&gt;0, "Running", "Down")</f>
        <v>Running</v>
      </c>
    </row>
    <row r="2276" spans="1:5" x14ac:dyDescent="0.25">
      <c r="A2276" s="10">
        <v>44705</v>
      </c>
      <c r="B2276" s="11" t="s">
        <v>17</v>
      </c>
      <c r="C2276">
        <v>2003</v>
      </c>
      <c r="D2276" t="s">
        <v>8</v>
      </c>
      <c r="E2276" t="str">
        <f>IF(may[[#This Row],[ShiftCounter]]&gt;0, "Running", "Down")</f>
        <v>Running</v>
      </c>
    </row>
    <row r="2277" spans="1:5" x14ac:dyDescent="0.25">
      <c r="A2277" s="10">
        <v>44705</v>
      </c>
      <c r="B2277" s="11" t="s">
        <v>19</v>
      </c>
      <c r="C2277">
        <v>2143</v>
      </c>
      <c r="D2277" t="s">
        <v>6</v>
      </c>
      <c r="E2277" t="str">
        <f>IF(may[[#This Row],[ShiftCounter]]&gt;0, "Running", "Down")</f>
        <v>Running</v>
      </c>
    </row>
    <row r="2278" spans="1:5" x14ac:dyDescent="0.25">
      <c r="A2278" s="10">
        <v>44705</v>
      </c>
      <c r="B2278" s="11" t="s">
        <v>19</v>
      </c>
      <c r="C2278">
        <v>1983</v>
      </c>
      <c r="D2278" t="s">
        <v>7</v>
      </c>
      <c r="E2278" t="str">
        <f>IF(may[[#This Row],[ShiftCounter]]&gt;0, "Running", "Down")</f>
        <v>Running</v>
      </c>
    </row>
    <row r="2279" spans="1:5" x14ac:dyDescent="0.25">
      <c r="A2279" s="10">
        <v>44705</v>
      </c>
      <c r="B2279" s="11" t="s">
        <v>19</v>
      </c>
      <c r="C2279">
        <v>1763</v>
      </c>
      <c r="D2279" t="s">
        <v>8</v>
      </c>
      <c r="E2279" t="str">
        <f>IF(may[[#This Row],[ShiftCounter]]&gt;0, "Running", "Down")</f>
        <v>Running</v>
      </c>
    </row>
    <row r="2280" spans="1:5" x14ac:dyDescent="0.25">
      <c r="A2280" s="10">
        <v>44705</v>
      </c>
      <c r="B2280" s="11" t="s">
        <v>18</v>
      </c>
      <c r="C2280">
        <v>2360</v>
      </c>
      <c r="D2280" t="s">
        <v>6</v>
      </c>
      <c r="E2280" t="str">
        <f>IF(may[[#This Row],[ShiftCounter]]&gt;0, "Running", "Down")</f>
        <v>Running</v>
      </c>
    </row>
    <row r="2281" spans="1:5" x14ac:dyDescent="0.25">
      <c r="A2281" s="10">
        <v>44705</v>
      </c>
      <c r="B2281" s="11" t="s">
        <v>18</v>
      </c>
      <c r="C2281">
        <v>2182</v>
      </c>
      <c r="D2281" t="s">
        <v>7</v>
      </c>
      <c r="E2281" t="str">
        <f>IF(may[[#This Row],[ShiftCounter]]&gt;0, "Running", "Down")</f>
        <v>Running</v>
      </c>
    </row>
    <row r="2282" spans="1:5" x14ac:dyDescent="0.25">
      <c r="A2282" s="10">
        <v>44705</v>
      </c>
      <c r="B2282" s="11" t="s">
        <v>18</v>
      </c>
      <c r="C2282">
        <v>2063</v>
      </c>
      <c r="D2282" t="s">
        <v>8</v>
      </c>
      <c r="E2282" t="str">
        <f>IF(may[[#This Row],[ShiftCounter]]&gt;0, "Running", "Down")</f>
        <v>Running</v>
      </c>
    </row>
    <row r="2283" spans="1:5" x14ac:dyDescent="0.25">
      <c r="A2283" s="10">
        <v>44705</v>
      </c>
      <c r="B2283" s="11" t="s">
        <v>20</v>
      </c>
      <c r="C2283">
        <v>1477</v>
      </c>
      <c r="D2283" t="s">
        <v>6</v>
      </c>
      <c r="E2283" t="str">
        <f>IF(may[[#This Row],[ShiftCounter]]&gt;0, "Running", "Down")</f>
        <v>Running</v>
      </c>
    </row>
    <row r="2284" spans="1:5" x14ac:dyDescent="0.25">
      <c r="A2284" s="10">
        <v>44705</v>
      </c>
      <c r="B2284" s="11" t="s">
        <v>20</v>
      </c>
      <c r="C2284">
        <v>2252</v>
      </c>
      <c r="D2284" t="s">
        <v>7</v>
      </c>
      <c r="E2284" t="str">
        <f>IF(may[[#This Row],[ShiftCounter]]&gt;0, "Running", "Down")</f>
        <v>Running</v>
      </c>
    </row>
    <row r="2285" spans="1:5" x14ac:dyDescent="0.25">
      <c r="A2285" s="10">
        <v>44705</v>
      </c>
      <c r="B2285" s="11" t="s">
        <v>20</v>
      </c>
      <c r="C2285">
        <v>2002</v>
      </c>
      <c r="D2285" t="s">
        <v>8</v>
      </c>
      <c r="E2285" t="str">
        <f>IF(may[[#This Row],[ShiftCounter]]&gt;0, "Running", "Down")</f>
        <v>Running</v>
      </c>
    </row>
    <row r="2286" spans="1:5" x14ac:dyDescent="0.25">
      <c r="A2286" s="10">
        <v>44705</v>
      </c>
      <c r="B2286" s="11" t="s">
        <v>21</v>
      </c>
      <c r="C2286">
        <v>1014</v>
      </c>
      <c r="D2286" t="s">
        <v>6</v>
      </c>
      <c r="E2286" t="str">
        <f>IF(may[[#This Row],[ShiftCounter]]&gt;0, "Running", "Down")</f>
        <v>Running</v>
      </c>
    </row>
    <row r="2287" spans="1:5" x14ac:dyDescent="0.25">
      <c r="A2287" s="10">
        <v>44705</v>
      </c>
      <c r="B2287" s="11" t="s">
        <v>21</v>
      </c>
      <c r="C2287">
        <v>2034</v>
      </c>
      <c r="D2287" t="s">
        <v>7</v>
      </c>
      <c r="E2287" t="str">
        <f>IF(may[[#This Row],[ShiftCounter]]&gt;0, "Running", "Down")</f>
        <v>Running</v>
      </c>
    </row>
    <row r="2288" spans="1:5" x14ac:dyDescent="0.25">
      <c r="A2288" s="10">
        <v>44705</v>
      </c>
      <c r="B2288" s="11" t="s">
        <v>21</v>
      </c>
      <c r="C2288">
        <v>1782</v>
      </c>
      <c r="D2288" t="s">
        <v>8</v>
      </c>
      <c r="E2288" t="str">
        <f>IF(may[[#This Row],[ShiftCounter]]&gt;0, "Running", "Down")</f>
        <v>Running</v>
      </c>
    </row>
    <row r="2289" spans="1:5" x14ac:dyDescent="0.25">
      <c r="A2289" s="10">
        <v>44705</v>
      </c>
      <c r="B2289" s="11" t="s">
        <v>22</v>
      </c>
      <c r="C2289">
        <v>660</v>
      </c>
      <c r="D2289" t="s">
        <v>6</v>
      </c>
      <c r="E2289" t="str">
        <f>IF(may[[#This Row],[ShiftCounter]]&gt;0, "Running", "Down")</f>
        <v>Running</v>
      </c>
    </row>
    <row r="2290" spans="1:5" x14ac:dyDescent="0.25">
      <c r="A2290" s="10">
        <v>44705</v>
      </c>
      <c r="B2290" s="11" t="s">
        <v>22</v>
      </c>
      <c r="C2290">
        <v>0</v>
      </c>
      <c r="D2290" t="s">
        <v>7</v>
      </c>
      <c r="E2290" t="str">
        <f>IF(may[[#This Row],[ShiftCounter]]&gt;0, "Running", "Down")</f>
        <v>Down</v>
      </c>
    </row>
    <row r="2291" spans="1:5" x14ac:dyDescent="0.25">
      <c r="A2291" s="10">
        <v>44705</v>
      </c>
      <c r="B2291" s="11" t="s">
        <v>22</v>
      </c>
      <c r="C2291">
        <v>0</v>
      </c>
      <c r="D2291" t="s">
        <v>8</v>
      </c>
      <c r="E2291" t="str">
        <f>IF(may[[#This Row],[ShiftCounter]]&gt;0, "Running", "Down")</f>
        <v>Down</v>
      </c>
    </row>
    <row r="2292" spans="1:5" x14ac:dyDescent="0.25">
      <c r="A2292" s="10">
        <v>44705</v>
      </c>
      <c r="B2292" s="11" t="s">
        <v>23</v>
      </c>
      <c r="C2292">
        <v>2356</v>
      </c>
      <c r="D2292" t="s">
        <v>6</v>
      </c>
      <c r="E2292" t="str">
        <f>IF(may[[#This Row],[ShiftCounter]]&gt;0, "Running", "Down")</f>
        <v>Running</v>
      </c>
    </row>
    <row r="2293" spans="1:5" x14ac:dyDescent="0.25">
      <c r="A2293" s="10">
        <v>44705</v>
      </c>
      <c r="B2293" s="11" t="s">
        <v>23</v>
      </c>
      <c r="C2293">
        <v>2254</v>
      </c>
      <c r="D2293" t="s">
        <v>7</v>
      </c>
      <c r="E2293" t="str">
        <f>IF(may[[#This Row],[ShiftCounter]]&gt;0, "Running", "Down")</f>
        <v>Running</v>
      </c>
    </row>
    <row r="2294" spans="1:5" x14ac:dyDescent="0.25">
      <c r="A2294" s="10">
        <v>44705</v>
      </c>
      <c r="B2294" s="11" t="s">
        <v>23</v>
      </c>
      <c r="C2294">
        <v>2056</v>
      </c>
      <c r="D2294" t="s">
        <v>8</v>
      </c>
      <c r="E2294" t="str">
        <f>IF(may[[#This Row],[ShiftCounter]]&gt;0, "Running", "Down")</f>
        <v>Running</v>
      </c>
    </row>
    <row r="2295" spans="1:5" x14ac:dyDescent="0.25">
      <c r="A2295" s="10">
        <v>44705</v>
      </c>
      <c r="B2295" s="11" t="s">
        <v>24</v>
      </c>
      <c r="C2295">
        <v>2075</v>
      </c>
      <c r="D2295" t="s">
        <v>6</v>
      </c>
      <c r="E2295" t="str">
        <f>IF(may[[#This Row],[ShiftCounter]]&gt;0, "Running", "Down")</f>
        <v>Running</v>
      </c>
    </row>
    <row r="2296" spans="1:5" x14ac:dyDescent="0.25">
      <c r="A2296" s="10">
        <v>44705</v>
      </c>
      <c r="B2296" s="11" t="s">
        <v>24</v>
      </c>
      <c r="C2296">
        <v>2150</v>
      </c>
      <c r="D2296" t="s">
        <v>7</v>
      </c>
      <c r="E2296" t="str">
        <f>IF(may[[#This Row],[ShiftCounter]]&gt;0, "Running", "Down")</f>
        <v>Running</v>
      </c>
    </row>
    <row r="2297" spans="1:5" x14ac:dyDescent="0.25">
      <c r="A2297" s="10">
        <v>44705</v>
      </c>
      <c r="B2297" s="11" t="s">
        <v>24</v>
      </c>
      <c r="C2297">
        <v>1844</v>
      </c>
      <c r="D2297" t="s">
        <v>8</v>
      </c>
      <c r="E2297" t="str">
        <f>IF(may[[#This Row],[ShiftCounter]]&gt;0, "Running", "Down")</f>
        <v>Running</v>
      </c>
    </row>
    <row r="2298" spans="1:5" x14ac:dyDescent="0.25">
      <c r="A2298" s="10">
        <v>44705</v>
      </c>
      <c r="B2298" s="11" t="s">
        <v>25</v>
      </c>
      <c r="C2298">
        <v>2219</v>
      </c>
      <c r="D2298" t="s">
        <v>6</v>
      </c>
      <c r="E2298" t="str">
        <f>IF(may[[#This Row],[ShiftCounter]]&gt;0, "Running", "Down")</f>
        <v>Running</v>
      </c>
    </row>
    <row r="2299" spans="1:5" x14ac:dyDescent="0.25">
      <c r="A2299" s="10">
        <v>44705</v>
      </c>
      <c r="B2299" s="11" t="s">
        <v>25</v>
      </c>
      <c r="C2299">
        <v>2206</v>
      </c>
      <c r="D2299" t="s">
        <v>7</v>
      </c>
      <c r="E2299" t="str">
        <f>IF(may[[#This Row],[ShiftCounter]]&gt;0, "Running", "Down")</f>
        <v>Running</v>
      </c>
    </row>
    <row r="2300" spans="1:5" x14ac:dyDescent="0.25">
      <c r="A2300" s="10">
        <v>44705</v>
      </c>
      <c r="B2300" s="11" t="s">
        <v>25</v>
      </c>
      <c r="C2300">
        <v>1974</v>
      </c>
      <c r="D2300" t="s">
        <v>8</v>
      </c>
      <c r="E2300" t="str">
        <f>IF(may[[#This Row],[ShiftCounter]]&gt;0, "Running", "Down")</f>
        <v>Running</v>
      </c>
    </row>
    <row r="2301" spans="1:5" x14ac:dyDescent="0.25">
      <c r="A2301" s="10">
        <v>44705</v>
      </c>
      <c r="B2301" s="11" t="s">
        <v>26</v>
      </c>
      <c r="C2301">
        <v>2184</v>
      </c>
      <c r="D2301" t="s">
        <v>6</v>
      </c>
      <c r="E2301" t="str">
        <f>IF(may[[#This Row],[ShiftCounter]]&gt;0, "Running", "Down")</f>
        <v>Running</v>
      </c>
    </row>
    <row r="2302" spans="1:5" x14ac:dyDescent="0.25">
      <c r="A2302" s="10">
        <v>44705</v>
      </c>
      <c r="B2302" s="11" t="s">
        <v>26</v>
      </c>
      <c r="C2302">
        <v>2246</v>
      </c>
      <c r="D2302" t="s">
        <v>7</v>
      </c>
      <c r="E2302" t="str">
        <f>IF(may[[#This Row],[ShiftCounter]]&gt;0, "Running", "Down")</f>
        <v>Running</v>
      </c>
    </row>
    <row r="2303" spans="1:5" x14ac:dyDescent="0.25">
      <c r="A2303" s="10">
        <v>44705</v>
      </c>
      <c r="B2303" s="11" t="s">
        <v>26</v>
      </c>
      <c r="C2303">
        <v>1873</v>
      </c>
      <c r="D2303" t="s">
        <v>8</v>
      </c>
      <c r="E2303" t="str">
        <f>IF(may[[#This Row],[ShiftCounter]]&gt;0, "Running", "Down")</f>
        <v>Running</v>
      </c>
    </row>
    <row r="2304" spans="1:5" x14ac:dyDescent="0.25">
      <c r="A2304" s="10">
        <v>44705</v>
      </c>
      <c r="B2304" s="11" t="s">
        <v>27</v>
      </c>
      <c r="C2304">
        <v>2395</v>
      </c>
      <c r="D2304" t="s">
        <v>6</v>
      </c>
      <c r="E2304" t="str">
        <f>IF(may[[#This Row],[ShiftCounter]]&gt;0, "Running", "Down")</f>
        <v>Running</v>
      </c>
    </row>
    <row r="2305" spans="1:5" x14ac:dyDescent="0.25">
      <c r="A2305" s="10">
        <v>44705</v>
      </c>
      <c r="B2305" s="11" t="s">
        <v>27</v>
      </c>
      <c r="C2305">
        <v>2336</v>
      </c>
      <c r="D2305" t="s">
        <v>7</v>
      </c>
      <c r="E2305" t="str">
        <f>IF(may[[#This Row],[ShiftCounter]]&gt;0, "Running", "Down")</f>
        <v>Running</v>
      </c>
    </row>
    <row r="2306" spans="1:5" x14ac:dyDescent="0.25">
      <c r="A2306" s="10">
        <v>44705</v>
      </c>
      <c r="B2306" s="11" t="s">
        <v>27</v>
      </c>
      <c r="C2306">
        <v>2041</v>
      </c>
      <c r="D2306" t="s">
        <v>8</v>
      </c>
      <c r="E2306" t="str">
        <f>IF(may[[#This Row],[ShiftCounter]]&gt;0, "Running", "Down")</f>
        <v>Running</v>
      </c>
    </row>
    <row r="2307" spans="1:5" x14ac:dyDescent="0.25">
      <c r="A2307" s="10">
        <v>44705</v>
      </c>
      <c r="B2307" s="11" t="s">
        <v>28</v>
      </c>
      <c r="C2307">
        <v>2254</v>
      </c>
      <c r="D2307" t="s">
        <v>6</v>
      </c>
      <c r="E2307" t="str">
        <f>IF(may[[#This Row],[ShiftCounter]]&gt;0, "Running", "Down")</f>
        <v>Running</v>
      </c>
    </row>
    <row r="2308" spans="1:5" x14ac:dyDescent="0.25">
      <c r="A2308" s="10">
        <v>44705</v>
      </c>
      <c r="B2308" s="11" t="s">
        <v>28</v>
      </c>
      <c r="C2308">
        <v>2274</v>
      </c>
      <c r="D2308" t="s">
        <v>7</v>
      </c>
      <c r="E2308" t="str">
        <f>IF(may[[#This Row],[ShiftCounter]]&gt;0, "Running", "Down")</f>
        <v>Running</v>
      </c>
    </row>
    <row r="2309" spans="1:5" x14ac:dyDescent="0.25">
      <c r="A2309" s="10">
        <v>44705</v>
      </c>
      <c r="B2309" s="11" t="s">
        <v>28</v>
      </c>
      <c r="C2309">
        <v>1938</v>
      </c>
      <c r="D2309" t="s">
        <v>8</v>
      </c>
      <c r="E2309" t="str">
        <f>IF(may[[#This Row],[ShiftCounter]]&gt;0, "Running", "Down")</f>
        <v>Running</v>
      </c>
    </row>
    <row r="2310" spans="1:5" x14ac:dyDescent="0.25">
      <c r="A2310" s="10">
        <v>44705</v>
      </c>
      <c r="B2310" s="11" t="s">
        <v>29</v>
      </c>
      <c r="C2310">
        <v>2180</v>
      </c>
      <c r="D2310" t="s">
        <v>6</v>
      </c>
      <c r="E2310" t="str">
        <f>IF(may[[#This Row],[ShiftCounter]]&gt;0, "Running", "Down")</f>
        <v>Running</v>
      </c>
    </row>
    <row r="2311" spans="1:5" x14ac:dyDescent="0.25">
      <c r="A2311" s="10">
        <v>44705</v>
      </c>
      <c r="B2311" s="11" t="s">
        <v>29</v>
      </c>
      <c r="C2311">
        <v>2100</v>
      </c>
      <c r="D2311" t="s">
        <v>7</v>
      </c>
      <c r="E2311" t="str">
        <f>IF(may[[#This Row],[ShiftCounter]]&gt;0, "Running", "Down")</f>
        <v>Running</v>
      </c>
    </row>
    <row r="2312" spans="1:5" x14ac:dyDescent="0.25">
      <c r="A2312" s="10">
        <v>44705</v>
      </c>
      <c r="B2312" s="11" t="s">
        <v>29</v>
      </c>
      <c r="C2312">
        <v>1739</v>
      </c>
      <c r="D2312" t="s">
        <v>8</v>
      </c>
      <c r="E2312" t="str">
        <f>IF(may[[#This Row],[ShiftCounter]]&gt;0, "Running", "Down")</f>
        <v>Running</v>
      </c>
    </row>
    <row r="2313" spans="1:5" x14ac:dyDescent="0.25">
      <c r="A2313" s="10">
        <v>44705</v>
      </c>
      <c r="B2313" s="11" t="s">
        <v>30</v>
      </c>
      <c r="C2313">
        <v>2292</v>
      </c>
      <c r="D2313" t="s">
        <v>6</v>
      </c>
      <c r="E2313" t="str">
        <f>IF(may[[#This Row],[ShiftCounter]]&gt;0, "Running", "Down")</f>
        <v>Running</v>
      </c>
    </row>
    <row r="2314" spans="1:5" x14ac:dyDescent="0.25">
      <c r="A2314" s="10">
        <v>44705</v>
      </c>
      <c r="B2314" s="11" t="s">
        <v>30</v>
      </c>
      <c r="C2314">
        <v>2243</v>
      </c>
      <c r="D2314" t="s">
        <v>7</v>
      </c>
      <c r="E2314" t="str">
        <f>IF(may[[#This Row],[ShiftCounter]]&gt;0, "Running", "Down")</f>
        <v>Running</v>
      </c>
    </row>
    <row r="2315" spans="1:5" x14ac:dyDescent="0.25">
      <c r="A2315" s="10">
        <v>44705</v>
      </c>
      <c r="B2315" s="11" t="s">
        <v>30</v>
      </c>
      <c r="C2315">
        <v>2012</v>
      </c>
      <c r="D2315" t="s">
        <v>8</v>
      </c>
      <c r="E2315" t="str">
        <f>IF(may[[#This Row],[ShiftCounter]]&gt;0, "Running", "Down")</f>
        <v>Running</v>
      </c>
    </row>
    <row r="2316" spans="1:5" x14ac:dyDescent="0.25">
      <c r="A2316" s="10">
        <v>44705</v>
      </c>
      <c r="B2316" s="11" t="s">
        <v>31</v>
      </c>
      <c r="C2316">
        <v>2172</v>
      </c>
      <c r="D2316" t="s">
        <v>6</v>
      </c>
      <c r="E2316" t="str">
        <f>IF(may[[#This Row],[ShiftCounter]]&gt;0, "Running", "Down")</f>
        <v>Running</v>
      </c>
    </row>
    <row r="2317" spans="1:5" x14ac:dyDescent="0.25">
      <c r="A2317" s="10">
        <v>44705</v>
      </c>
      <c r="B2317" s="11" t="s">
        <v>31</v>
      </c>
      <c r="C2317">
        <v>2188</v>
      </c>
      <c r="D2317" t="s">
        <v>7</v>
      </c>
      <c r="E2317" t="str">
        <f>IF(may[[#This Row],[ShiftCounter]]&gt;0, "Running", "Down")</f>
        <v>Running</v>
      </c>
    </row>
    <row r="2318" spans="1:5" x14ac:dyDescent="0.25">
      <c r="A2318" s="10">
        <v>44705</v>
      </c>
      <c r="B2318" s="11" t="s">
        <v>31</v>
      </c>
      <c r="C2318">
        <v>1905</v>
      </c>
      <c r="D2318" t="s">
        <v>8</v>
      </c>
      <c r="E2318" t="str">
        <f>IF(may[[#This Row],[ShiftCounter]]&gt;0, "Running", "Down")</f>
        <v>Running</v>
      </c>
    </row>
    <row r="2319" spans="1:5" x14ac:dyDescent="0.25">
      <c r="A2319" s="10">
        <v>44705</v>
      </c>
      <c r="B2319" s="11" t="s">
        <v>32</v>
      </c>
      <c r="C2319">
        <v>2263</v>
      </c>
      <c r="D2319" t="s">
        <v>6</v>
      </c>
      <c r="E2319" t="str">
        <f>IF(may[[#This Row],[ShiftCounter]]&gt;0, "Running", "Down")</f>
        <v>Running</v>
      </c>
    </row>
    <row r="2320" spans="1:5" x14ac:dyDescent="0.25">
      <c r="A2320" s="10">
        <v>44705</v>
      </c>
      <c r="B2320" s="11" t="s">
        <v>32</v>
      </c>
      <c r="C2320">
        <v>2280</v>
      </c>
      <c r="D2320" t="s">
        <v>7</v>
      </c>
      <c r="E2320" t="str">
        <f>IF(may[[#This Row],[ShiftCounter]]&gt;0, "Running", "Down")</f>
        <v>Running</v>
      </c>
    </row>
    <row r="2321" spans="1:5" x14ac:dyDescent="0.25">
      <c r="A2321" s="10">
        <v>44705</v>
      </c>
      <c r="B2321" s="11" t="s">
        <v>32</v>
      </c>
      <c r="C2321">
        <v>2000</v>
      </c>
      <c r="D2321" t="s">
        <v>8</v>
      </c>
      <c r="E2321" t="str">
        <f>IF(may[[#This Row],[ShiftCounter]]&gt;0, "Running", "Down")</f>
        <v>Running</v>
      </c>
    </row>
    <row r="2322" spans="1:5" x14ac:dyDescent="0.25">
      <c r="A2322" s="10">
        <v>44705</v>
      </c>
      <c r="B2322" s="11" t="s">
        <v>33</v>
      </c>
      <c r="C2322">
        <v>2531</v>
      </c>
      <c r="D2322" t="s">
        <v>6</v>
      </c>
      <c r="E2322" t="str">
        <f>IF(may[[#This Row],[ShiftCounter]]&gt;0, "Running", "Down")</f>
        <v>Running</v>
      </c>
    </row>
    <row r="2323" spans="1:5" x14ac:dyDescent="0.25">
      <c r="A2323" s="10">
        <v>44705</v>
      </c>
      <c r="B2323" s="11" t="s">
        <v>33</v>
      </c>
      <c r="C2323">
        <v>2577</v>
      </c>
      <c r="D2323" t="s">
        <v>7</v>
      </c>
      <c r="E2323" t="str">
        <f>IF(may[[#This Row],[ShiftCounter]]&gt;0, "Running", "Down")</f>
        <v>Running</v>
      </c>
    </row>
    <row r="2324" spans="1:5" x14ac:dyDescent="0.25">
      <c r="A2324" s="10">
        <v>44705</v>
      </c>
      <c r="B2324" s="11" t="s">
        <v>33</v>
      </c>
      <c r="C2324">
        <v>2236</v>
      </c>
      <c r="D2324" t="s">
        <v>8</v>
      </c>
      <c r="E2324" t="str">
        <f>IF(may[[#This Row],[ShiftCounter]]&gt;0, "Running", "Down")</f>
        <v>Running</v>
      </c>
    </row>
    <row r="2325" spans="1:5" x14ac:dyDescent="0.25">
      <c r="A2325" s="10">
        <v>44705</v>
      </c>
      <c r="B2325" s="11" t="s">
        <v>34</v>
      </c>
      <c r="C2325">
        <v>2052</v>
      </c>
      <c r="D2325" t="s">
        <v>6</v>
      </c>
      <c r="E2325" t="str">
        <f>IF(may[[#This Row],[ShiftCounter]]&gt;0, "Running", "Down")</f>
        <v>Running</v>
      </c>
    </row>
    <row r="2326" spans="1:5" x14ac:dyDescent="0.25">
      <c r="A2326" s="10">
        <v>44705</v>
      </c>
      <c r="B2326" s="11" t="s">
        <v>34</v>
      </c>
      <c r="C2326">
        <v>2050</v>
      </c>
      <c r="D2326" t="s">
        <v>7</v>
      </c>
      <c r="E2326" t="str">
        <f>IF(may[[#This Row],[ShiftCounter]]&gt;0, "Running", "Down")</f>
        <v>Running</v>
      </c>
    </row>
    <row r="2327" spans="1:5" x14ac:dyDescent="0.25">
      <c r="A2327" s="10">
        <v>44705</v>
      </c>
      <c r="B2327" s="11" t="s">
        <v>34</v>
      </c>
      <c r="C2327">
        <v>1819</v>
      </c>
      <c r="D2327" t="s">
        <v>8</v>
      </c>
      <c r="E2327" t="str">
        <f>IF(may[[#This Row],[ShiftCounter]]&gt;0, "Running", "Down")</f>
        <v>Running</v>
      </c>
    </row>
    <row r="2328" spans="1:5" x14ac:dyDescent="0.25">
      <c r="A2328" s="10">
        <v>44705</v>
      </c>
      <c r="B2328" s="11" t="s">
        <v>35</v>
      </c>
      <c r="C2328">
        <v>0</v>
      </c>
      <c r="D2328" t="s">
        <v>6</v>
      </c>
      <c r="E2328" t="str">
        <f>IF(may[[#This Row],[ShiftCounter]]&gt;0, "Running", "Down")</f>
        <v>Down</v>
      </c>
    </row>
    <row r="2329" spans="1:5" x14ac:dyDescent="0.25">
      <c r="A2329" s="10">
        <v>44705</v>
      </c>
      <c r="B2329" s="11" t="s">
        <v>35</v>
      </c>
      <c r="C2329">
        <v>1956</v>
      </c>
      <c r="D2329" t="s">
        <v>7</v>
      </c>
      <c r="E2329" t="str">
        <f>IF(may[[#This Row],[ShiftCounter]]&gt;0, "Running", "Down")</f>
        <v>Running</v>
      </c>
    </row>
    <row r="2330" spans="1:5" x14ac:dyDescent="0.25">
      <c r="A2330" s="10">
        <v>44705</v>
      </c>
      <c r="B2330" s="11" t="s">
        <v>35</v>
      </c>
      <c r="C2330">
        <v>1976</v>
      </c>
      <c r="D2330" t="s">
        <v>8</v>
      </c>
      <c r="E2330" t="str">
        <f>IF(may[[#This Row],[ShiftCounter]]&gt;0, "Running", "Down")</f>
        <v>Running</v>
      </c>
    </row>
    <row r="2331" spans="1:5" x14ac:dyDescent="0.25">
      <c r="A2331" s="10">
        <v>44705</v>
      </c>
      <c r="B2331" s="11" t="s">
        <v>36</v>
      </c>
      <c r="C2331">
        <v>2312</v>
      </c>
      <c r="D2331" t="s">
        <v>6</v>
      </c>
      <c r="E2331" t="str">
        <f>IF(may[[#This Row],[ShiftCounter]]&gt;0, "Running", "Down")</f>
        <v>Running</v>
      </c>
    </row>
    <row r="2332" spans="1:5" x14ac:dyDescent="0.25">
      <c r="A2332" s="10">
        <v>44705</v>
      </c>
      <c r="B2332" s="11" t="s">
        <v>36</v>
      </c>
      <c r="C2332">
        <v>2180</v>
      </c>
      <c r="D2332" t="s">
        <v>7</v>
      </c>
      <c r="E2332" t="str">
        <f>IF(may[[#This Row],[ShiftCounter]]&gt;0, "Running", "Down")</f>
        <v>Running</v>
      </c>
    </row>
    <row r="2333" spans="1:5" x14ac:dyDescent="0.25">
      <c r="A2333" s="10">
        <v>44705</v>
      </c>
      <c r="B2333" s="11" t="s">
        <v>36</v>
      </c>
      <c r="C2333">
        <v>2225</v>
      </c>
      <c r="D2333" t="s">
        <v>8</v>
      </c>
      <c r="E2333" t="str">
        <f>IF(may[[#This Row],[ShiftCounter]]&gt;0, "Running", "Down")</f>
        <v>Running</v>
      </c>
    </row>
    <row r="2334" spans="1:5" x14ac:dyDescent="0.25">
      <c r="A2334" s="10">
        <v>44705</v>
      </c>
      <c r="B2334" s="11" t="s">
        <v>37</v>
      </c>
      <c r="C2334">
        <v>1555</v>
      </c>
      <c r="D2334" t="s">
        <v>6</v>
      </c>
      <c r="E2334" t="str">
        <f>IF(may[[#This Row],[ShiftCounter]]&gt;0, "Running", "Down")</f>
        <v>Running</v>
      </c>
    </row>
    <row r="2335" spans="1:5" x14ac:dyDescent="0.25">
      <c r="A2335" s="10">
        <v>44705</v>
      </c>
      <c r="B2335" s="11" t="s">
        <v>37</v>
      </c>
      <c r="C2335">
        <v>2310</v>
      </c>
      <c r="D2335" t="s">
        <v>7</v>
      </c>
      <c r="E2335" t="str">
        <f>IF(may[[#This Row],[ShiftCounter]]&gt;0, "Running", "Down")</f>
        <v>Running</v>
      </c>
    </row>
    <row r="2336" spans="1:5" x14ac:dyDescent="0.25">
      <c r="A2336" s="10">
        <v>44705</v>
      </c>
      <c r="B2336" s="11" t="s">
        <v>37</v>
      </c>
      <c r="C2336">
        <v>2124</v>
      </c>
      <c r="D2336" t="s">
        <v>8</v>
      </c>
      <c r="E2336" t="str">
        <f>IF(may[[#This Row],[ShiftCounter]]&gt;0, "Running", "Down")</f>
        <v>Running</v>
      </c>
    </row>
    <row r="2337" spans="1:5" x14ac:dyDescent="0.25">
      <c r="A2337" s="10">
        <v>44706</v>
      </c>
      <c r="B2337" s="11" t="s">
        <v>40</v>
      </c>
      <c r="C2337">
        <v>2086</v>
      </c>
      <c r="D2337" t="s">
        <v>6</v>
      </c>
      <c r="E2337" t="str">
        <f>IF(may[[#This Row],[ShiftCounter]]&gt;0, "Running", "Down")</f>
        <v>Running</v>
      </c>
    </row>
    <row r="2338" spans="1:5" x14ac:dyDescent="0.25">
      <c r="A2338" s="10">
        <v>44706</v>
      </c>
      <c r="B2338" s="11" t="s">
        <v>40</v>
      </c>
      <c r="C2338">
        <v>2291</v>
      </c>
      <c r="D2338" t="s">
        <v>7</v>
      </c>
      <c r="E2338" t="str">
        <f>IF(may[[#This Row],[ShiftCounter]]&gt;0, "Running", "Down")</f>
        <v>Running</v>
      </c>
    </row>
    <row r="2339" spans="1:5" x14ac:dyDescent="0.25">
      <c r="A2339" s="10">
        <v>44706</v>
      </c>
      <c r="B2339" s="11" t="s">
        <v>40</v>
      </c>
      <c r="C2339">
        <v>2113</v>
      </c>
      <c r="D2339" t="s">
        <v>8</v>
      </c>
      <c r="E2339" t="str">
        <f>IF(may[[#This Row],[ShiftCounter]]&gt;0, "Running", "Down")</f>
        <v>Running</v>
      </c>
    </row>
    <row r="2340" spans="1:5" x14ac:dyDescent="0.25">
      <c r="A2340" s="10">
        <v>44706</v>
      </c>
      <c r="B2340" s="11" t="s">
        <v>39</v>
      </c>
      <c r="C2340">
        <v>1900</v>
      </c>
      <c r="D2340" t="s">
        <v>6</v>
      </c>
      <c r="E2340" t="str">
        <f>IF(may[[#This Row],[ShiftCounter]]&gt;0, "Running", "Down")</f>
        <v>Running</v>
      </c>
    </row>
    <row r="2341" spans="1:5" x14ac:dyDescent="0.25">
      <c r="A2341" s="10">
        <v>44706</v>
      </c>
      <c r="B2341" s="11" t="s">
        <v>39</v>
      </c>
      <c r="C2341">
        <v>2096</v>
      </c>
      <c r="D2341" t="s">
        <v>7</v>
      </c>
      <c r="E2341" t="str">
        <f>IF(may[[#This Row],[ShiftCounter]]&gt;0, "Running", "Down")</f>
        <v>Running</v>
      </c>
    </row>
    <row r="2342" spans="1:5" x14ac:dyDescent="0.25">
      <c r="A2342" s="10">
        <v>44706</v>
      </c>
      <c r="B2342" s="11" t="s">
        <v>39</v>
      </c>
      <c r="C2342">
        <v>1868</v>
      </c>
      <c r="D2342" t="s">
        <v>8</v>
      </c>
      <c r="E2342" t="str">
        <f>IF(may[[#This Row],[ShiftCounter]]&gt;0, "Running", "Down")</f>
        <v>Running</v>
      </c>
    </row>
    <row r="2343" spans="1:5" x14ac:dyDescent="0.25">
      <c r="A2343" s="10">
        <v>44706</v>
      </c>
      <c r="B2343" s="11" t="s">
        <v>41</v>
      </c>
      <c r="C2343">
        <v>2209</v>
      </c>
      <c r="D2343" t="s">
        <v>6</v>
      </c>
      <c r="E2343" t="str">
        <f>IF(may[[#This Row],[ShiftCounter]]&gt;0, "Running", "Down")</f>
        <v>Running</v>
      </c>
    </row>
    <row r="2344" spans="1:5" x14ac:dyDescent="0.25">
      <c r="A2344" s="10">
        <v>44706</v>
      </c>
      <c r="B2344" s="11" t="s">
        <v>41</v>
      </c>
      <c r="C2344">
        <v>2364</v>
      </c>
      <c r="D2344" t="s">
        <v>7</v>
      </c>
      <c r="E2344" t="str">
        <f>IF(may[[#This Row],[ShiftCounter]]&gt;0, "Running", "Down")</f>
        <v>Running</v>
      </c>
    </row>
    <row r="2345" spans="1:5" x14ac:dyDescent="0.25">
      <c r="A2345" s="10">
        <v>44706</v>
      </c>
      <c r="B2345" s="11" t="s">
        <v>41</v>
      </c>
      <c r="C2345">
        <v>2108</v>
      </c>
      <c r="D2345" t="s">
        <v>8</v>
      </c>
      <c r="E2345" t="str">
        <f>IF(may[[#This Row],[ShiftCounter]]&gt;0, "Running", "Down")</f>
        <v>Running</v>
      </c>
    </row>
    <row r="2346" spans="1:5" x14ac:dyDescent="0.25">
      <c r="A2346" s="10">
        <v>44706</v>
      </c>
      <c r="B2346" s="11" t="s">
        <v>17</v>
      </c>
      <c r="C2346">
        <v>1950</v>
      </c>
      <c r="D2346" t="s">
        <v>6</v>
      </c>
      <c r="E2346" t="str">
        <f>IF(may[[#This Row],[ShiftCounter]]&gt;0, "Running", "Down")</f>
        <v>Running</v>
      </c>
    </row>
    <row r="2347" spans="1:5" x14ac:dyDescent="0.25">
      <c r="A2347" s="10">
        <v>44706</v>
      </c>
      <c r="B2347" s="11" t="s">
        <v>17</v>
      </c>
      <c r="C2347">
        <v>530</v>
      </c>
      <c r="D2347" t="s">
        <v>7</v>
      </c>
      <c r="E2347" t="str">
        <f>IF(may[[#This Row],[ShiftCounter]]&gt;0, "Running", "Down")</f>
        <v>Running</v>
      </c>
    </row>
    <row r="2348" spans="1:5" x14ac:dyDescent="0.25">
      <c r="A2348" s="10">
        <v>44706</v>
      </c>
      <c r="B2348" s="11" t="s">
        <v>17</v>
      </c>
      <c r="C2348">
        <v>0</v>
      </c>
      <c r="D2348" t="s">
        <v>8</v>
      </c>
      <c r="E2348" t="str">
        <f>IF(may[[#This Row],[ShiftCounter]]&gt;0, "Running", "Down")</f>
        <v>Down</v>
      </c>
    </row>
    <row r="2349" spans="1:5" x14ac:dyDescent="0.25">
      <c r="A2349" s="10">
        <v>44706</v>
      </c>
      <c r="B2349" s="11" t="s">
        <v>9</v>
      </c>
      <c r="C2349">
        <v>2181</v>
      </c>
      <c r="D2349" t="s">
        <v>6</v>
      </c>
      <c r="E2349" t="str">
        <f>IF(may[[#This Row],[ShiftCounter]]&gt;0, "Running", "Down")</f>
        <v>Running</v>
      </c>
    </row>
    <row r="2350" spans="1:5" x14ac:dyDescent="0.25">
      <c r="A2350" s="10">
        <v>44706</v>
      </c>
      <c r="B2350" s="11" t="s">
        <v>9</v>
      </c>
      <c r="C2350">
        <v>2367</v>
      </c>
      <c r="D2350" t="s">
        <v>7</v>
      </c>
      <c r="E2350" t="str">
        <f>IF(may[[#This Row],[ShiftCounter]]&gt;0, "Running", "Down")</f>
        <v>Running</v>
      </c>
    </row>
    <row r="2351" spans="1:5" x14ac:dyDescent="0.25">
      <c r="A2351" s="10">
        <v>44706</v>
      </c>
      <c r="B2351" s="11" t="s">
        <v>9</v>
      </c>
      <c r="C2351">
        <v>2134</v>
      </c>
      <c r="D2351" t="s">
        <v>8</v>
      </c>
      <c r="E2351" t="str">
        <f>IF(may[[#This Row],[ShiftCounter]]&gt;0, "Running", "Down")</f>
        <v>Running</v>
      </c>
    </row>
    <row r="2352" spans="1:5" x14ac:dyDescent="0.25">
      <c r="A2352" s="10">
        <v>44706</v>
      </c>
      <c r="B2352" s="11" t="s">
        <v>10</v>
      </c>
      <c r="C2352">
        <v>1413</v>
      </c>
      <c r="D2352" t="s">
        <v>6</v>
      </c>
      <c r="E2352" t="str">
        <f>IF(may[[#This Row],[ShiftCounter]]&gt;0, "Running", "Down")</f>
        <v>Running</v>
      </c>
    </row>
    <row r="2353" spans="1:5" x14ac:dyDescent="0.25">
      <c r="A2353" s="10">
        <v>44706</v>
      </c>
      <c r="B2353" s="11" t="s">
        <v>10</v>
      </c>
      <c r="C2353">
        <v>2296</v>
      </c>
      <c r="D2353" t="s">
        <v>7</v>
      </c>
      <c r="E2353" t="str">
        <f>IF(may[[#This Row],[ShiftCounter]]&gt;0, "Running", "Down")</f>
        <v>Running</v>
      </c>
    </row>
    <row r="2354" spans="1:5" x14ac:dyDescent="0.25">
      <c r="A2354" s="10">
        <v>44706</v>
      </c>
      <c r="B2354" s="11" t="s">
        <v>10</v>
      </c>
      <c r="C2354">
        <v>1780</v>
      </c>
      <c r="D2354" t="s">
        <v>8</v>
      </c>
      <c r="E2354" t="str">
        <f>IF(may[[#This Row],[ShiftCounter]]&gt;0, "Running", "Down")</f>
        <v>Running</v>
      </c>
    </row>
    <row r="2355" spans="1:5" x14ac:dyDescent="0.25">
      <c r="A2355" s="10">
        <v>44706</v>
      </c>
      <c r="B2355" s="11" t="s">
        <v>11</v>
      </c>
      <c r="C2355">
        <v>2324</v>
      </c>
      <c r="D2355" t="s">
        <v>6</v>
      </c>
      <c r="E2355" t="str">
        <f>IF(may[[#This Row],[ShiftCounter]]&gt;0, "Running", "Down")</f>
        <v>Running</v>
      </c>
    </row>
    <row r="2356" spans="1:5" x14ac:dyDescent="0.25">
      <c r="A2356" s="10">
        <v>44706</v>
      </c>
      <c r="B2356" s="11" t="s">
        <v>11</v>
      </c>
      <c r="C2356">
        <v>2443</v>
      </c>
      <c r="D2356" t="s">
        <v>7</v>
      </c>
      <c r="E2356" t="str">
        <f>IF(may[[#This Row],[ShiftCounter]]&gt;0, "Running", "Down")</f>
        <v>Running</v>
      </c>
    </row>
    <row r="2357" spans="1:5" x14ac:dyDescent="0.25">
      <c r="A2357" s="10">
        <v>44706</v>
      </c>
      <c r="B2357" s="11" t="s">
        <v>11</v>
      </c>
      <c r="C2357">
        <v>2214</v>
      </c>
      <c r="D2357" t="s">
        <v>8</v>
      </c>
      <c r="E2357" t="str">
        <f>IF(may[[#This Row],[ShiftCounter]]&gt;0, "Running", "Down")</f>
        <v>Running</v>
      </c>
    </row>
    <row r="2358" spans="1:5" x14ac:dyDescent="0.25">
      <c r="A2358" s="10">
        <v>44706</v>
      </c>
      <c r="B2358" s="11" t="s">
        <v>12</v>
      </c>
      <c r="C2358">
        <v>1991</v>
      </c>
      <c r="D2358" t="s">
        <v>6</v>
      </c>
      <c r="E2358" t="str">
        <f>IF(may[[#This Row],[ShiftCounter]]&gt;0, "Running", "Down")</f>
        <v>Running</v>
      </c>
    </row>
    <row r="2359" spans="1:5" x14ac:dyDescent="0.25">
      <c r="A2359" s="10">
        <v>44706</v>
      </c>
      <c r="B2359" s="11" t="s">
        <v>12</v>
      </c>
      <c r="C2359">
        <v>2166</v>
      </c>
      <c r="D2359" t="s">
        <v>7</v>
      </c>
      <c r="E2359" t="str">
        <f>IF(may[[#This Row],[ShiftCounter]]&gt;0, "Running", "Down")</f>
        <v>Running</v>
      </c>
    </row>
    <row r="2360" spans="1:5" x14ac:dyDescent="0.25">
      <c r="A2360" s="10">
        <v>44706</v>
      </c>
      <c r="B2360" s="11" t="s">
        <v>12</v>
      </c>
      <c r="C2360">
        <v>1957</v>
      </c>
      <c r="D2360" t="s">
        <v>8</v>
      </c>
      <c r="E2360" t="str">
        <f>IF(may[[#This Row],[ShiftCounter]]&gt;0, "Running", "Down")</f>
        <v>Running</v>
      </c>
    </row>
    <row r="2361" spans="1:5" x14ac:dyDescent="0.25">
      <c r="A2361" s="10">
        <v>44706</v>
      </c>
      <c r="B2361" s="11" t="s">
        <v>105</v>
      </c>
      <c r="C2361">
        <v>2066</v>
      </c>
      <c r="D2361" t="s">
        <v>6</v>
      </c>
      <c r="E2361" t="str">
        <f>IF(may[[#This Row],[ShiftCounter]]&gt;0, "Running", "Down")</f>
        <v>Running</v>
      </c>
    </row>
    <row r="2362" spans="1:5" x14ac:dyDescent="0.25">
      <c r="A2362" s="10">
        <v>44706</v>
      </c>
      <c r="B2362" s="11" t="s">
        <v>105</v>
      </c>
      <c r="C2362">
        <v>2266</v>
      </c>
      <c r="D2362" t="s">
        <v>7</v>
      </c>
      <c r="E2362" t="str">
        <f>IF(may[[#This Row],[ShiftCounter]]&gt;0, "Running", "Down")</f>
        <v>Running</v>
      </c>
    </row>
    <row r="2363" spans="1:5" x14ac:dyDescent="0.25">
      <c r="A2363" s="10">
        <v>44706</v>
      </c>
      <c r="B2363" s="11" t="s">
        <v>105</v>
      </c>
      <c r="C2363">
        <v>2047</v>
      </c>
      <c r="D2363" t="s">
        <v>8</v>
      </c>
      <c r="E2363" t="str">
        <f>IF(may[[#This Row],[ShiftCounter]]&gt;0, "Running", "Down")</f>
        <v>Running</v>
      </c>
    </row>
    <row r="2364" spans="1:5" x14ac:dyDescent="0.25">
      <c r="A2364" s="10">
        <v>44706</v>
      </c>
      <c r="B2364" s="11" t="s">
        <v>13</v>
      </c>
      <c r="C2364">
        <v>2048</v>
      </c>
      <c r="D2364" t="s">
        <v>6</v>
      </c>
      <c r="E2364" t="str">
        <f>IF(may[[#This Row],[ShiftCounter]]&gt;0, "Running", "Down")</f>
        <v>Running</v>
      </c>
    </row>
    <row r="2365" spans="1:5" x14ac:dyDescent="0.25">
      <c r="A2365" s="10">
        <v>44706</v>
      </c>
      <c r="B2365" s="11" t="s">
        <v>13</v>
      </c>
      <c r="C2365">
        <v>2011</v>
      </c>
      <c r="D2365" t="s">
        <v>7</v>
      </c>
      <c r="E2365" t="str">
        <f>IF(may[[#This Row],[ShiftCounter]]&gt;0, "Running", "Down")</f>
        <v>Running</v>
      </c>
    </row>
    <row r="2366" spans="1:5" x14ac:dyDescent="0.25">
      <c r="A2366" s="10">
        <v>44706</v>
      </c>
      <c r="B2366" s="11" t="s">
        <v>13</v>
      </c>
      <c r="C2366">
        <v>1856</v>
      </c>
      <c r="D2366" t="s">
        <v>8</v>
      </c>
      <c r="E2366" t="str">
        <f>IF(may[[#This Row],[ShiftCounter]]&gt;0, "Running", "Down")</f>
        <v>Running</v>
      </c>
    </row>
    <row r="2367" spans="1:5" x14ac:dyDescent="0.25">
      <c r="A2367" s="10">
        <v>44706</v>
      </c>
      <c r="B2367" s="11" t="s">
        <v>101</v>
      </c>
      <c r="C2367">
        <v>2122</v>
      </c>
      <c r="D2367" t="s">
        <v>6</v>
      </c>
      <c r="E2367" t="str">
        <f>IF(may[[#This Row],[ShiftCounter]]&gt;0, "Running", "Down")</f>
        <v>Running</v>
      </c>
    </row>
    <row r="2368" spans="1:5" x14ac:dyDescent="0.25">
      <c r="A2368" s="10">
        <v>44706</v>
      </c>
      <c r="B2368" s="11" t="s">
        <v>101</v>
      </c>
      <c r="C2368">
        <v>2041</v>
      </c>
      <c r="D2368" t="s">
        <v>7</v>
      </c>
      <c r="E2368" t="str">
        <f>IF(may[[#This Row],[ShiftCounter]]&gt;0, "Running", "Down")</f>
        <v>Running</v>
      </c>
    </row>
    <row r="2369" spans="1:5" x14ac:dyDescent="0.25">
      <c r="A2369" s="10">
        <v>44706</v>
      </c>
      <c r="B2369" s="11" t="s">
        <v>101</v>
      </c>
      <c r="C2369">
        <v>1877</v>
      </c>
      <c r="D2369" t="s">
        <v>8</v>
      </c>
      <c r="E2369" t="str">
        <f>IF(may[[#This Row],[ShiftCounter]]&gt;0, "Running", "Down")</f>
        <v>Running</v>
      </c>
    </row>
    <row r="2370" spans="1:5" x14ac:dyDescent="0.25">
      <c r="A2370" s="10">
        <v>44706</v>
      </c>
      <c r="B2370" s="11" t="s">
        <v>14</v>
      </c>
      <c r="C2370">
        <v>1805</v>
      </c>
      <c r="D2370" t="s">
        <v>6</v>
      </c>
      <c r="E2370" t="str">
        <f>IF(may[[#This Row],[ShiftCounter]]&gt;0, "Running", "Down")</f>
        <v>Running</v>
      </c>
    </row>
    <row r="2371" spans="1:5" x14ac:dyDescent="0.25">
      <c r="A2371" s="10">
        <v>44706</v>
      </c>
      <c r="B2371" s="11" t="s">
        <v>14</v>
      </c>
      <c r="C2371">
        <v>1745</v>
      </c>
      <c r="D2371" t="s">
        <v>7</v>
      </c>
      <c r="E2371" t="str">
        <f>IF(may[[#This Row],[ShiftCounter]]&gt;0, "Running", "Down")</f>
        <v>Running</v>
      </c>
    </row>
    <row r="2372" spans="1:5" x14ac:dyDescent="0.25">
      <c r="A2372" s="10">
        <v>44706</v>
      </c>
      <c r="B2372" s="11" t="s">
        <v>14</v>
      </c>
      <c r="C2372">
        <v>1583</v>
      </c>
      <c r="D2372" t="s">
        <v>8</v>
      </c>
      <c r="E2372" t="str">
        <f>IF(may[[#This Row],[ShiftCounter]]&gt;0, "Running", "Down")</f>
        <v>Running</v>
      </c>
    </row>
    <row r="2373" spans="1:5" x14ac:dyDescent="0.25">
      <c r="A2373" s="10">
        <v>44706</v>
      </c>
      <c r="B2373" s="11" t="s">
        <v>15</v>
      </c>
      <c r="C2373">
        <v>2111</v>
      </c>
      <c r="D2373" t="s">
        <v>6</v>
      </c>
      <c r="E2373" t="str">
        <f>IF(may[[#This Row],[ShiftCounter]]&gt;0, "Running", "Down")</f>
        <v>Running</v>
      </c>
    </row>
    <row r="2374" spans="1:5" x14ac:dyDescent="0.25">
      <c r="A2374" s="10">
        <v>44706</v>
      </c>
      <c r="B2374" s="11" t="s">
        <v>15</v>
      </c>
      <c r="C2374">
        <v>2009</v>
      </c>
      <c r="D2374" t="s">
        <v>7</v>
      </c>
      <c r="E2374" t="str">
        <f>IF(may[[#This Row],[ShiftCounter]]&gt;0, "Running", "Down")</f>
        <v>Running</v>
      </c>
    </row>
    <row r="2375" spans="1:5" x14ac:dyDescent="0.25">
      <c r="A2375" s="10">
        <v>44706</v>
      </c>
      <c r="B2375" s="11" t="s">
        <v>15</v>
      </c>
      <c r="C2375">
        <v>1859</v>
      </c>
      <c r="D2375" t="s">
        <v>8</v>
      </c>
      <c r="E2375" t="str">
        <f>IF(may[[#This Row],[ShiftCounter]]&gt;0, "Running", "Down")</f>
        <v>Running</v>
      </c>
    </row>
    <row r="2376" spans="1:5" x14ac:dyDescent="0.25">
      <c r="A2376" s="10">
        <v>44706</v>
      </c>
      <c r="B2376" s="11" t="s">
        <v>16</v>
      </c>
      <c r="C2376">
        <v>2203</v>
      </c>
      <c r="D2376" t="s">
        <v>6</v>
      </c>
      <c r="E2376" t="str">
        <f>IF(may[[#This Row],[ShiftCounter]]&gt;0, "Running", "Down")</f>
        <v>Running</v>
      </c>
    </row>
    <row r="2377" spans="1:5" x14ac:dyDescent="0.25">
      <c r="A2377" s="10">
        <v>44706</v>
      </c>
      <c r="B2377" s="11" t="s">
        <v>16</v>
      </c>
      <c r="C2377">
        <v>2126</v>
      </c>
      <c r="D2377" t="s">
        <v>7</v>
      </c>
      <c r="E2377" t="str">
        <f>IF(may[[#This Row],[ShiftCounter]]&gt;0, "Running", "Down")</f>
        <v>Running</v>
      </c>
    </row>
    <row r="2378" spans="1:5" x14ac:dyDescent="0.25">
      <c r="A2378" s="10">
        <v>44706</v>
      </c>
      <c r="B2378" s="11" t="s">
        <v>16</v>
      </c>
      <c r="C2378">
        <v>1989</v>
      </c>
      <c r="D2378" t="s">
        <v>8</v>
      </c>
      <c r="E2378" t="str">
        <f>IF(may[[#This Row],[ShiftCounter]]&gt;0, "Running", "Down")</f>
        <v>Running</v>
      </c>
    </row>
    <row r="2379" spans="1:5" x14ac:dyDescent="0.25">
      <c r="A2379" s="10">
        <v>44706</v>
      </c>
      <c r="B2379" s="11" t="s">
        <v>19</v>
      </c>
      <c r="C2379">
        <v>2012</v>
      </c>
      <c r="D2379" t="s">
        <v>6</v>
      </c>
      <c r="E2379" t="str">
        <f>IF(may[[#This Row],[ShiftCounter]]&gt;0, "Running", "Down")</f>
        <v>Running</v>
      </c>
    </row>
    <row r="2380" spans="1:5" x14ac:dyDescent="0.25">
      <c r="A2380" s="10">
        <v>44706</v>
      </c>
      <c r="B2380" s="11" t="s">
        <v>19</v>
      </c>
      <c r="C2380">
        <v>1895</v>
      </c>
      <c r="D2380" t="s">
        <v>7</v>
      </c>
      <c r="E2380" t="str">
        <f>IF(may[[#This Row],[ShiftCounter]]&gt;0, "Running", "Down")</f>
        <v>Running</v>
      </c>
    </row>
    <row r="2381" spans="1:5" x14ac:dyDescent="0.25">
      <c r="A2381" s="10">
        <v>44706</v>
      </c>
      <c r="B2381" s="11" t="s">
        <v>19</v>
      </c>
      <c r="C2381">
        <v>1665</v>
      </c>
      <c r="D2381" t="s">
        <v>8</v>
      </c>
      <c r="E2381" t="str">
        <f>IF(may[[#This Row],[ShiftCounter]]&gt;0, "Running", "Down")</f>
        <v>Running</v>
      </c>
    </row>
    <row r="2382" spans="1:5" x14ac:dyDescent="0.25">
      <c r="A2382" s="10">
        <v>44706</v>
      </c>
      <c r="B2382" s="11" t="s">
        <v>18</v>
      </c>
      <c r="C2382">
        <v>2127</v>
      </c>
      <c r="D2382" t="s">
        <v>6</v>
      </c>
      <c r="E2382" t="str">
        <f>IF(may[[#This Row],[ShiftCounter]]&gt;0, "Running", "Down")</f>
        <v>Running</v>
      </c>
    </row>
    <row r="2383" spans="1:5" x14ac:dyDescent="0.25">
      <c r="A2383" s="10">
        <v>44706</v>
      </c>
      <c r="B2383" s="11" t="s">
        <v>18</v>
      </c>
      <c r="C2383">
        <v>2192</v>
      </c>
      <c r="D2383" t="s">
        <v>7</v>
      </c>
      <c r="E2383" t="str">
        <f>IF(may[[#This Row],[ShiftCounter]]&gt;0, "Running", "Down")</f>
        <v>Running</v>
      </c>
    </row>
    <row r="2384" spans="1:5" x14ac:dyDescent="0.25">
      <c r="A2384" s="10">
        <v>44706</v>
      </c>
      <c r="B2384" s="11" t="s">
        <v>18</v>
      </c>
      <c r="C2384">
        <v>2078</v>
      </c>
      <c r="D2384" t="s">
        <v>8</v>
      </c>
      <c r="E2384" t="str">
        <f>IF(may[[#This Row],[ShiftCounter]]&gt;0, "Running", "Down")</f>
        <v>Running</v>
      </c>
    </row>
    <row r="2385" spans="1:5" x14ac:dyDescent="0.25">
      <c r="A2385" s="10">
        <v>44706</v>
      </c>
      <c r="B2385" s="11" t="s">
        <v>20</v>
      </c>
      <c r="C2385">
        <v>2125</v>
      </c>
      <c r="D2385" t="s">
        <v>6</v>
      </c>
      <c r="E2385" t="str">
        <f>IF(may[[#This Row],[ShiftCounter]]&gt;0, "Running", "Down")</f>
        <v>Running</v>
      </c>
    </row>
    <row r="2386" spans="1:5" x14ac:dyDescent="0.25">
      <c r="A2386" s="10">
        <v>44706</v>
      </c>
      <c r="B2386" s="11" t="s">
        <v>20</v>
      </c>
      <c r="C2386">
        <v>2221</v>
      </c>
      <c r="D2386" t="s">
        <v>7</v>
      </c>
      <c r="E2386" t="str">
        <f>IF(may[[#This Row],[ShiftCounter]]&gt;0, "Running", "Down")</f>
        <v>Running</v>
      </c>
    </row>
    <row r="2387" spans="1:5" x14ac:dyDescent="0.25">
      <c r="A2387" s="10">
        <v>44706</v>
      </c>
      <c r="B2387" s="11" t="s">
        <v>20</v>
      </c>
      <c r="C2387">
        <v>2118</v>
      </c>
      <c r="D2387" t="s">
        <v>8</v>
      </c>
      <c r="E2387" t="str">
        <f>IF(may[[#This Row],[ShiftCounter]]&gt;0, "Running", "Down")</f>
        <v>Running</v>
      </c>
    </row>
    <row r="2388" spans="1:5" x14ac:dyDescent="0.25">
      <c r="A2388" s="10">
        <v>44706</v>
      </c>
      <c r="B2388" s="11" t="s">
        <v>21</v>
      </c>
      <c r="C2388">
        <v>1990</v>
      </c>
      <c r="D2388" t="s">
        <v>6</v>
      </c>
      <c r="E2388" t="str">
        <f>IF(may[[#This Row],[ShiftCounter]]&gt;0, "Running", "Down")</f>
        <v>Running</v>
      </c>
    </row>
    <row r="2389" spans="1:5" x14ac:dyDescent="0.25">
      <c r="A2389" s="10">
        <v>44706</v>
      </c>
      <c r="B2389" s="11" t="s">
        <v>21</v>
      </c>
      <c r="C2389">
        <v>1988</v>
      </c>
      <c r="D2389" t="s">
        <v>7</v>
      </c>
      <c r="E2389" t="str">
        <f>IF(may[[#This Row],[ShiftCounter]]&gt;0, "Running", "Down")</f>
        <v>Running</v>
      </c>
    </row>
    <row r="2390" spans="1:5" x14ac:dyDescent="0.25">
      <c r="A2390" s="10">
        <v>44706</v>
      </c>
      <c r="B2390" s="11" t="s">
        <v>21</v>
      </c>
      <c r="C2390">
        <v>1918</v>
      </c>
      <c r="D2390" t="s">
        <v>8</v>
      </c>
      <c r="E2390" t="str">
        <f>IF(may[[#This Row],[ShiftCounter]]&gt;0, "Running", "Down")</f>
        <v>Running</v>
      </c>
    </row>
    <row r="2391" spans="1:5" x14ac:dyDescent="0.25">
      <c r="A2391" s="10">
        <v>44706</v>
      </c>
      <c r="B2391" s="11" t="s">
        <v>22</v>
      </c>
      <c r="C2391">
        <v>0</v>
      </c>
      <c r="D2391" t="s">
        <v>6</v>
      </c>
      <c r="E2391" t="str">
        <f>IF(may[[#This Row],[ShiftCounter]]&gt;0, "Running", "Down")</f>
        <v>Down</v>
      </c>
    </row>
    <row r="2392" spans="1:5" x14ac:dyDescent="0.25">
      <c r="A2392" s="10">
        <v>44706</v>
      </c>
      <c r="B2392" s="11" t="s">
        <v>22</v>
      </c>
      <c r="C2392">
        <v>2078</v>
      </c>
      <c r="D2392" t="s">
        <v>7</v>
      </c>
      <c r="E2392" t="str">
        <f>IF(may[[#This Row],[ShiftCounter]]&gt;0, "Running", "Down")</f>
        <v>Running</v>
      </c>
    </row>
    <row r="2393" spans="1:5" x14ac:dyDescent="0.25">
      <c r="A2393" s="10">
        <v>44706</v>
      </c>
      <c r="B2393" s="11" t="s">
        <v>22</v>
      </c>
      <c r="C2393">
        <v>1978</v>
      </c>
      <c r="D2393" t="s">
        <v>8</v>
      </c>
      <c r="E2393" t="str">
        <f>IF(may[[#This Row],[ShiftCounter]]&gt;0, "Running", "Down")</f>
        <v>Running</v>
      </c>
    </row>
    <row r="2394" spans="1:5" x14ac:dyDescent="0.25">
      <c r="A2394" s="10">
        <v>44706</v>
      </c>
      <c r="B2394" s="11" t="s">
        <v>23</v>
      </c>
      <c r="C2394">
        <v>2346</v>
      </c>
      <c r="D2394" t="s">
        <v>6</v>
      </c>
      <c r="E2394" t="str">
        <f>IF(may[[#This Row],[ShiftCounter]]&gt;0, "Running", "Down")</f>
        <v>Running</v>
      </c>
    </row>
    <row r="2395" spans="1:5" x14ac:dyDescent="0.25">
      <c r="A2395" s="10">
        <v>44706</v>
      </c>
      <c r="B2395" s="11" t="s">
        <v>23</v>
      </c>
      <c r="C2395">
        <v>2283</v>
      </c>
      <c r="D2395" t="s">
        <v>7</v>
      </c>
      <c r="E2395" t="str">
        <f>IF(may[[#This Row],[ShiftCounter]]&gt;0, "Running", "Down")</f>
        <v>Running</v>
      </c>
    </row>
    <row r="2396" spans="1:5" x14ac:dyDescent="0.25">
      <c r="A2396" s="10">
        <v>44706</v>
      </c>
      <c r="B2396" s="11" t="s">
        <v>23</v>
      </c>
      <c r="C2396">
        <v>2164</v>
      </c>
      <c r="D2396" t="s">
        <v>8</v>
      </c>
      <c r="E2396" t="str">
        <f>IF(may[[#This Row],[ShiftCounter]]&gt;0, "Running", "Down")</f>
        <v>Running</v>
      </c>
    </row>
    <row r="2397" spans="1:5" x14ac:dyDescent="0.25">
      <c r="A2397" s="10">
        <v>44706</v>
      </c>
      <c r="B2397" s="11" t="s">
        <v>24</v>
      </c>
      <c r="C2397">
        <v>1992</v>
      </c>
      <c r="D2397" t="s">
        <v>6</v>
      </c>
      <c r="E2397" t="str">
        <f>IF(may[[#This Row],[ShiftCounter]]&gt;0, "Running", "Down")</f>
        <v>Running</v>
      </c>
    </row>
    <row r="2398" spans="1:5" x14ac:dyDescent="0.25">
      <c r="A2398" s="10">
        <v>44706</v>
      </c>
      <c r="B2398" s="11" t="s">
        <v>24</v>
      </c>
      <c r="C2398">
        <v>2098</v>
      </c>
      <c r="D2398" t="s">
        <v>7</v>
      </c>
      <c r="E2398" t="str">
        <f>IF(may[[#This Row],[ShiftCounter]]&gt;0, "Running", "Down")</f>
        <v>Running</v>
      </c>
    </row>
    <row r="2399" spans="1:5" x14ac:dyDescent="0.25">
      <c r="A2399" s="10">
        <v>44706</v>
      </c>
      <c r="B2399" s="11" t="s">
        <v>24</v>
      </c>
      <c r="C2399">
        <v>1911</v>
      </c>
      <c r="D2399" t="s">
        <v>8</v>
      </c>
      <c r="E2399" t="str">
        <f>IF(may[[#This Row],[ShiftCounter]]&gt;0, "Running", "Down")</f>
        <v>Running</v>
      </c>
    </row>
    <row r="2400" spans="1:5" x14ac:dyDescent="0.25">
      <c r="A2400" s="10">
        <v>44706</v>
      </c>
      <c r="B2400" s="11" t="s">
        <v>25</v>
      </c>
      <c r="C2400">
        <v>1641</v>
      </c>
      <c r="D2400" t="s">
        <v>6</v>
      </c>
      <c r="E2400" t="str">
        <f>IF(may[[#This Row],[ShiftCounter]]&gt;0, "Running", "Down")</f>
        <v>Running</v>
      </c>
    </row>
    <row r="2401" spans="1:5" x14ac:dyDescent="0.25">
      <c r="A2401" s="10">
        <v>44706</v>
      </c>
      <c r="B2401" s="11" t="s">
        <v>25</v>
      </c>
      <c r="C2401">
        <v>2205</v>
      </c>
      <c r="D2401" t="s">
        <v>7</v>
      </c>
      <c r="E2401" t="str">
        <f>IF(may[[#This Row],[ShiftCounter]]&gt;0, "Running", "Down")</f>
        <v>Running</v>
      </c>
    </row>
    <row r="2402" spans="1:5" x14ac:dyDescent="0.25">
      <c r="A2402" s="10">
        <v>44706</v>
      </c>
      <c r="B2402" s="11" t="s">
        <v>25</v>
      </c>
      <c r="C2402">
        <v>1864</v>
      </c>
      <c r="D2402" t="s">
        <v>8</v>
      </c>
      <c r="E2402" t="str">
        <f>IF(may[[#This Row],[ShiftCounter]]&gt;0, "Running", "Down")</f>
        <v>Running</v>
      </c>
    </row>
    <row r="2403" spans="1:5" x14ac:dyDescent="0.25">
      <c r="A2403" s="10">
        <v>44706</v>
      </c>
      <c r="B2403" s="11" t="s">
        <v>26</v>
      </c>
      <c r="C2403">
        <v>2079</v>
      </c>
      <c r="D2403" t="s">
        <v>6</v>
      </c>
      <c r="E2403" t="str">
        <f>IF(may[[#This Row],[ShiftCounter]]&gt;0, "Running", "Down")</f>
        <v>Running</v>
      </c>
    </row>
    <row r="2404" spans="1:5" x14ac:dyDescent="0.25">
      <c r="A2404" s="10">
        <v>44706</v>
      </c>
      <c r="B2404" s="11" t="s">
        <v>26</v>
      </c>
      <c r="C2404">
        <v>2128</v>
      </c>
      <c r="D2404" t="s">
        <v>7</v>
      </c>
      <c r="E2404" t="str">
        <f>IF(may[[#This Row],[ShiftCounter]]&gt;0, "Running", "Down")</f>
        <v>Running</v>
      </c>
    </row>
    <row r="2405" spans="1:5" x14ac:dyDescent="0.25">
      <c r="A2405" s="10">
        <v>44706</v>
      </c>
      <c r="B2405" s="11" t="s">
        <v>26</v>
      </c>
      <c r="C2405">
        <v>1573</v>
      </c>
      <c r="D2405" t="s">
        <v>8</v>
      </c>
      <c r="E2405" t="str">
        <f>IF(may[[#This Row],[ShiftCounter]]&gt;0, "Running", "Down")</f>
        <v>Running</v>
      </c>
    </row>
    <row r="2406" spans="1:5" x14ac:dyDescent="0.25">
      <c r="A2406" s="10">
        <v>44706</v>
      </c>
      <c r="B2406" s="11" t="s">
        <v>27</v>
      </c>
      <c r="C2406">
        <v>2209</v>
      </c>
      <c r="D2406" t="s">
        <v>6</v>
      </c>
      <c r="E2406" t="str">
        <f>IF(may[[#This Row],[ShiftCounter]]&gt;0, "Running", "Down")</f>
        <v>Running</v>
      </c>
    </row>
    <row r="2407" spans="1:5" x14ac:dyDescent="0.25">
      <c r="A2407" s="10">
        <v>44706</v>
      </c>
      <c r="B2407" s="11" t="s">
        <v>27</v>
      </c>
      <c r="C2407">
        <v>2225</v>
      </c>
      <c r="D2407" t="s">
        <v>7</v>
      </c>
      <c r="E2407" t="str">
        <f>IF(may[[#This Row],[ShiftCounter]]&gt;0, "Running", "Down")</f>
        <v>Running</v>
      </c>
    </row>
    <row r="2408" spans="1:5" x14ac:dyDescent="0.25">
      <c r="A2408" s="10">
        <v>44706</v>
      </c>
      <c r="B2408" s="11" t="s">
        <v>27</v>
      </c>
      <c r="C2408">
        <v>1922</v>
      </c>
      <c r="D2408" t="s">
        <v>8</v>
      </c>
      <c r="E2408" t="str">
        <f>IF(may[[#This Row],[ShiftCounter]]&gt;0, "Running", "Down")</f>
        <v>Running</v>
      </c>
    </row>
    <row r="2409" spans="1:5" x14ac:dyDescent="0.25">
      <c r="A2409" s="10">
        <v>44706</v>
      </c>
      <c r="B2409" s="11" t="s">
        <v>28</v>
      </c>
      <c r="C2409">
        <v>2114</v>
      </c>
      <c r="D2409" t="s">
        <v>6</v>
      </c>
      <c r="E2409" t="str">
        <f>IF(may[[#This Row],[ShiftCounter]]&gt;0, "Running", "Down")</f>
        <v>Running</v>
      </c>
    </row>
    <row r="2410" spans="1:5" x14ac:dyDescent="0.25">
      <c r="A2410" s="10">
        <v>44706</v>
      </c>
      <c r="B2410" s="11" t="s">
        <v>28</v>
      </c>
      <c r="C2410">
        <v>2150</v>
      </c>
      <c r="D2410" t="s">
        <v>7</v>
      </c>
      <c r="E2410" t="str">
        <f>IF(may[[#This Row],[ShiftCounter]]&gt;0, "Running", "Down")</f>
        <v>Running</v>
      </c>
    </row>
    <row r="2411" spans="1:5" x14ac:dyDescent="0.25">
      <c r="A2411" s="10">
        <v>44706</v>
      </c>
      <c r="B2411" s="11" t="s">
        <v>28</v>
      </c>
      <c r="C2411">
        <v>1853</v>
      </c>
      <c r="D2411" t="s">
        <v>8</v>
      </c>
      <c r="E2411" t="str">
        <f>IF(may[[#This Row],[ShiftCounter]]&gt;0, "Running", "Down")</f>
        <v>Running</v>
      </c>
    </row>
    <row r="2412" spans="1:5" x14ac:dyDescent="0.25">
      <c r="A2412" s="10">
        <v>44706</v>
      </c>
      <c r="B2412" s="11" t="s">
        <v>29</v>
      </c>
      <c r="C2412">
        <v>1935</v>
      </c>
      <c r="D2412" t="s">
        <v>6</v>
      </c>
      <c r="E2412" t="str">
        <f>IF(may[[#This Row],[ShiftCounter]]&gt;0, "Running", "Down")</f>
        <v>Running</v>
      </c>
    </row>
    <row r="2413" spans="1:5" x14ac:dyDescent="0.25">
      <c r="A2413" s="10">
        <v>44706</v>
      </c>
      <c r="B2413" s="11" t="s">
        <v>29</v>
      </c>
      <c r="C2413">
        <v>2005</v>
      </c>
      <c r="D2413" t="s">
        <v>7</v>
      </c>
      <c r="E2413" t="str">
        <f>IF(may[[#This Row],[ShiftCounter]]&gt;0, "Running", "Down")</f>
        <v>Running</v>
      </c>
    </row>
    <row r="2414" spans="1:5" x14ac:dyDescent="0.25">
      <c r="A2414" s="10">
        <v>44706</v>
      </c>
      <c r="B2414" s="11" t="s">
        <v>29</v>
      </c>
      <c r="C2414">
        <v>1694</v>
      </c>
      <c r="D2414" t="s">
        <v>8</v>
      </c>
      <c r="E2414" t="str">
        <f>IF(may[[#This Row],[ShiftCounter]]&gt;0, "Running", "Down")</f>
        <v>Running</v>
      </c>
    </row>
    <row r="2415" spans="1:5" x14ac:dyDescent="0.25">
      <c r="A2415" s="10">
        <v>44706</v>
      </c>
      <c r="B2415" s="11" t="s">
        <v>30</v>
      </c>
      <c r="C2415">
        <v>2019</v>
      </c>
      <c r="D2415" t="s">
        <v>6</v>
      </c>
      <c r="E2415" t="str">
        <f>IF(may[[#This Row],[ShiftCounter]]&gt;0, "Running", "Down")</f>
        <v>Running</v>
      </c>
    </row>
    <row r="2416" spans="1:5" x14ac:dyDescent="0.25">
      <c r="A2416" s="10">
        <v>44706</v>
      </c>
      <c r="B2416" s="11" t="s">
        <v>30</v>
      </c>
      <c r="C2416">
        <v>2196</v>
      </c>
      <c r="D2416" t="s">
        <v>7</v>
      </c>
      <c r="E2416" t="str">
        <f>IF(may[[#This Row],[ShiftCounter]]&gt;0, "Running", "Down")</f>
        <v>Running</v>
      </c>
    </row>
    <row r="2417" spans="1:5" x14ac:dyDescent="0.25">
      <c r="A2417" s="10">
        <v>44706</v>
      </c>
      <c r="B2417" s="11" t="s">
        <v>30</v>
      </c>
      <c r="C2417">
        <v>1899</v>
      </c>
      <c r="D2417" t="s">
        <v>8</v>
      </c>
      <c r="E2417" t="str">
        <f>IF(may[[#This Row],[ShiftCounter]]&gt;0, "Running", "Down")</f>
        <v>Running</v>
      </c>
    </row>
    <row r="2418" spans="1:5" x14ac:dyDescent="0.25">
      <c r="A2418" s="10">
        <v>44706</v>
      </c>
      <c r="B2418" s="11" t="s">
        <v>31</v>
      </c>
      <c r="C2418">
        <v>2034</v>
      </c>
      <c r="D2418" t="s">
        <v>6</v>
      </c>
      <c r="E2418" t="str">
        <f>IF(may[[#This Row],[ShiftCounter]]&gt;0, "Running", "Down")</f>
        <v>Running</v>
      </c>
    </row>
    <row r="2419" spans="1:5" x14ac:dyDescent="0.25">
      <c r="A2419" s="10">
        <v>44706</v>
      </c>
      <c r="B2419" s="11" t="s">
        <v>31</v>
      </c>
      <c r="C2419">
        <v>2110</v>
      </c>
      <c r="D2419" t="s">
        <v>7</v>
      </c>
      <c r="E2419" t="str">
        <f>IF(may[[#This Row],[ShiftCounter]]&gt;0, "Running", "Down")</f>
        <v>Running</v>
      </c>
    </row>
    <row r="2420" spans="1:5" x14ac:dyDescent="0.25">
      <c r="A2420" s="10">
        <v>44706</v>
      </c>
      <c r="B2420" s="11" t="s">
        <v>31</v>
      </c>
      <c r="C2420">
        <v>1799</v>
      </c>
      <c r="D2420" t="s">
        <v>8</v>
      </c>
      <c r="E2420" t="str">
        <f>IF(may[[#This Row],[ShiftCounter]]&gt;0, "Running", "Down")</f>
        <v>Running</v>
      </c>
    </row>
    <row r="2421" spans="1:5" x14ac:dyDescent="0.25">
      <c r="A2421" s="10">
        <v>44706</v>
      </c>
      <c r="B2421" s="11" t="s">
        <v>32</v>
      </c>
      <c r="C2421">
        <v>2237</v>
      </c>
      <c r="D2421" t="s">
        <v>6</v>
      </c>
      <c r="E2421" t="str">
        <f>IF(may[[#This Row],[ShiftCounter]]&gt;0, "Running", "Down")</f>
        <v>Running</v>
      </c>
    </row>
    <row r="2422" spans="1:5" x14ac:dyDescent="0.25">
      <c r="A2422" s="10">
        <v>44706</v>
      </c>
      <c r="B2422" s="11" t="s">
        <v>32</v>
      </c>
      <c r="C2422">
        <v>2285</v>
      </c>
      <c r="D2422" t="s">
        <v>7</v>
      </c>
      <c r="E2422" t="str">
        <f>IF(may[[#This Row],[ShiftCounter]]&gt;0, "Running", "Down")</f>
        <v>Running</v>
      </c>
    </row>
    <row r="2423" spans="1:5" x14ac:dyDescent="0.25">
      <c r="A2423" s="10">
        <v>44706</v>
      </c>
      <c r="B2423" s="11" t="s">
        <v>32</v>
      </c>
      <c r="C2423">
        <v>1916</v>
      </c>
      <c r="D2423" t="s">
        <v>8</v>
      </c>
      <c r="E2423" t="str">
        <f>IF(may[[#This Row],[ShiftCounter]]&gt;0, "Running", "Down")</f>
        <v>Running</v>
      </c>
    </row>
    <row r="2424" spans="1:5" x14ac:dyDescent="0.25">
      <c r="A2424" s="10">
        <v>44706</v>
      </c>
      <c r="B2424" s="11" t="s">
        <v>33</v>
      </c>
      <c r="C2424">
        <v>2438</v>
      </c>
      <c r="D2424" t="s">
        <v>6</v>
      </c>
      <c r="E2424" t="str">
        <f>IF(may[[#This Row],[ShiftCounter]]&gt;0, "Running", "Down")</f>
        <v>Running</v>
      </c>
    </row>
    <row r="2425" spans="1:5" x14ac:dyDescent="0.25">
      <c r="A2425" s="10">
        <v>44706</v>
      </c>
      <c r="B2425" s="11" t="s">
        <v>33</v>
      </c>
      <c r="C2425">
        <v>2565</v>
      </c>
      <c r="D2425" t="s">
        <v>7</v>
      </c>
      <c r="E2425" t="str">
        <f>IF(may[[#This Row],[ShiftCounter]]&gt;0, "Running", "Down")</f>
        <v>Running</v>
      </c>
    </row>
    <row r="2426" spans="1:5" x14ac:dyDescent="0.25">
      <c r="A2426" s="10">
        <v>44706</v>
      </c>
      <c r="B2426" s="11" t="s">
        <v>33</v>
      </c>
      <c r="C2426">
        <v>2150</v>
      </c>
      <c r="D2426" t="s">
        <v>8</v>
      </c>
      <c r="E2426" t="str">
        <f>IF(may[[#This Row],[ShiftCounter]]&gt;0, "Running", "Down")</f>
        <v>Running</v>
      </c>
    </row>
    <row r="2427" spans="1:5" x14ac:dyDescent="0.25">
      <c r="A2427" s="10">
        <v>44706</v>
      </c>
      <c r="B2427" s="11" t="s">
        <v>34</v>
      </c>
      <c r="C2427">
        <v>2195</v>
      </c>
      <c r="D2427" t="s">
        <v>6</v>
      </c>
      <c r="E2427" t="str">
        <f>IF(may[[#This Row],[ShiftCounter]]&gt;0, "Running", "Down")</f>
        <v>Running</v>
      </c>
    </row>
    <row r="2428" spans="1:5" x14ac:dyDescent="0.25">
      <c r="A2428" s="10">
        <v>44706</v>
      </c>
      <c r="B2428" s="11" t="s">
        <v>34</v>
      </c>
      <c r="C2428">
        <v>1980</v>
      </c>
      <c r="D2428" t="s">
        <v>7</v>
      </c>
      <c r="E2428" t="str">
        <f>IF(may[[#This Row],[ShiftCounter]]&gt;0, "Running", "Down")</f>
        <v>Running</v>
      </c>
    </row>
    <row r="2429" spans="1:5" x14ac:dyDescent="0.25">
      <c r="A2429" s="10">
        <v>44706</v>
      </c>
      <c r="B2429" s="11" t="s">
        <v>34</v>
      </c>
      <c r="C2429">
        <v>1749</v>
      </c>
      <c r="D2429" t="s">
        <v>8</v>
      </c>
      <c r="E2429" t="str">
        <f>IF(may[[#This Row],[ShiftCounter]]&gt;0, "Running", "Down")</f>
        <v>Running</v>
      </c>
    </row>
    <row r="2430" spans="1:5" x14ac:dyDescent="0.25">
      <c r="A2430" s="10">
        <v>44706</v>
      </c>
      <c r="B2430" s="11" t="s">
        <v>35</v>
      </c>
      <c r="C2430">
        <v>1768</v>
      </c>
      <c r="D2430" t="s">
        <v>6</v>
      </c>
      <c r="E2430" t="str">
        <f>IF(may[[#This Row],[ShiftCounter]]&gt;0, "Running", "Down")</f>
        <v>Running</v>
      </c>
    </row>
    <row r="2431" spans="1:5" x14ac:dyDescent="0.25">
      <c r="A2431" s="10">
        <v>44706</v>
      </c>
      <c r="B2431" s="11" t="s">
        <v>35</v>
      </c>
      <c r="C2431">
        <v>2325</v>
      </c>
      <c r="D2431" t="s">
        <v>7</v>
      </c>
      <c r="E2431" t="str">
        <f>IF(may[[#This Row],[ShiftCounter]]&gt;0, "Running", "Down")</f>
        <v>Running</v>
      </c>
    </row>
    <row r="2432" spans="1:5" x14ac:dyDescent="0.25">
      <c r="A2432" s="10">
        <v>44706</v>
      </c>
      <c r="B2432" s="11" t="s">
        <v>35</v>
      </c>
      <c r="C2432">
        <v>1967</v>
      </c>
      <c r="D2432" t="s">
        <v>8</v>
      </c>
      <c r="E2432" t="str">
        <f>IF(may[[#This Row],[ShiftCounter]]&gt;0, "Running", "Down")</f>
        <v>Running</v>
      </c>
    </row>
    <row r="2433" spans="1:5" x14ac:dyDescent="0.25">
      <c r="A2433" s="10">
        <v>44706</v>
      </c>
      <c r="B2433" s="11" t="s">
        <v>37</v>
      </c>
      <c r="C2433">
        <v>2318</v>
      </c>
      <c r="D2433" t="s">
        <v>6</v>
      </c>
      <c r="E2433" t="str">
        <f>IF(may[[#This Row],[ShiftCounter]]&gt;0, "Running", "Down")</f>
        <v>Running</v>
      </c>
    </row>
    <row r="2434" spans="1:5" x14ac:dyDescent="0.25">
      <c r="A2434" s="10">
        <v>44706</v>
      </c>
      <c r="B2434" s="11" t="s">
        <v>37</v>
      </c>
      <c r="C2434">
        <v>2250</v>
      </c>
      <c r="D2434" t="s">
        <v>7</v>
      </c>
      <c r="E2434" t="str">
        <f>IF(may[[#This Row],[ShiftCounter]]&gt;0, "Running", "Down")</f>
        <v>Running</v>
      </c>
    </row>
    <row r="2435" spans="1:5" x14ac:dyDescent="0.25">
      <c r="A2435" s="10">
        <v>44706</v>
      </c>
      <c r="B2435" s="11" t="s">
        <v>37</v>
      </c>
      <c r="C2435">
        <v>2019</v>
      </c>
      <c r="D2435" t="s">
        <v>8</v>
      </c>
      <c r="E2435" t="str">
        <f>IF(may[[#This Row],[ShiftCounter]]&gt;0, "Running", "Down")</f>
        <v>Running</v>
      </c>
    </row>
    <row r="2436" spans="1:5" x14ac:dyDescent="0.25">
      <c r="A2436" s="10">
        <v>44707</v>
      </c>
      <c r="B2436" s="11" t="s">
        <v>39</v>
      </c>
      <c r="C2436">
        <v>2107</v>
      </c>
      <c r="D2436" t="s">
        <v>6</v>
      </c>
      <c r="E2436" t="str">
        <f>IF(may[[#This Row],[ShiftCounter]]&gt;0, "Running", "Down")</f>
        <v>Running</v>
      </c>
    </row>
    <row r="2437" spans="1:5" x14ac:dyDescent="0.25">
      <c r="A2437" s="10">
        <v>44707</v>
      </c>
      <c r="B2437" s="11" t="s">
        <v>39</v>
      </c>
      <c r="C2437">
        <v>2195</v>
      </c>
      <c r="D2437" t="s">
        <v>7</v>
      </c>
      <c r="E2437" t="str">
        <f>IF(may[[#This Row],[ShiftCounter]]&gt;0, "Running", "Down")</f>
        <v>Running</v>
      </c>
    </row>
    <row r="2438" spans="1:5" x14ac:dyDescent="0.25">
      <c r="A2438" s="10">
        <v>44707</v>
      </c>
      <c r="B2438" s="11" t="s">
        <v>39</v>
      </c>
      <c r="C2438">
        <v>1790</v>
      </c>
      <c r="D2438" t="s">
        <v>8</v>
      </c>
      <c r="E2438" t="str">
        <f>IF(may[[#This Row],[ShiftCounter]]&gt;0, "Running", "Down")</f>
        <v>Running</v>
      </c>
    </row>
    <row r="2439" spans="1:5" x14ac:dyDescent="0.25">
      <c r="A2439" s="10">
        <v>44707</v>
      </c>
      <c r="B2439" s="11" t="s">
        <v>40</v>
      </c>
      <c r="C2439">
        <v>0</v>
      </c>
      <c r="D2439" t="s">
        <v>6</v>
      </c>
      <c r="E2439" t="str">
        <f>IF(may[[#This Row],[ShiftCounter]]&gt;0, "Running", "Down")</f>
        <v>Down</v>
      </c>
    </row>
    <row r="2440" spans="1:5" x14ac:dyDescent="0.25">
      <c r="A2440" s="10">
        <v>44707</v>
      </c>
      <c r="B2440" s="11" t="s">
        <v>40</v>
      </c>
      <c r="C2440">
        <v>1878</v>
      </c>
      <c r="D2440" t="s">
        <v>7</v>
      </c>
      <c r="E2440" t="str">
        <f>IF(may[[#This Row],[ShiftCounter]]&gt;0, "Running", "Down")</f>
        <v>Running</v>
      </c>
    </row>
    <row r="2441" spans="1:5" x14ac:dyDescent="0.25">
      <c r="A2441" s="10">
        <v>44707</v>
      </c>
      <c r="B2441" s="11" t="s">
        <v>40</v>
      </c>
      <c r="C2441">
        <v>2047</v>
      </c>
      <c r="D2441" t="s">
        <v>8</v>
      </c>
      <c r="E2441" t="str">
        <f>IF(may[[#This Row],[ShiftCounter]]&gt;0, "Running", "Down")</f>
        <v>Running</v>
      </c>
    </row>
    <row r="2442" spans="1:5" x14ac:dyDescent="0.25">
      <c r="A2442" s="10">
        <v>44707</v>
      </c>
      <c r="B2442" s="11" t="s">
        <v>41</v>
      </c>
      <c r="C2442">
        <v>2375</v>
      </c>
      <c r="D2442" t="s">
        <v>6</v>
      </c>
      <c r="E2442" t="str">
        <f>IF(may[[#This Row],[ShiftCounter]]&gt;0, "Running", "Down")</f>
        <v>Running</v>
      </c>
    </row>
    <row r="2443" spans="1:5" x14ac:dyDescent="0.25">
      <c r="A2443" s="10">
        <v>44707</v>
      </c>
      <c r="B2443" s="11" t="s">
        <v>41</v>
      </c>
      <c r="C2443">
        <v>2390</v>
      </c>
      <c r="D2443" t="s">
        <v>7</v>
      </c>
      <c r="E2443" t="str">
        <f>IF(may[[#This Row],[ShiftCounter]]&gt;0, "Running", "Down")</f>
        <v>Running</v>
      </c>
    </row>
    <row r="2444" spans="1:5" x14ac:dyDescent="0.25">
      <c r="A2444" s="10">
        <v>44707</v>
      </c>
      <c r="B2444" s="11" t="s">
        <v>41</v>
      </c>
      <c r="C2444">
        <v>2036</v>
      </c>
      <c r="D2444" t="s">
        <v>8</v>
      </c>
      <c r="E2444" t="str">
        <f>IF(may[[#This Row],[ShiftCounter]]&gt;0, "Running", "Down")</f>
        <v>Running</v>
      </c>
    </row>
    <row r="2445" spans="1:5" x14ac:dyDescent="0.25">
      <c r="A2445" s="10">
        <v>44707</v>
      </c>
      <c r="B2445" s="11" t="s">
        <v>9</v>
      </c>
      <c r="C2445">
        <v>2334</v>
      </c>
      <c r="D2445" t="s">
        <v>6</v>
      </c>
      <c r="E2445" t="str">
        <f>IF(may[[#This Row],[ShiftCounter]]&gt;0, "Running", "Down")</f>
        <v>Running</v>
      </c>
    </row>
    <row r="2446" spans="1:5" x14ac:dyDescent="0.25">
      <c r="A2446" s="10">
        <v>44707</v>
      </c>
      <c r="B2446" s="11" t="s">
        <v>9</v>
      </c>
      <c r="C2446">
        <v>2388</v>
      </c>
      <c r="D2446" t="s">
        <v>7</v>
      </c>
      <c r="E2446" t="str">
        <f>IF(may[[#This Row],[ShiftCounter]]&gt;0, "Running", "Down")</f>
        <v>Running</v>
      </c>
    </row>
    <row r="2447" spans="1:5" x14ac:dyDescent="0.25">
      <c r="A2447" s="10">
        <v>44707</v>
      </c>
      <c r="B2447" s="11" t="s">
        <v>9</v>
      </c>
      <c r="C2447">
        <v>2025</v>
      </c>
      <c r="D2447" t="s">
        <v>8</v>
      </c>
      <c r="E2447" t="str">
        <f>IF(may[[#This Row],[ShiftCounter]]&gt;0, "Running", "Down")</f>
        <v>Running</v>
      </c>
    </row>
    <row r="2448" spans="1:5" x14ac:dyDescent="0.25">
      <c r="A2448" s="10">
        <v>44707</v>
      </c>
      <c r="B2448" s="11" t="s">
        <v>10</v>
      </c>
      <c r="C2448">
        <v>2385</v>
      </c>
      <c r="D2448" t="s">
        <v>6</v>
      </c>
      <c r="E2448" t="str">
        <f>IF(may[[#This Row],[ShiftCounter]]&gt;0, "Running", "Down")</f>
        <v>Running</v>
      </c>
    </row>
    <row r="2449" spans="1:5" x14ac:dyDescent="0.25">
      <c r="A2449" s="10">
        <v>44707</v>
      </c>
      <c r="B2449" s="11" t="s">
        <v>10</v>
      </c>
      <c r="C2449">
        <v>2388</v>
      </c>
      <c r="D2449" t="s">
        <v>7</v>
      </c>
      <c r="E2449" t="str">
        <f>IF(may[[#This Row],[ShiftCounter]]&gt;0, "Running", "Down")</f>
        <v>Running</v>
      </c>
    </row>
    <row r="2450" spans="1:5" x14ac:dyDescent="0.25">
      <c r="A2450" s="10">
        <v>44707</v>
      </c>
      <c r="B2450" s="11" t="s">
        <v>10</v>
      </c>
      <c r="C2450">
        <v>2063</v>
      </c>
      <c r="D2450" t="s">
        <v>8</v>
      </c>
      <c r="E2450" t="str">
        <f>IF(may[[#This Row],[ShiftCounter]]&gt;0, "Running", "Down")</f>
        <v>Running</v>
      </c>
    </row>
    <row r="2451" spans="1:5" x14ac:dyDescent="0.25">
      <c r="A2451" s="10">
        <v>44707</v>
      </c>
      <c r="B2451" s="11" t="s">
        <v>12</v>
      </c>
      <c r="C2451">
        <v>2090</v>
      </c>
      <c r="D2451" t="s">
        <v>6</v>
      </c>
      <c r="E2451" t="str">
        <f>IF(may[[#This Row],[ShiftCounter]]&gt;0, "Running", "Down")</f>
        <v>Running</v>
      </c>
    </row>
    <row r="2452" spans="1:5" x14ac:dyDescent="0.25">
      <c r="A2452" s="10">
        <v>44707</v>
      </c>
      <c r="B2452" s="11" t="s">
        <v>12</v>
      </c>
      <c r="C2452">
        <v>2134</v>
      </c>
      <c r="D2452" t="s">
        <v>7</v>
      </c>
      <c r="E2452" t="str">
        <f>IF(may[[#This Row],[ShiftCounter]]&gt;0, "Running", "Down")</f>
        <v>Running</v>
      </c>
    </row>
    <row r="2453" spans="1:5" x14ac:dyDescent="0.25">
      <c r="A2453" s="10">
        <v>44707</v>
      </c>
      <c r="B2453" s="11" t="s">
        <v>12</v>
      </c>
      <c r="C2453">
        <v>1866</v>
      </c>
      <c r="D2453" t="s">
        <v>8</v>
      </c>
      <c r="E2453" t="str">
        <f>IF(may[[#This Row],[ShiftCounter]]&gt;0, "Running", "Down")</f>
        <v>Running</v>
      </c>
    </row>
    <row r="2454" spans="1:5" x14ac:dyDescent="0.25">
      <c r="A2454" s="10">
        <v>44707</v>
      </c>
      <c r="B2454" s="11" t="s">
        <v>105</v>
      </c>
      <c r="C2454">
        <v>2195</v>
      </c>
      <c r="D2454" t="s">
        <v>6</v>
      </c>
      <c r="E2454" t="str">
        <f>IF(may[[#This Row],[ShiftCounter]]&gt;0, "Running", "Down")</f>
        <v>Running</v>
      </c>
    </row>
    <row r="2455" spans="1:5" x14ac:dyDescent="0.25">
      <c r="A2455" s="10">
        <v>44707</v>
      </c>
      <c r="B2455" s="11" t="s">
        <v>105</v>
      </c>
      <c r="C2455">
        <v>2089</v>
      </c>
      <c r="D2455" t="s">
        <v>7</v>
      </c>
      <c r="E2455" t="str">
        <f>IF(may[[#This Row],[ShiftCounter]]&gt;0, "Running", "Down")</f>
        <v>Running</v>
      </c>
    </row>
    <row r="2456" spans="1:5" x14ac:dyDescent="0.25">
      <c r="A2456" s="10">
        <v>44707</v>
      </c>
      <c r="B2456" s="11" t="s">
        <v>105</v>
      </c>
      <c r="C2456">
        <v>1950</v>
      </c>
      <c r="D2456" t="s">
        <v>8</v>
      </c>
      <c r="E2456" t="str">
        <f>IF(may[[#This Row],[ShiftCounter]]&gt;0, "Running", "Down")</f>
        <v>Running</v>
      </c>
    </row>
    <row r="2457" spans="1:5" x14ac:dyDescent="0.25">
      <c r="A2457" s="10">
        <v>44707</v>
      </c>
      <c r="B2457" s="11" t="s">
        <v>13</v>
      </c>
      <c r="C2457">
        <v>2156</v>
      </c>
      <c r="D2457" t="s">
        <v>6</v>
      </c>
      <c r="E2457" t="str">
        <f>IF(may[[#This Row],[ShiftCounter]]&gt;0, "Running", "Down")</f>
        <v>Running</v>
      </c>
    </row>
    <row r="2458" spans="1:5" x14ac:dyDescent="0.25">
      <c r="A2458" s="10">
        <v>44707</v>
      </c>
      <c r="B2458" s="11" t="s">
        <v>13</v>
      </c>
      <c r="C2458">
        <v>2180</v>
      </c>
      <c r="D2458" t="s">
        <v>7</v>
      </c>
      <c r="E2458" t="str">
        <f>IF(may[[#This Row],[ShiftCounter]]&gt;0, "Running", "Down")</f>
        <v>Running</v>
      </c>
    </row>
    <row r="2459" spans="1:5" x14ac:dyDescent="0.25">
      <c r="A2459" s="10">
        <v>44707</v>
      </c>
      <c r="B2459" s="11" t="s">
        <v>13</v>
      </c>
      <c r="C2459">
        <v>1807</v>
      </c>
      <c r="D2459" t="s">
        <v>8</v>
      </c>
      <c r="E2459" t="str">
        <f>IF(may[[#This Row],[ShiftCounter]]&gt;0, "Running", "Down")</f>
        <v>Running</v>
      </c>
    </row>
    <row r="2460" spans="1:5" x14ac:dyDescent="0.25">
      <c r="A2460" s="10">
        <v>44707</v>
      </c>
      <c r="B2460" s="11" t="s">
        <v>101</v>
      </c>
      <c r="C2460">
        <v>1842</v>
      </c>
      <c r="D2460" t="s">
        <v>6</v>
      </c>
      <c r="E2460" t="str">
        <f>IF(may[[#This Row],[ShiftCounter]]&gt;0, "Running", "Down")</f>
        <v>Running</v>
      </c>
    </row>
    <row r="2461" spans="1:5" x14ac:dyDescent="0.25">
      <c r="A2461" s="10">
        <v>44707</v>
      </c>
      <c r="B2461" s="11" t="s">
        <v>101</v>
      </c>
      <c r="C2461">
        <v>2206</v>
      </c>
      <c r="D2461" t="s">
        <v>7</v>
      </c>
      <c r="E2461" t="str">
        <f>IF(may[[#This Row],[ShiftCounter]]&gt;0, "Running", "Down")</f>
        <v>Running</v>
      </c>
    </row>
    <row r="2462" spans="1:5" x14ac:dyDescent="0.25">
      <c r="A2462" s="10">
        <v>44707</v>
      </c>
      <c r="B2462" s="11" t="s">
        <v>101</v>
      </c>
      <c r="C2462">
        <v>1821</v>
      </c>
      <c r="D2462" t="s">
        <v>8</v>
      </c>
      <c r="E2462" t="str">
        <f>IF(may[[#This Row],[ShiftCounter]]&gt;0, "Running", "Down")</f>
        <v>Running</v>
      </c>
    </row>
    <row r="2463" spans="1:5" x14ac:dyDescent="0.25">
      <c r="A2463" s="10">
        <v>44707</v>
      </c>
      <c r="B2463" s="11" t="s">
        <v>14</v>
      </c>
      <c r="C2463">
        <v>1874</v>
      </c>
      <c r="D2463" t="s">
        <v>6</v>
      </c>
      <c r="E2463" t="str">
        <f>IF(may[[#This Row],[ShiftCounter]]&gt;0, "Running", "Down")</f>
        <v>Running</v>
      </c>
    </row>
    <row r="2464" spans="1:5" x14ac:dyDescent="0.25">
      <c r="A2464" s="10">
        <v>44707</v>
      </c>
      <c r="B2464" s="11" t="s">
        <v>14</v>
      </c>
      <c r="C2464">
        <v>1891</v>
      </c>
      <c r="D2464" t="s">
        <v>7</v>
      </c>
      <c r="E2464" t="str">
        <f>IF(may[[#This Row],[ShiftCounter]]&gt;0, "Running", "Down")</f>
        <v>Running</v>
      </c>
    </row>
    <row r="2465" spans="1:5" x14ac:dyDescent="0.25">
      <c r="A2465" s="10">
        <v>44707</v>
      </c>
      <c r="B2465" s="11" t="s">
        <v>14</v>
      </c>
      <c r="C2465">
        <v>1563</v>
      </c>
      <c r="D2465" t="s">
        <v>8</v>
      </c>
      <c r="E2465" t="str">
        <f>IF(may[[#This Row],[ShiftCounter]]&gt;0, "Running", "Down")</f>
        <v>Running</v>
      </c>
    </row>
    <row r="2466" spans="1:5" x14ac:dyDescent="0.25">
      <c r="A2466" s="10">
        <v>44707</v>
      </c>
      <c r="B2466" s="11" t="s">
        <v>15</v>
      </c>
      <c r="C2466">
        <v>2177</v>
      </c>
      <c r="D2466" t="s">
        <v>6</v>
      </c>
      <c r="E2466" t="str">
        <f>IF(may[[#This Row],[ShiftCounter]]&gt;0, "Running", "Down")</f>
        <v>Running</v>
      </c>
    </row>
    <row r="2467" spans="1:5" x14ac:dyDescent="0.25">
      <c r="A2467" s="10">
        <v>44707</v>
      </c>
      <c r="B2467" s="11" t="s">
        <v>15</v>
      </c>
      <c r="C2467">
        <v>2178</v>
      </c>
      <c r="D2467" t="s">
        <v>7</v>
      </c>
      <c r="E2467" t="str">
        <f>IF(may[[#This Row],[ShiftCounter]]&gt;0, "Running", "Down")</f>
        <v>Running</v>
      </c>
    </row>
    <row r="2468" spans="1:5" x14ac:dyDescent="0.25">
      <c r="A2468" s="10">
        <v>44707</v>
      </c>
      <c r="B2468" s="11" t="s">
        <v>15</v>
      </c>
      <c r="C2468">
        <v>1833</v>
      </c>
      <c r="D2468" t="s">
        <v>8</v>
      </c>
      <c r="E2468" t="str">
        <f>IF(may[[#This Row],[ShiftCounter]]&gt;0, "Running", "Down")</f>
        <v>Running</v>
      </c>
    </row>
    <row r="2469" spans="1:5" x14ac:dyDescent="0.25">
      <c r="A2469" s="10">
        <v>44707</v>
      </c>
      <c r="B2469" s="11" t="s">
        <v>16</v>
      </c>
      <c r="C2469">
        <v>2185</v>
      </c>
      <c r="D2469" t="s">
        <v>6</v>
      </c>
      <c r="E2469" t="str">
        <f>IF(may[[#This Row],[ShiftCounter]]&gt;0, "Running", "Down")</f>
        <v>Running</v>
      </c>
    </row>
    <row r="2470" spans="1:5" x14ac:dyDescent="0.25">
      <c r="A2470" s="10">
        <v>44707</v>
      </c>
      <c r="B2470" s="11" t="s">
        <v>16</v>
      </c>
      <c r="C2470">
        <v>2335</v>
      </c>
      <c r="D2470" t="s">
        <v>7</v>
      </c>
      <c r="E2470" t="str">
        <f>IF(may[[#This Row],[ShiftCounter]]&gt;0, "Running", "Down")</f>
        <v>Running</v>
      </c>
    </row>
    <row r="2471" spans="1:5" x14ac:dyDescent="0.25">
      <c r="A2471" s="10">
        <v>44707</v>
      </c>
      <c r="B2471" s="11" t="s">
        <v>16</v>
      </c>
      <c r="C2471">
        <v>1908</v>
      </c>
      <c r="D2471" t="s">
        <v>8</v>
      </c>
      <c r="E2471" t="str">
        <f>IF(may[[#This Row],[ShiftCounter]]&gt;0, "Running", "Down")</f>
        <v>Running</v>
      </c>
    </row>
    <row r="2472" spans="1:5" x14ac:dyDescent="0.25">
      <c r="A2472" s="10">
        <v>44707</v>
      </c>
      <c r="B2472" s="11" t="s">
        <v>17</v>
      </c>
      <c r="C2472">
        <v>292</v>
      </c>
      <c r="D2472" t="s">
        <v>6</v>
      </c>
      <c r="E2472" t="str">
        <f>IF(may[[#This Row],[ShiftCounter]]&gt;0, "Running", "Down")</f>
        <v>Running</v>
      </c>
    </row>
    <row r="2473" spans="1:5" x14ac:dyDescent="0.25">
      <c r="A2473" s="10">
        <v>44707</v>
      </c>
      <c r="B2473" s="11" t="s">
        <v>17</v>
      </c>
      <c r="C2473">
        <v>2300</v>
      </c>
      <c r="D2473" t="s">
        <v>7</v>
      </c>
      <c r="E2473" t="str">
        <f>IF(may[[#This Row],[ShiftCounter]]&gt;0, "Running", "Down")</f>
        <v>Running</v>
      </c>
    </row>
    <row r="2474" spans="1:5" x14ac:dyDescent="0.25">
      <c r="A2474" s="10">
        <v>44707</v>
      </c>
      <c r="B2474" s="11" t="s">
        <v>17</v>
      </c>
      <c r="C2474">
        <v>2017</v>
      </c>
      <c r="D2474" t="s">
        <v>8</v>
      </c>
      <c r="E2474" t="str">
        <f>IF(may[[#This Row],[ShiftCounter]]&gt;0, "Running", "Down")</f>
        <v>Running</v>
      </c>
    </row>
    <row r="2475" spans="1:5" x14ac:dyDescent="0.25">
      <c r="A2475" s="10">
        <v>44707</v>
      </c>
      <c r="B2475" s="11" t="s">
        <v>19</v>
      </c>
      <c r="C2475">
        <v>1944</v>
      </c>
      <c r="D2475" t="s">
        <v>6</v>
      </c>
      <c r="E2475" t="str">
        <f>IF(may[[#This Row],[ShiftCounter]]&gt;0, "Running", "Down")</f>
        <v>Running</v>
      </c>
    </row>
    <row r="2476" spans="1:5" x14ac:dyDescent="0.25">
      <c r="A2476" s="10">
        <v>44707</v>
      </c>
      <c r="B2476" s="11" t="s">
        <v>19</v>
      </c>
      <c r="C2476">
        <v>1871</v>
      </c>
      <c r="D2476" t="s">
        <v>7</v>
      </c>
      <c r="E2476" t="str">
        <f>IF(may[[#This Row],[ShiftCounter]]&gt;0, "Running", "Down")</f>
        <v>Running</v>
      </c>
    </row>
    <row r="2477" spans="1:5" x14ac:dyDescent="0.25">
      <c r="A2477" s="10">
        <v>44707</v>
      </c>
      <c r="B2477" s="11" t="s">
        <v>19</v>
      </c>
      <c r="C2477">
        <v>1768</v>
      </c>
      <c r="D2477" t="s">
        <v>8</v>
      </c>
      <c r="E2477" t="str">
        <f>IF(may[[#This Row],[ShiftCounter]]&gt;0, "Running", "Down")</f>
        <v>Running</v>
      </c>
    </row>
    <row r="2478" spans="1:5" x14ac:dyDescent="0.25">
      <c r="A2478" s="10">
        <v>44707</v>
      </c>
      <c r="B2478" s="11" t="s">
        <v>18</v>
      </c>
      <c r="C2478">
        <v>2291</v>
      </c>
      <c r="D2478" t="s">
        <v>6</v>
      </c>
      <c r="E2478" t="str">
        <f>IF(may[[#This Row],[ShiftCounter]]&gt;0, "Running", "Down")</f>
        <v>Running</v>
      </c>
    </row>
    <row r="2479" spans="1:5" x14ac:dyDescent="0.25">
      <c r="A2479" s="10">
        <v>44707</v>
      </c>
      <c r="B2479" s="11" t="s">
        <v>18</v>
      </c>
      <c r="C2479">
        <v>2337</v>
      </c>
      <c r="D2479" t="s">
        <v>7</v>
      </c>
      <c r="E2479" t="str">
        <f>IF(may[[#This Row],[ShiftCounter]]&gt;0, "Running", "Down")</f>
        <v>Running</v>
      </c>
    </row>
    <row r="2480" spans="1:5" x14ac:dyDescent="0.25">
      <c r="A2480" s="10">
        <v>44707</v>
      </c>
      <c r="B2480" s="11" t="s">
        <v>18</v>
      </c>
      <c r="C2480">
        <v>2220</v>
      </c>
      <c r="D2480" t="s">
        <v>8</v>
      </c>
      <c r="E2480" t="str">
        <f>IF(may[[#This Row],[ShiftCounter]]&gt;0, "Running", "Down")</f>
        <v>Running</v>
      </c>
    </row>
    <row r="2481" spans="1:5" x14ac:dyDescent="0.25">
      <c r="A2481" s="10">
        <v>44707</v>
      </c>
      <c r="B2481" s="11" t="s">
        <v>20</v>
      </c>
      <c r="C2481">
        <v>2241</v>
      </c>
      <c r="D2481" t="s">
        <v>6</v>
      </c>
      <c r="E2481" t="str">
        <f>IF(may[[#This Row],[ShiftCounter]]&gt;0, "Running", "Down")</f>
        <v>Running</v>
      </c>
    </row>
    <row r="2482" spans="1:5" x14ac:dyDescent="0.25">
      <c r="A2482" s="10">
        <v>44707</v>
      </c>
      <c r="B2482" s="11" t="s">
        <v>20</v>
      </c>
      <c r="C2482">
        <v>2276</v>
      </c>
      <c r="D2482" t="s">
        <v>7</v>
      </c>
      <c r="E2482" t="str">
        <f>IF(may[[#This Row],[ShiftCounter]]&gt;0, "Running", "Down")</f>
        <v>Running</v>
      </c>
    </row>
    <row r="2483" spans="1:5" x14ac:dyDescent="0.25">
      <c r="A2483" s="10">
        <v>44707</v>
      </c>
      <c r="B2483" s="11" t="s">
        <v>20</v>
      </c>
      <c r="C2483">
        <v>2108</v>
      </c>
      <c r="D2483" t="s">
        <v>8</v>
      </c>
      <c r="E2483" t="str">
        <f>IF(may[[#This Row],[ShiftCounter]]&gt;0, "Running", "Down")</f>
        <v>Running</v>
      </c>
    </row>
    <row r="2484" spans="1:5" x14ac:dyDescent="0.25">
      <c r="A2484" s="10">
        <v>44707</v>
      </c>
      <c r="B2484" s="11" t="s">
        <v>21</v>
      </c>
      <c r="C2484">
        <v>2026</v>
      </c>
      <c r="D2484" t="s">
        <v>6</v>
      </c>
      <c r="E2484" t="str">
        <f>IF(may[[#This Row],[ShiftCounter]]&gt;0, "Running", "Down")</f>
        <v>Running</v>
      </c>
    </row>
    <row r="2485" spans="1:5" x14ac:dyDescent="0.25">
      <c r="A2485" s="10">
        <v>44707</v>
      </c>
      <c r="B2485" s="11" t="s">
        <v>21</v>
      </c>
      <c r="C2485">
        <v>2049</v>
      </c>
      <c r="D2485" t="s">
        <v>7</v>
      </c>
      <c r="E2485" t="str">
        <f>IF(may[[#This Row],[ShiftCounter]]&gt;0, "Running", "Down")</f>
        <v>Running</v>
      </c>
    </row>
    <row r="2486" spans="1:5" x14ac:dyDescent="0.25">
      <c r="A2486" s="10">
        <v>44707</v>
      </c>
      <c r="B2486" s="11" t="s">
        <v>21</v>
      </c>
      <c r="C2486">
        <v>1875</v>
      </c>
      <c r="D2486" t="s">
        <v>8</v>
      </c>
      <c r="E2486" t="str">
        <f>IF(may[[#This Row],[ShiftCounter]]&gt;0, "Running", "Down")</f>
        <v>Running</v>
      </c>
    </row>
    <row r="2487" spans="1:5" x14ac:dyDescent="0.25">
      <c r="A2487" s="10">
        <v>44707</v>
      </c>
      <c r="B2487" s="11" t="s">
        <v>22</v>
      </c>
      <c r="C2487">
        <v>1998</v>
      </c>
      <c r="D2487" t="s">
        <v>6</v>
      </c>
      <c r="E2487" t="str">
        <f>IF(may[[#This Row],[ShiftCounter]]&gt;0, "Running", "Down")</f>
        <v>Running</v>
      </c>
    </row>
    <row r="2488" spans="1:5" x14ac:dyDescent="0.25">
      <c r="A2488" s="10">
        <v>44707</v>
      </c>
      <c r="B2488" s="11" t="s">
        <v>22</v>
      </c>
      <c r="C2488">
        <v>1806</v>
      </c>
      <c r="D2488" t="s">
        <v>7</v>
      </c>
      <c r="E2488" t="str">
        <f>IF(may[[#This Row],[ShiftCounter]]&gt;0, "Running", "Down")</f>
        <v>Running</v>
      </c>
    </row>
    <row r="2489" spans="1:5" x14ac:dyDescent="0.25">
      <c r="A2489" s="10">
        <v>44707</v>
      </c>
      <c r="B2489" s="11" t="s">
        <v>22</v>
      </c>
      <c r="C2489">
        <v>1655</v>
      </c>
      <c r="D2489" t="s">
        <v>8</v>
      </c>
      <c r="E2489" t="str">
        <f>IF(may[[#This Row],[ShiftCounter]]&gt;0, "Running", "Down")</f>
        <v>Running</v>
      </c>
    </row>
    <row r="2490" spans="1:5" x14ac:dyDescent="0.25">
      <c r="A2490" s="10">
        <v>44707</v>
      </c>
      <c r="B2490" s="11" t="s">
        <v>23</v>
      </c>
      <c r="C2490">
        <v>2177</v>
      </c>
      <c r="D2490" t="s">
        <v>6</v>
      </c>
      <c r="E2490" t="str">
        <f>IF(may[[#This Row],[ShiftCounter]]&gt;0, "Running", "Down")</f>
        <v>Running</v>
      </c>
    </row>
    <row r="2491" spans="1:5" x14ac:dyDescent="0.25">
      <c r="A2491" s="10">
        <v>44707</v>
      </c>
      <c r="B2491" s="11" t="s">
        <v>23</v>
      </c>
      <c r="C2491">
        <v>2308</v>
      </c>
      <c r="D2491" t="s">
        <v>7</v>
      </c>
      <c r="E2491" t="str">
        <f>IF(may[[#This Row],[ShiftCounter]]&gt;0, "Running", "Down")</f>
        <v>Running</v>
      </c>
    </row>
    <row r="2492" spans="1:5" x14ac:dyDescent="0.25">
      <c r="A2492" s="10">
        <v>44707</v>
      </c>
      <c r="B2492" s="11" t="s">
        <v>23</v>
      </c>
      <c r="C2492">
        <v>2149</v>
      </c>
      <c r="D2492" t="s">
        <v>8</v>
      </c>
      <c r="E2492" t="str">
        <f>IF(may[[#This Row],[ShiftCounter]]&gt;0, "Running", "Down")</f>
        <v>Running</v>
      </c>
    </row>
    <row r="2493" spans="1:5" x14ac:dyDescent="0.25">
      <c r="A2493" s="10">
        <v>44707</v>
      </c>
      <c r="B2493" s="11" t="s">
        <v>24</v>
      </c>
      <c r="C2493">
        <v>2151</v>
      </c>
      <c r="D2493" t="s">
        <v>6</v>
      </c>
      <c r="E2493" t="str">
        <f>IF(may[[#This Row],[ShiftCounter]]&gt;0, "Running", "Down")</f>
        <v>Running</v>
      </c>
    </row>
    <row r="2494" spans="1:5" x14ac:dyDescent="0.25">
      <c r="A2494" s="10">
        <v>44707</v>
      </c>
      <c r="B2494" s="11" t="s">
        <v>24</v>
      </c>
      <c r="C2494">
        <v>2022</v>
      </c>
      <c r="D2494" t="s">
        <v>7</v>
      </c>
      <c r="E2494" t="str">
        <f>IF(may[[#This Row],[ShiftCounter]]&gt;0, "Running", "Down")</f>
        <v>Running</v>
      </c>
    </row>
    <row r="2495" spans="1:5" x14ac:dyDescent="0.25">
      <c r="A2495" s="10">
        <v>44707</v>
      </c>
      <c r="B2495" s="11" t="s">
        <v>24</v>
      </c>
      <c r="C2495">
        <v>1924</v>
      </c>
      <c r="D2495" t="s">
        <v>8</v>
      </c>
      <c r="E2495" t="str">
        <f>IF(may[[#This Row],[ShiftCounter]]&gt;0, "Running", "Down")</f>
        <v>Running</v>
      </c>
    </row>
    <row r="2496" spans="1:5" x14ac:dyDescent="0.25">
      <c r="A2496" s="10">
        <v>44707</v>
      </c>
      <c r="B2496" s="11" t="s">
        <v>25</v>
      </c>
      <c r="C2496">
        <v>2365</v>
      </c>
      <c r="D2496" t="s">
        <v>6</v>
      </c>
      <c r="E2496" t="str">
        <f>IF(may[[#This Row],[ShiftCounter]]&gt;0, "Running", "Down")</f>
        <v>Running</v>
      </c>
    </row>
    <row r="2497" spans="1:5" x14ac:dyDescent="0.25">
      <c r="A2497" s="10">
        <v>44707</v>
      </c>
      <c r="B2497" s="11" t="s">
        <v>25</v>
      </c>
      <c r="C2497">
        <v>2218</v>
      </c>
      <c r="D2497" t="s">
        <v>7</v>
      </c>
      <c r="E2497" t="str">
        <f>IF(may[[#This Row],[ShiftCounter]]&gt;0, "Running", "Down")</f>
        <v>Running</v>
      </c>
    </row>
    <row r="2498" spans="1:5" x14ac:dyDescent="0.25">
      <c r="A2498" s="10">
        <v>44707</v>
      </c>
      <c r="B2498" s="11" t="s">
        <v>25</v>
      </c>
      <c r="C2498">
        <v>2013</v>
      </c>
      <c r="D2498" t="s">
        <v>8</v>
      </c>
      <c r="E2498" t="str">
        <f>IF(may[[#This Row],[ShiftCounter]]&gt;0, "Running", "Down")</f>
        <v>Running</v>
      </c>
    </row>
    <row r="2499" spans="1:5" x14ac:dyDescent="0.25">
      <c r="A2499" s="10">
        <v>44707</v>
      </c>
      <c r="B2499" s="11" t="s">
        <v>26</v>
      </c>
      <c r="C2499">
        <v>2268</v>
      </c>
      <c r="D2499" t="s">
        <v>6</v>
      </c>
      <c r="E2499" t="str">
        <f>IF(may[[#This Row],[ShiftCounter]]&gt;0, "Running", "Down")</f>
        <v>Running</v>
      </c>
    </row>
    <row r="2500" spans="1:5" x14ac:dyDescent="0.25">
      <c r="A2500" s="10">
        <v>44707</v>
      </c>
      <c r="B2500" s="11" t="s">
        <v>26</v>
      </c>
      <c r="C2500">
        <v>2145</v>
      </c>
      <c r="D2500" t="s">
        <v>7</v>
      </c>
      <c r="E2500" t="str">
        <f>IF(may[[#This Row],[ShiftCounter]]&gt;0, "Running", "Down")</f>
        <v>Running</v>
      </c>
    </row>
    <row r="2501" spans="1:5" x14ac:dyDescent="0.25">
      <c r="A2501" s="10">
        <v>44707</v>
      </c>
      <c r="B2501" s="11" t="s">
        <v>26</v>
      </c>
      <c r="C2501">
        <v>1951</v>
      </c>
      <c r="D2501" t="s">
        <v>8</v>
      </c>
      <c r="E2501" t="str">
        <f>IF(may[[#This Row],[ShiftCounter]]&gt;0, "Running", "Down")</f>
        <v>Running</v>
      </c>
    </row>
    <row r="2502" spans="1:5" x14ac:dyDescent="0.25">
      <c r="A2502" s="10">
        <v>44707</v>
      </c>
      <c r="B2502" s="11" t="s">
        <v>27</v>
      </c>
      <c r="C2502">
        <v>2443</v>
      </c>
      <c r="D2502" t="s">
        <v>6</v>
      </c>
      <c r="E2502" t="str">
        <f>IF(may[[#This Row],[ShiftCounter]]&gt;0, "Running", "Down")</f>
        <v>Running</v>
      </c>
    </row>
    <row r="2503" spans="1:5" x14ac:dyDescent="0.25">
      <c r="A2503" s="10">
        <v>44707</v>
      </c>
      <c r="B2503" s="11" t="s">
        <v>27</v>
      </c>
      <c r="C2503">
        <v>2011</v>
      </c>
      <c r="D2503" t="s">
        <v>7</v>
      </c>
      <c r="E2503" t="str">
        <f>IF(may[[#This Row],[ShiftCounter]]&gt;0, "Running", "Down")</f>
        <v>Running</v>
      </c>
    </row>
    <row r="2504" spans="1:5" x14ac:dyDescent="0.25">
      <c r="A2504" s="10">
        <v>44707</v>
      </c>
      <c r="B2504" s="11" t="s">
        <v>27</v>
      </c>
      <c r="C2504">
        <v>2040</v>
      </c>
      <c r="D2504" t="s">
        <v>8</v>
      </c>
      <c r="E2504" t="str">
        <f>IF(may[[#This Row],[ShiftCounter]]&gt;0, "Running", "Down")</f>
        <v>Running</v>
      </c>
    </row>
    <row r="2505" spans="1:5" x14ac:dyDescent="0.25">
      <c r="A2505" s="10">
        <v>44707</v>
      </c>
      <c r="B2505" s="11" t="s">
        <v>28</v>
      </c>
      <c r="C2505">
        <v>2330</v>
      </c>
      <c r="D2505" t="s">
        <v>6</v>
      </c>
      <c r="E2505" t="str">
        <f>IF(may[[#This Row],[ShiftCounter]]&gt;0, "Running", "Down")</f>
        <v>Running</v>
      </c>
    </row>
    <row r="2506" spans="1:5" x14ac:dyDescent="0.25">
      <c r="A2506" s="10">
        <v>44707</v>
      </c>
      <c r="B2506" s="11" t="s">
        <v>28</v>
      </c>
      <c r="C2506">
        <v>2163</v>
      </c>
      <c r="D2506" t="s">
        <v>7</v>
      </c>
      <c r="E2506" t="str">
        <f>IF(may[[#This Row],[ShiftCounter]]&gt;0, "Running", "Down")</f>
        <v>Running</v>
      </c>
    </row>
    <row r="2507" spans="1:5" x14ac:dyDescent="0.25">
      <c r="A2507" s="10">
        <v>44707</v>
      </c>
      <c r="B2507" s="11" t="s">
        <v>28</v>
      </c>
      <c r="C2507">
        <v>1945</v>
      </c>
      <c r="D2507" t="s">
        <v>8</v>
      </c>
      <c r="E2507" t="str">
        <f>IF(may[[#This Row],[ShiftCounter]]&gt;0, "Running", "Down")</f>
        <v>Running</v>
      </c>
    </row>
    <row r="2508" spans="1:5" x14ac:dyDescent="0.25">
      <c r="A2508" s="10">
        <v>44707</v>
      </c>
      <c r="B2508" s="11" t="s">
        <v>29</v>
      </c>
      <c r="C2508">
        <v>2136</v>
      </c>
      <c r="D2508" t="s">
        <v>6</v>
      </c>
      <c r="E2508" t="str">
        <f>IF(may[[#This Row],[ShiftCounter]]&gt;0, "Running", "Down")</f>
        <v>Running</v>
      </c>
    </row>
    <row r="2509" spans="1:5" x14ac:dyDescent="0.25">
      <c r="A2509" s="10">
        <v>44707</v>
      </c>
      <c r="B2509" s="11" t="s">
        <v>29</v>
      </c>
      <c r="C2509">
        <v>2001</v>
      </c>
      <c r="D2509" t="s">
        <v>7</v>
      </c>
      <c r="E2509" t="str">
        <f>IF(may[[#This Row],[ShiftCounter]]&gt;0, "Running", "Down")</f>
        <v>Running</v>
      </c>
    </row>
    <row r="2510" spans="1:5" x14ac:dyDescent="0.25">
      <c r="A2510" s="10">
        <v>44707</v>
      </c>
      <c r="B2510" s="11" t="s">
        <v>29</v>
      </c>
      <c r="C2510">
        <v>1802</v>
      </c>
      <c r="D2510" t="s">
        <v>8</v>
      </c>
      <c r="E2510" t="str">
        <f>IF(may[[#This Row],[ShiftCounter]]&gt;0, "Running", "Down")</f>
        <v>Running</v>
      </c>
    </row>
    <row r="2511" spans="1:5" x14ac:dyDescent="0.25">
      <c r="A2511" s="10">
        <v>44707</v>
      </c>
      <c r="B2511" s="11" t="s">
        <v>30</v>
      </c>
      <c r="C2511">
        <v>2389</v>
      </c>
      <c r="D2511" t="s">
        <v>6</v>
      </c>
      <c r="E2511" t="str">
        <f>IF(may[[#This Row],[ShiftCounter]]&gt;0, "Running", "Down")</f>
        <v>Running</v>
      </c>
    </row>
    <row r="2512" spans="1:5" x14ac:dyDescent="0.25">
      <c r="A2512" s="10">
        <v>44707</v>
      </c>
      <c r="B2512" s="11" t="s">
        <v>30</v>
      </c>
      <c r="C2512">
        <v>2216</v>
      </c>
      <c r="D2512" t="s">
        <v>7</v>
      </c>
      <c r="E2512" t="str">
        <f>IF(may[[#This Row],[ShiftCounter]]&gt;0, "Running", "Down")</f>
        <v>Running</v>
      </c>
    </row>
    <row r="2513" spans="1:5" x14ac:dyDescent="0.25">
      <c r="A2513" s="10">
        <v>44707</v>
      </c>
      <c r="B2513" s="11" t="s">
        <v>30</v>
      </c>
      <c r="C2513">
        <v>2004</v>
      </c>
      <c r="D2513" t="s">
        <v>8</v>
      </c>
      <c r="E2513" t="str">
        <f>IF(may[[#This Row],[ShiftCounter]]&gt;0, "Running", "Down")</f>
        <v>Running</v>
      </c>
    </row>
    <row r="2514" spans="1:5" x14ac:dyDescent="0.25">
      <c r="A2514" s="10">
        <v>44707</v>
      </c>
      <c r="B2514" s="11" t="s">
        <v>31</v>
      </c>
      <c r="C2514">
        <v>2253</v>
      </c>
      <c r="D2514" t="s">
        <v>6</v>
      </c>
      <c r="E2514" t="str">
        <f>IF(may[[#This Row],[ShiftCounter]]&gt;0, "Running", "Down")</f>
        <v>Running</v>
      </c>
    </row>
    <row r="2515" spans="1:5" x14ac:dyDescent="0.25">
      <c r="A2515" s="10">
        <v>44707</v>
      </c>
      <c r="B2515" s="11" t="s">
        <v>31</v>
      </c>
      <c r="C2515">
        <v>2103</v>
      </c>
      <c r="D2515" t="s">
        <v>7</v>
      </c>
      <c r="E2515" t="str">
        <f>IF(may[[#This Row],[ShiftCounter]]&gt;0, "Running", "Down")</f>
        <v>Running</v>
      </c>
    </row>
    <row r="2516" spans="1:5" x14ac:dyDescent="0.25">
      <c r="A2516" s="10">
        <v>44707</v>
      </c>
      <c r="B2516" s="11" t="s">
        <v>31</v>
      </c>
      <c r="C2516">
        <v>1902</v>
      </c>
      <c r="D2516" t="s">
        <v>8</v>
      </c>
      <c r="E2516" t="str">
        <f>IF(may[[#This Row],[ShiftCounter]]&gt;0, "Running", "Down")</f>
        <v>Running</v>
      </c>
    </row>
    <row r="2517" spans="1:5" x14ac:dyDescent="0.25">
      <c r="A2517" s="10">
        <v>44707</v>
      </c>
      <c r="B2517" s="11" t="s">
        <v>32</v>
      </c>
      <c r="C2517">
        <v>2242</v>
      </c>
      <c r="D2517" t="s">
        <v>6</v>
      </c>
      <c r="E2517" t="str">
        <f>IF(may[[#This Row],[ShiftCounter]]&gt;0, "Running", "Down")</f>
        <v>Running</v>
      </c>
    </row>
    <row r="2518" spans="1:5" x14ac:dyDescent="0.25">
      <c r="A2518" s="10">
        <v>44707</v>
      </c>
      <c r="B2518" s="11" t="s">
        <v>32</v>
      </c>
      <c r="C2518">
        <v>2176</v>
      </c>
      <c r="D2518" t="s">
        <v>7</v>
      </c>
      <c r="E2518" t="str">
        <f>IF(may[[#This Row],[ShiftCounter]]&gt;0, "Running", "Down")</f>
        <v>Running</v>
      </c>
    </row>
    <row r="2519" spans="1:5" x14ac:dyDescent="0.25">
      <c r="A2519" s="10">
        <v>44707</v>
      </c>
      <c r="B2519" s="11" t="s">
        <v>32</v>
      </c>
      <c r="C2519">
        <v>2072</v>
      </c>
      <c r="D2519" t="s">
        <v>8</v>
      </c>
      <c r="E2519" t="str">
        <f>IF(may[[#This Row],[ShiftCounter]]&gt;0, "Running", "Down")</f>
        <v>Running</v>
      </c>
    </row>
    <row r="2520" spans="1:5" x14ac:dyDescent="0.25">
      <c r="A2520" s="10">
        <v>44707</v>
      </c>
      <c r="B2520" s="11" t="s">
        <v>33</v>
      </c>
      <c r="C2520">
        <v>2518</v>
      </c>
      <c r="D2520" t="s">
        <v>6</v>
      </c>
      <c r="E2520" t="str">
        <f>IF(may[[#This Row],[ShiftCounter]]&gt;0, "Running", "Down")</f>
        <v>Running</v>
      </c>
    </row>
    <row r="2521" spans="1:5" x14ac:dyDescent="0.25">
      <c r="A2521" s="10">
        <v>44707</v>
      </c>
      <c r="B2521" s="11" t="s">
        <v>33</v>
      </c>
      <c r="C2521">
        <v>2447</v>
      </c>
      <c r="D2521" t="s">
        <v>7</v>
      </c>
      <c r="E2521" t="str">
        <f>IF(may[[#This Row],[ShiftCounter]]&gt;0, "Running", "Down")</f>
        <v>Running</v>
      </c>
    </row>
    <row r="2522" spans="1:5" x14ac:dyDescent="0.25">
      <c r="A2522" s="10">
        <v>44707</v>
      </c>
      <c r="B2522" s="11" t="s">
        <v>33</v>
      </c>
      <c r="C2522">
        <v>2340</v>
      </c>
      <c r="D2522" t="s">
        <v>8</v>
      </c>
      <c r="E2522" t="str">
        <f>IF(may[[#This Row],[ShiftCounter]]&gt;0, "Running", "Down")</f>
        <v>Running</v>
      </c>
    </row>
    <row r="2523" spans="1:5" x14ac:dyDescent="0.25">
      <c r="A2523" s="10">
        <v>44707</v>
      </c>
      <c r="B2523" s="11" t="s">
        <v>34</v>
      </c>
      <c r="C2523">
        <v>1874</v>
      </c>
      <c r="D2523" t="s">
        <v>6</v>
      </c>
      <c r="E2523" t="str">
        <f>IF(may[[#This Row],[ShiftCounter]]&gt;0, "Running", "Down")</f>
        <v>Running</v>
      </c>
    </row>
    <row r="2524" spans="1:5" x14ac:dyDescent="0.25">
      <c r="A2524" s="10">
        <v>44707</v>
      </c>
      <c r="B2524" s="11" t="s">
        <v>34</v>
      </c>
      <c r="C2524">
        <v>1924</v>
      </c>
      <c r="D2524" t="s">
        <v>7</v>
      </c>
      <c r="E2524" t="str">
        <f>IF(may[[#This Row],[ShiftCounter]]&gt;0, "Running", "Down")</f>
        <v>Running</v>
      </c>
    </row>
    <row r="2525" spans="1:5" x14ac:dyDescent="0.25">
      <c r="A2525" s="10">
        <v>44707</v>
      </c>
      <c r="B2525" s="11" t="s">
        <v>34</v>
      </c>
      <c r="C2525">
        <v>1728</v>
      </c>
      <c r="D2525" t="s">
        <v>8</v>
      </c>
      <c r="E2525" t="str">
        <f>IF(may[[#This Row],[ShiftCounter]]&gt;0, "Running", "Down")</f>
        <v>Running</v>
      </c>
    </row>
    <row r="2526" spans="1:5" x14ac:dyDescent="0.25">
      <c r="A2526" s="10">
        <v>44707</v>
      </c>
      <c r="B2526" s="11" t="s">
        <v>35</v>
      </c>
      <c r="C2526">
        <v>2330</v>
      </c>
      <c r="D2526" t="s">
        <v>6</v>
      </c>
      <c r="E2526" t="str">
        <f>IF(may[[#This Row],[ShiftCounter]]&gt;0, "Running", "Down")</f>
        <v>Running</v>
      </c>
    </row>
    <row r="2527" spans="1:5" x14ac:dyDescent="0.25">
      <c r="A2527" s="10">
        <v>44707</v>
      </c>
      <c r="B2527" s="11" t="s">
        <v>35</v>
      </c>
      <c r="C2527">
        <v>2234</v>
      </c>
      <c r="D2527" t="s">
        <v>7</v>
      </c>
      <c r="E2527" t="str">
        <f>IF(may[[#This Row],[ShiftCounter]]&gt;0, "Running", "Down")</f>
        <v>Running</v>
      </c>
    </row>
    <row r="2528" spans="1:5" x14ac:dyDescent="0.25">
      <c r="A2528" s="10">
        <v>44707</v>
      </c>
      <c r="B2528" s="11" t="s">
        <v>35</v>
      </c>
      <c r="C2528">
        <v>2135</v>
      </c>
      <c r="D2528" t="s">
        <v>8</v>
      </c>
      <c r="E2528" t="str">
        <f>IF(may[[#This Row],[ShiftCounter]]&gt;0, "Running", "Down")</f>
        <v>Running</v>
      </c>
    </row>
    <row r="2529" spans="1:5" x14ac:dyDescent="0.25">
      <c r="A2529" s="10">
        <v>44707</v>
      </c>
      <c r="B2529" s="11" t="s">
        <v>37</v>
      </c>
      <c r="C2529">
        <v>2376</v>
      </c>
      <c r="D2529" t="s">
        <v>6</v>
      </c>
      <c r="E2529" t="str">
        <f>IF(may[[#This Row],[ShiftCounter]]&gt;0, "Running", "Down")</f>
        <v>Running</v>
      </c>
    </row>
    <row r="2530" spans="1:5" x14ac:dyDescent="0.25">
      <c r="A2530" s="10">
        <v>44707</v>
      </c>
      <c r="B2530" s="11" t="s">
        <v>37</v>
      </c>
      <c r="C2530">
        <v>2274</v>
      </c>
      <c r="D2530" t="s">
        <v>7</v>
      </c>
      <c r="E2530" t="str">
        <f>IF(may[[#This Row],[ShiftCounter]]&gt;0, "Running", "Down")</f>
        <v>Running</v>
      </c>
    </row>
    <row r="2531" spans="1:5" x14ac:dyDescent="0.25">
      <c r="A2531" s="10">
        <v>44707</v>
      </c>
      <c r="B2531" s="11" t="s">
        <v>37</v>
      </c>
      <c r="C2531">
        <v>2106</v>
      </c>
      <c r="D2531" t="s">
        <v>8</v>
      </c>
      <c r="E2531" t="str">
        <f>IF(may[[#This Row],[ShiftCounter]]&gt;0, "Running", "Down")</f>
        <v>Running</v>
      </c>
    </row>
    <row r="2532" spans="1:5" x14ac:dyDescent="0.25">
      <c r="A2532" s="10">
        <v>44708</v>
      </c>
      <c r="B2532" s="11" t="s">
        <v>40</v>
      </c>
      <c r="C2532">
        <v>2395</v>
      </c>
      <c r="D2532" t="s">
        <v>6</v>
      </c>
      <c r="E2532" t="str">
        <f>IF(may[[#This Row],[ShiftCounter]]&gt;0, "Running", "Down")</f>
        <v>Running</v>
      </c>
    </row>
    <row r="2533" spans="1:5" x14ac:dyDescent="0.25">
      <c r="A2533" s="10">
        <v>44708</v>
      </c>
      <c r="B2533" s="11" t="s">
        <v>40</v>
      </c>
      <c r="C2533">
        <v>2247</v>
      </c>
      <c r="D2533" t="s">
        <v>7</v>
      </c>
      <c r="E2533" t="str">
        <f>IF(may[[#This Row],[ShiftCounter]]&gt;0, "Running", "Down")</f>
        <v>Running</v>
      </c>
    </row>
    <row r="2534" spans="1:5" x14ac:dyDescent="0.25">
      <c r="A2534" s="10">
        <v>44708</v>
      </c>
      <c r="B2534" s="11" t="s">
        <v>40</v>
      </c>
      <c r="C2534">
        <v>2103</v>
      </c>
      <c r="D2534" t="s">
        <v>8</v>
      </c>
      <c r="E2534" t="str">
        <f>IF(may[[#This Row],[ShiftCounter]]&gt;0, "Running", "Down")</f>
        <v>Running</v>
      </c>
    </row>
    <row r="2535" spans="1:5" x14ac:dyDescent="0.25">
      <c r="A2535" s="10">
        <v>44708</v>
      </c>
      <c r="B2535" s="11" t="s">
        <v>39</v>
      </c>
      <c r="C2535">
        <v>2100</v>
      </c>
      <c r="D2535" t="s">
        <v>6</v>
      </c>
      <c r="E2535" t="str">
        <f>IF(may[[#This Row],[ShiftCounter]]&gt;0, "Running", "Down")</f>
        <v>Running</v>
      </c>
    </row>
    <row r="2536" spans="1:5" x14ac:dyDescent="0.25">
      <c r="A2536" s="10">
        <v>44708</v>
      </c>
      <c r="B2536" s="11" t="s">
        <v>39</v>
      </c>
      <c r="C2536">
        <v>2121</v>
      </c>
      <c r="D2536" t="s">
        <v>7</v>
      </c>
      <c r="E2536" t="str">
        <f>IF(may[[#This Row],[ShiftCounter]]&gt;0, "Running", "Down")</f>
        <v>Running</v>
      </c>
    </row>
    <row r="2537" spans="1:5" x14ac:dyDescent="0.25">
      <c r="A2537" s="10">
        <v>44708</v>
      </c>
      <c r="B2537" s="11" t="s">
        <v>39</v>
      </c>
      <c r="C2537">
        <v>1872</v>
      </c>
      <c r="D2537" t="s">
        <v>8</v>
      </c>
      <c r="E2537" t="str">
        <f>IF(may[[#This Row],[ShiftCounter]]&gt;0, "Running", "Down")</f>
        <v>Running</v>
      </c>
    </row>
    <row r="2538" spans="1:5" x14ac:dyDescent="0.25">
      <c r="A2538" s="10">
        <v>44708</v>
      </c>
      <c r="B2538" s="11" t="s">
        <v>41</v>
      </c>
      <c r="C2538">
        <v>516</v>
      </c>
      <c r="D2538" t="s">
        <v>6</v>
      </c>
      <c r="E2538" t="str">
        <f>IF(may[[#This Row],[ShiftCounter]]&gt;0, "Running", "Down")</f>
        <v>Running</v>
      </c>
    </row>
    <row r="2539" spans="1:5" x14ac:dyDescent="0.25">
      <c r="A2539" s="10">
        <v>44708</v>
      </c>
      <c r="B2539" s="11" t="s">
        <v>41</v>
      </c>
      <c r="C2539">
        <v>2275</v>
      </c>
      <c r="D2539" t="s">
        <v>7</v>
      </c>
      <c r="E2539" t="str">
        <f>IF(may[[#This Row],[ShiftCounter]]&gt;0, "Running", "Down")</f>
        <v>Running</v>
      </c>
    </row>
    <row r="2540" spans="1:5" x14ac:dyDescent="0.25">
      <c r="A2540" s="10">
        <v>44708</v>
      </c>
      <c r="B2540" s="11" t="s">
        <v>41</v>
      </c>
      <c r="C2540">
        <v>2154</v>
      </c>
      <c r="D2540" t="s">
        <v>8</v>
      </c>
      <c r="E2540" t="str">
        <f>IF(may[[#This Row],[ShiftCounter]]&gt;0, "Running", "Down")</f>
        <v>Running</v>
      </c>
    </row>
    <row r="2541" spans="1:5" x14ac:dyDescent="0.25">
      <c r="A2541" s="10">
        <v>44708</v>
      </c>
      <c r="B2541" s="11" t="s">
        <v>5</v>
      </c>
      <c r="C2541">
        <v>1426</v>
      </c>
      <c r="D2541" t="s">
        <v>6</v>
      </c>
      <c r="E2541" t="str">
        <f>IF(may[[#This Row],[ShiftCounter]]&gt;0, "Running", "Down")</f>
        <v>Running</v>
      </c>
    </row>
    <row r="2542" spans="1:5" x14ac:dyDescent="0.25">
      <c r="A2542" s="10">
        <v>44708</v>
      </c>
      <c r="B2542" s="11" t="s">
        <v>5</v>
      </c>
      <c r="C2542">
        <v>2242</v>
      </c>
      <c r="D2542" t="s">
        <v>7</v>
      </c>
      <c r="E2542" t="str">
        <f>IF(may[[#This Row],[ShiftCounter]]&gt;0, "Running", "Down")</f>
        <v>Running</v>
      </c>
    </row>
    <row r="2543" spans="1:5" x14ac:dyDescent="0.25">
      <c r="A2543" s="10">
        <v>44708</v>
      </c>
      <c r="B2543" s="11" t="s">
        <v>5</v>
      </c>
      <c r="C2543">
        <v>2158</v>
      </c>
      <c r="D2543" t="s">
        <v>8</v>
      </c>
      <c r="E2543" t="str">
        <f>IF(may[[#This Row],[ShiftCounter]]&gt;0, "Running", "Down")</f>
        <v>Running</v>
      </c>
    </row>
    <row r="2544" spans="1:5" x14ac:dyDescent="0.25">
      <c r="A2544" s="10">
        <v>44708</v>
      </c>
      <c r="B2544" s="11" t="s">
        <v>9</v>
      </c>
      <c r="C2544">
        <v>2438</v>
      </c>
      <c r="D2544" t="s">
        <v>6</v>
      </c>
      <c r="E2544" t="str">
        <f>IF(may[[#This Row],[ShiftCounter]]&gt;0, "Running", "Down")</f>
        <v>Running</v>
      </c>
    </row>
    <row r="2545" spans="1:5" x14ac:dyDescent="0.25">
      <c r="A2545" s="10">
        <v>44708</v>
      </c>
      <c r="B2545" s="11" t="s">
        <v>9</v>
      </c>
      <c r="C2545">
        <v>2247</v>
      </c>
      <c r="D2545" t="s">
        <v>7</v>
      </c>
      <c r="E2545" t="str">
        <f>IF(may[[#This Row],[ShiftCounter]]&gt;0, "Running", "Down")</f>
        <v>Running</v>
      </c>
    </row>
    <row r="2546" spans="1:5" x14ac:dyDescent="0.25">
      <c r="A2546" s="10">
        <v>44708</v>
      </c>
      <c r="B2546" s="11" t="s">
        <v>9</v>
      </c>
      <c r="C2546">
        <v>2229</v>
      </c>
      <c r="D2546" t="s">
        <v>8</v>
      </c>
      <c r="E2546" t="str">
        <f>IF(may[[#This Row],[ShiftCounter]]&gt;0, "Running", "Down")</f>
        <v>Running</v>
      </c>
    </row>
    <row r="2547" spans="1:5" x14ac:dyDescent="0.25">
      <c r="A2547" s="10">
        <v>44708</v>
      </c>
      <c r="B2547" s="11" t="s">
        <v>10</v>
      </c>
      <c r="C2547">
        <v>2461</v>
      </c>
      <c r="D2547" t="s">
        <v>6</v>
      </c>
      <c r="E2547" t="str">
        <f>IF(may[[#This Row],[ShiftCounter]]&gt;0, "Running", "Down")</f>
        <v>Running</v>
      </c>
    </row>
    <row r="2548" spans="1:5" x14ac:dyDescent="0.25">
      <c r="A2548" s="10">
        <v>44708</v>
      </c>
      <c r="B2548" s="11" t="s">
        <v>10</v>
      </c>
      <c r="C2548">
        <v>2295</v>
      </c>
      <c r="D2548" t="s">
        <v>7</v>
      </c>
      <c r="E2548" t="str">
        <f>IF(may[[#This Row],[ShiftCounter]]&gt;0, "Running", "Down")</f>
        <v>Running</v>
      </c>
    </row>
    <row r="2549" spans="1:5" x14ac:dyDescent="0.25">
      <c r="A2549" s="10">
        <v>44708</v>
      </c>
      <c r="B2549" s="11" t="s">
        <v>10</v>
      </c>
      <c r="C2549">
        <v>2270</v>
      </c>
      <c r="D2549" t="s">
        <v>8</v>
      </c>
      <c r="E2549" t="str">
        <f>IF(may[[#This Row],[ShiftCounter]]&gt;0, "Running", "Down")</f>
        <v>Running</v>
      </c>
    </row>
    <row r="2550" spans="1:5" x14ac:dyDescent="0.25">
      <c r="A2550" s="10">
        <v>44708</v>
      </c>
      <c r="B2550" s="11" t="s">
        <v>12</v>
      </c>
      <c r="C2550">
        <v>2215</v>
      </c>
      <c r="D2550" t="s">
        <v>6</v>
      </c>
      <c r="E2550" t="str">
        <f>IF(may[[#This Row],[ShiftCounter]]&gt;0, "Running", "Down")</f>
        <v>Running</v>
      </c>
    </row>
    <row r="2551" spans="1:5" x14ac:dyDescent="0.25">
      <c r="A2551" s="10">
        <v>44708</v>
      </c>
      <c r="B2551" s="11" t="s">
        <v>12</v>
      </c>
      <c r="C2551">
        <v>2066</v>
      </c>
      <c r="D2551" t="s">
        <v>7</v>
      </c>
      <c r="E2551" t="str">
        <f>IF(may[[#This Row],[ShiftCounter]]&gt;0, "Running", "Down")</f>
        <v>Running</v>
      </c>
    </row>
    <row r="2552" spans="1:5" x14ac:dyDescent="0.25">
      <c r="A2552" s="10">
        <v>44708</v>
      </c>
      <c r="B2552" s="11" t="s">
        <v>12</v>
      </c>
      <c r="C2552">
        <v>2138</v>
      </c>
      <c r="D2552" t="s">
        <v>8</v>
      </c>
      <c r="E2552" t="str">
        <f>IF(may[[#This Row],[ShiftCounter]]&gt;0, "Running", "Down")</f>
        <v>Running</v>
      </c>
    </row>
    <row r="2553" spans="1:5" x14ac:dyDescent="0.25">
      <c r="A2553" s="10">
        <v>44708</v>
      </c>
      <c r="B2553" s="11" t="s">
        <v>105</v>
      </c>
      <c r="C2553">
        <v>2277</v>
      </c>
      <c r="D2553" t="s">
        <v>6</v>
      </c>
      <c r="E2553" t="str">
        <f>IF(may[[#This Row],[ShiftCounter]]&gt;0, "Running", "Down")</f>
        <v>Running</v>
      </c>
    </row>
    <row r="2554" spans="1:5" x14ac:dyDescent="0.25">
      <c r="A2554" s="10">
        <v>44708</v>
      </c>
      <c r="B2554" s="11" t="s">
        <v>105</v>
      </c>
      <c r="C2554">
        <v>2200</v>
      </c>
      <c r="D2554" t="s">
        <v>7</v>
      </c>
      <c r="E2554" t="str">
        <f>IF(may[[#This Row],[ShiftCounter]]&gt;0, "Running", "Down")</f>
        <v>Running</v>
      </c>
    </row>
    <row r="2555" spans="1:5" x14ac:dyDescent="0.25">
      <c r="A2555" s="10">
        <v>44708</v>
      </c>
      <c r="B2555" s="11" t="s">
        <v>105</v>
      </c>
      <c r="C2555">
        <v>2072</v>
      </c>
      <c r="D2555" t="s">
        <v>8</v>
      </c>
      <c r="E2555" t="str">
        <f>IF(may[[#This Row],[ShiftCounter]]&gt;0, "Running", "Down")</f>
        <v>Running</v>
      </c>
    </row>
    <row r="2556" spans="1:5" x14ac:dyDescent="0.25">
      <c r="A2556" s="10">
        <v>44708</v>
      </c>
      <c r="B2556" s="11" t="s">
        <v>13</v>
      </c>
      <c r="C2556">
        <v>2189</v>
      </c>
      <c r="D2556" t="s">
        <v>6</v>
      </c>
      <c r="E2556" t="str">
        <f>IF(may[[#This Row],[ShiftCounter]]&gt;0, "Running", "Down")</f>
        <v>Running</v>
      </c>
    </row>
    <row r="2557" spans="1:5" x14ac:dyDescent="0.25">
      <c r="A2557" s="10">
        <v>44708</v>
      </c>
      <c r="B2557" s="11" t="s">
        <v>13</v>
      </c>
      <c r="C2557">
        <v>2049</v>
      </c>
      <c r="D2557" t="s">
        <v>7</v>
      </c>
      <c r="E2557" t="str">
        <f>IF(may[[#This Row],[ShiftCounter]]&gt;0, "Running", "Down")</f>
        <v>Running</v>
      </c>
    </row>
    <row r="2558" spans="1:5" x14ac:dyDescent="0.25">
      <c r="A2558" s="10">
        <v>44708</v>
      </c>
      <c r="B2558" s="11" t="s">
        <v>13</v>
      </c>
      <c r="C2558">
        <v>1831</v>
      </c>
      <c r="D2558" t="s">
        <v>8</v>
      </c>
      <c r="E2558" t="str">
        <f>IF(may[[#This Row],[ShiftCounter]]&gt;0, "Running", "Down")</f>
        <v>Running</v>
      </c>
    </row>
    <row r="2559" spans="1:5" x14ac:dyDescent="0.25">
      <c r="A2559" s="10">
        <v>44708</v>
      </c>
      <c r="B2559" s="11" t="s">
        <v>101</v>
      </c>
      <c r="C2559">
        <v>2209</v>
      </c>
      <c r="D2559" t="s">
        <v>6</v>
      </c>
      <c r="E2559" t="str">
        <f>IF(may[[#This Row],[ShiftCounter]]&gt;0, "Running", "Down")</f>
        <v>Running</v>
      </c>
    </row>
    <row r="2560" spans="1:5" x14ac:dyDescent="0.25">
      <c r="A2560" s="10">
        <v>44708</v>
      </c>
      <c r="B2560" s="11" t="s">
        <v>101</v>
      </c>
      <c r="C2560">
        <v>2022</v>
      </c>
      <c r="D2560" t="s">
        <v>7</v>
      </c>
      <c r="E2560" t="str">
        <f>IF(may[[#This Row],[ShiftCounter]]&gt;0, "Running", "Down")</f>
        <v>Running</v>
      </c>
    </row>
    <row r="2561" spans="1:5" x14ac:dyDescent="0.25">
      <c r="A2561" s="10">
        <v>44708</v>
      </c>
      <c r="B2561" s="11" t="s">
        <v>101</v>
      </c>
      <c r="C2561">
        <v>1791</v>
      </c>
      <c r="D2561" t="s">
        <v>8</v>
      </c>
      <c r="E2561" t="str">
        <f>IF(may[[#This Row],[ShiftCounter]]&gt;0, "Running", "Down")</f>
        <v>Running</v>
      </c>
    </row>
    <row r="2562" spans="1:5" x14ac:dyDescent="0.25">
      <c r="A2562" s="10">
        <v>44708</v>
      </c>
      <c r="B2562" s="11" t="s">
        <v>14</v>
      </c>
      <c r="C2562">
        <v>1895</v>
      </c>
      <c r="D2562" t="s">
        <v>6</v>
      </c>
      <c r="E2562" t="str">
        <f>IF(may[[#This Row],[ShiftCounter]]&gt;0, "Running", "Down")</f>
        <v>Running</v>
      </c>
    </row>
    <row r="2563" spans="1:5" x14ac:dyDescent="0.25">
      <c r="A2563" s="10">
        <v>44708</v>
      </c>
      <c r="B2563" s="11" t="s">
        <v>14</v>
      </c>
      <c r="C2563">
        <v>1888</v>
      </c>
      <c r="D2563" t="s">
        <v>7</v>
      </c>
      <c r="E2563" t="str">
        <f>IF(may[[#This Row],[ShiftCounter]]&gt;0, "Running", "Down")</f>
        <v>Running</v>
      </c>
    </row>
    <row r="2564" spans="1:5" x14ac:dyDescent="0.25">
      <c r="A2564" s="10">
        <v>44708</v>
      </c>
      <c r="B2564" s="11" t="s">
        <v>14</v>
      </c>
      <c r="C2564">
        <v>1589</v>
      </c>
      <c r="D2564" t="s">
        <v>8</v>
      </c>
      <c r="E2564" t="str">
        <f>IF(may[[#This Row],[ShiftCounter]]&gt;0, "Running", "Down")</f>
        <v>Running</v>
      </c>
    </row>
    <row r="2565" spans="1:5" x14ac:dyDescent="0.25">
      <c r="A2565" s="10">
        <v>44708</v>
      </c>
      <c r="B2565" s="11" t="s">
        <v>15</v>
      </c>
      <c r="C2565">
        <v>2187</v>
      </c>
      <c r="D2565" t="s">
        <v>6</v>
      </c>
      <c r="E2565" t="str">
        <f>IF(may[[#This Row],[ShiftCounter]]&gt;0, "Running", "Down")</f>
        <v>Running</v>
      </c>
    </row>
    <row r="2566" spans="1:5" x14ac:dyDescent="0.25">
      <c r="A2566" s="10">
        <v>44708</v>
      </c>
      <c r="B2566" s="11" t="s">
        <v>15</v>
      </c>
      <c r="C2566">
        <v>2088</v>
      </c>
      <c r="D2566" t="s">
        <v>7</v>
      </c>
      <c r="E2566" t="str">
        <f>IF(may[[#This Row],[ShiftCounter]]&gt;0, "Running", "Down")</f>
        <v>Running</v>
      </c>
    </row>
    <row r="2567" spans="1:5" x14ac:dyDescent="0.25">
      <c r="A2567" s="10">
        <v>44708</v>
      </c>
      <c r="B2567" s="11" t="s">
        <v>15</v>
      </c>
      <c r="C2567">
        <v>1845</v>
      </c>
      <c r="D2567" t="s">
        <v>8</v>
      </c>
      <c r="E2567" t="str">
        <f>IF(may[[#This Row],[ShiftCounter]]&gt;0, "Running", "Down")</f>
        <v>Running</v>
      </c>
    </row>
    <row r="2568" spans="1:5" x14ac:dyDescent="0.25">
      <c r="A2568" s="10">
        <v>44708</v>
      </c>
      <c r="B2568" s="11" t="s">
        <v>16</v>
      </c>
      <c r="C2568">
        <v>2301</v>
      </c>
      <c r="D2568" t="s">
        <v>6</v>
      </c>
      <c r="E2568" t="str">
        <f>IF(may[[#This Row],[ShiftCounter]]&gt;0, "Running", "Down")</f>
        <v>Running</v>
      </c>
    </row>
    <row r="2569" spans="1:5" x14ac:dyDescent="0.25">
      <c r="A2569" s="10">
        <v>44708</v>
      </c>
      <c r="B2569" s="11" t="s">
        <v>16</v>
      </c>
      <c r="C2569">
        <v>2233</v>
      </c>
      <c r="D2569" t="s">
        <v>7</v>
      </c>
      <c r="E2569" t="str">
        <f>IF(may[[#This Row],[ShiftCounter]]&gt;0, "Running", "Down")</f>
        <v>Running</v>
      </c>
    </row>
    <row r="2570" spans="1:5" x14ac:dyDescent="0.25">
      <c r="A2570" s="10">
        <v>44708</v>
      </c>
      <c r="B2570" s="11" t="s">
        <v>16</v>
      </c>
      <c r="C2570">
        <v>1931</v>
      </c>
      <c r="D2570" t="s">
        <v>8</v>
      </c>
      <c r="E2570" t="str">
        <f>IF(may[[#This Row],[ShiftCounter]]&gt;0, "Running", "Down")</f>
        <v>Running</v>
      </c>
    </row>
    <row r="2571" spans="1:5" x14ac:dyDescent="0.25">
      <c r="A2571" s="10">
        <v>44708</v>
      </c>
      <c r="B2571" s="11" t="s">
        <v>17</v>
      </c>
      <c r="C2571">
        <v>2222</v>
      </c>
      <c r="D2571" t="s">
        <v>6</v>
      </c>
      <c r="E2571" t="str">
        <f>IF(may[[#This Row],[ShiftCounter]]&gt;0, "Running", "Down")</f>
        <v>Running</v>
      </c>
    </row>
    <row r="2572" spans="1:5" x14ac:dyDescent="0.25">
      <c r="A2572" s="10">
        <v>44708</v>
      </c>
      <c r="B2572" s="11" t="s">
        <v>17</v>
      </c>
      <c r="C2572">
        <v>2350</v>
      </c>
      <c r="D2572" t="s">
        <v>7</v>
      </c>
      <c r="E2572" t="str">
        <f>IF(may[[#This Row],[ShiftCounter]]&gt;0, "Running", "Down")</f>
        <v>Running</v>
      </c>
    </row>
    <row r="2573" spans="1:5" x14ac:dyDescent="0.25">
      <c r="A2573" s="10">
        <v>44708</v>
      </c>
      <c r="B2573" s="11" t="s">
        <v>17</v>
      </c>
      <c r="C2573">
        <v>2084</v>
      </c>
      <c r="D2573" t="s">
        <v>8</v>
      </c>
      <c r="E2573" t="str">
        <f>IF(may[[#This Row],[ShiftCounter]]&gt;0, "Running", "Down")</f>
        <v>Running</v>
      </c>
    </row>
    <row r="2574" spans="1:5" x14ac:dyDescent="0.25">
      <c r="A2574" s="10">
        <v>44708</v>
      </c>
      <c r="B2574" s="11" t="s">
        <v>19</v>
      </c>
      <c r="C2574">
        <v>1929</v>
      </c>
      <c r="D2574" t="s">
        <v>6</v>
      </c>
      <c r="E2574" t="str">
        <f>IF(may[[#This Row],[ShiftCounter]]&gt;0, "Running", "Down")</f>
        <v>Running</v>
      </c>
    </row>
    <row r="2575" spans="1:5" x14ac:dyDescent="0.25">
      <c r="A2575" s="10">
        <v>44708</v>
      </c>
      <c r="B2575" s="11" t="s">
        <v>19</v>
      </c>
      <c r="C2575">
        <v>2008</v>
      </c>
      <c r="D2575" t="s">
        <v>7</v>
      </c>
      <c r="E2575" t="str">
        <f>IF(may[[#This Row],[ShiftCounter]]&gt;0, "Running", "Down")</f>
        <v>Running</v>
      </c>
    </row>
    <row r="2576" spans="1:5" x14ac:dyDescent="0.25">
      <c r="A2576" s="10">
        <v>44708</v>
      </c>
      <c r="B2576" s="11" t="s">
        <v>19</v>
      </c>
      <c r="C2576">
        <v>1858</v>
      </c>
      <c r="D2576" t="s">
        <v>8</v>
      </c>
      <c r="E2576" t="str">
        <f>IF(may[[#This Row],[ShiftCounter]]&gt;0, "Running", "Down")</f>
        <v>Running</v>
      </c>
    </row>
    <row r="2577" spans="1:5" x14ac:dyDescent="0.25">
      <c r="A2577" s="10">
        <v>44708</v>
      </c>
      <c r="B2577" s="11" t="s">
        <v>18</v>
      </c>
      <c r="C2577">
        <v>1667</v>
      </c>
      <c r="D2577" t="s">
        <v>6</v>
      </c>
      <c r="E2577" t="str">
        <f>IF(may[[#This Row],[ShiftCounter]]&gt;0, "Running", "Down")</f>
        <v>Running</v>
      </c>
    </row>
    <row r="2578" spans="1:5" x14ac:dyDescent="0.25">
      <c r="A2578" s="10">
        <v>44708</v>
      </c>
      <c r="B2578" s="11" t="s">
        <v>18</v>
      </c>
      <c r="C2578">
        <v>2436</v>
      </c>
      <c r="D2578" t="s">
        <v>7</v>
      </c>
      <c r="E2578" t="str">
        <f>IF(may[[#This Row],[ShiftCounter]]&gt;0, "Running", "Down")</f>
        <v>Running</v>
      </c>
    </row>
    <row r="2579" spans="1:5" x14ac:dyDescent="0.25">
      <c r="A2579" s="10">
        <v>44708</v>
      </c>
      <c r="B2579" s="11" t="s">
        <v>18</v>
      </c>
      <c r="C2579">
        <v>2254</v>
      </c>
      <c r="D2579" t="s">
        <v>8</v>
      </c>
      <c r="E2579" t="str">
        <f>IF(may[[#This Row],[ShiftCounter]]&gt;0, "Running", "Down")</f>
        <v>Running</v>
      </c>
    </row>
    <row r="2580" spans="1:5" x14ac:dyDescent="0.25">
      <c r="A2580" s="10">
        <v>44708</v>
      </c>
      <c r="B2580" s="11" t="s">
        <v>20</v>
      </c>
      <c r="C2580">
        <v>2207</v>
      </c>
      <c r="D2580" t="s">
        <v>6</v>
      </c>
      <c r="E2580" t="str">
        <f>IF(may[[#This Row],[ShiftCounter]]&gt;0, "Running", "Down")</f>
        <v>Running</v>
      </c>
    </row>
    <row r="2581" spans="1:5" x14ac:dyDescent="0.25">
      <c r="A2581" s="10">
        <v>44708</v>
      </c>
      <c r="B2581" s="11" t="s">
        <v>20</v>
      </c>
      <c r="C2581">
        <v>2352</v>
      </c>
      <c r="D2581" t="s">
        <v>7</v>
      </c>
      <c r="E2581" t="str">
        <f>IF(may[[#This Row],[ShiftCounter]]&gt;0, "Running", "Down")</f>
        <v>Running</v>
      </c>
    </row>
    <row r="2582" spans="1:5" x14ac:dyDescent="0.25">
      <c r="A2582" s="10">
        <v>44708</v>
      </c>
      <c r="B2582" s="11" t="s">
        <v>20</v>
      </c>
      <c r="C2582">
        <v>2139</v>
      </c>
      <c r="D2582" t="s">
        <v>8</v>
      </c>
      <c r="E2582" t="str">
        <f>IF(may[[#This Row],[ShiftCounter]]&gt;0, "Running", "Down")</f>
        <v>Running</v>
      </c>
    </row>
    <row r="2583" spans="1:5" x14ac:dyDescent="0.25">
      <c r="A2583" s="10">
        <v>44708</v>
      </c>
      <c r="B2583" s="11" t="s">
        <v>21</v>
      </c>
      <c r="C2583">
        <v>1196</v>
      </c>
      <c r="D2583" t="s">
        <v>6</v>
      </c>
      <c r="E2583" t="str">
        <f>IF(may[[#This Row],[ShiftCounter]]&gt;0, "Running", "Down")</f>
        <v>Running</v>
      </c>
    </row>
    <row r="2584" spans="1:5" x14ac:dyDescent="0.25">
      <c r="A2584" s="10">
        <v>44708</v>
      </c>
      <c r="B2584" s="11" t="s">
        <v>21</v>
      </c>
      <c r="C2584">
        <v>2081</v>
      </c>
      <c r="D2584" t="s">
        <v>7</v>
      </c>
      <c r="E2584" t="str">
        <f>IF(may[[#This Row],[ShiftCounter]]&gt;0, "Running", "Down")</f>
        <v>Running</v>
      </c>
    </row>
    <row r="2585" spans="1:5" x14ac:dyDescent="0.25">
      <c r="A2585" s="10">
        <v>44708</v>
      </c>
      <c r="B2585" s="11" t="s">
        <v>21</v>
      </c>
      <c r="C2585">
        <v>1914</v>
      </c>
      <c r="D2585" t="s">
        <v>8</v>
      </c>
      <c r="E2585" t="str">
        <f>IF(may[[#This Row],[ShiftCounter]]&gt;0, "Running", "Down")</f>
        <v>Running</v>
      </c>
    </row>
    <row r="2586" spans="1:5" x14ac:dyDescent="0.25">
      <c r="A2586" s="10">
        <v>44708</v>
      </c>
      <c r="B2586" s="11" t="s">
        <v>22</v>
      </c>
      <c r="C2586">
        <v>2079</v>
      </c>
      <c r="D2586" t="s">
        <v>6</v>
      </c>
      <c r="E2586" t="str">
        <f>IF(may[[#This Row],[ShiftCounter]]&gt;0, "Running", "Down")</f>
        <v>Running</v>
      </c>
    </row>
    <row r="2587" spans="1:5" x14ac:dyDescent="0.25">
      <c r="A2587" s="10">
        <v>44708</v>
      </c>
      <c r="B2587" s="11" t="s">
        <v>22</v>
      </c>
      <c r="C2587">
        <v>2244</v>
      </c>
      <c r="D2587" t="s">
        <v>7</v>
      </c>
      <c r="E2587" t="str">
        <f>IF(may[[#This Row],[ShiftCounter]]&gt;0, "Running", "Down")</f>
        <v>Running</v>
      </c>
    </row>
    <row r="2588" spans="1:5" x14ac:dyDescent="0.25">
      <c r="A2588" s="10">
        <v>44708</v>
      </c>
      <c r="B2588" s="11" t="s">
        <v>22</v>
      </c>
      <c r="C2588">
        <v>2035</v>
      </c>
      <c r="D2588" t="s">
        <v>8</v>
      </c>
      <c r="E2588" t="str">
        <f>IF(may[[#This Row],[ShiftCounter]]&gt;0, "Running", "Down")</f>
        <v>Running</v>
      </c>
    </row>
    <row r="2589" spans="1:5" x14ac:dyDescent="0.25">
      <c r="A2589" s="10">
        <v>44708</v>
      </c>
      <c r="B2589" s="11" t="s">
        <v>23</v>
      </c>
      <c r="C2589">
        <v>2257</v>
      </c>
      <c r="D2589" t="s">
        <v>6</v>
      </c>
      <c r="E2589" t="str">
        <f>IF(may[[#This Row],[ShiftCounter]]&gt;0, "Running", "Down")</f>
        <v>Running</v>
      </c>
    </row>
    <row r="2590" spans="1:5" x14ac:dyDescent="0.25">
      <c r="A2590" s="10">
        <v>44708</v>
      </c>
      <c r="B2590" s="11" t="s">
        <v>23</v>
      </c>
      <c r="C2590">
        <v>2437</v>
      </c>
      <c r="D2590" t="s">
        <v>7</v>
      </c>
      <c r="E2590" t="str">
        <f>IF(may[[#This Row],[ShiftCounter]]&gt;0, "Running", "Down")</f>
        <v>Running</v>
      </c>
    </row>
    <row r="2591" spans="1:5" x14ac:dyDescent="0.25">
      <c r="A2591" s="10">
        <v>44708</v>
      </c>
      <c r="B2591" s="11" t="s">
        <v>23</v>
      </c>
      <c r="C2591">
        <v>2161</v>
      </c>
      <c r="D2591" t="s">
        <v>8</v>
      </c>
      <c r="E2591" t="str">
        <f>IF(may[[#This Row],[ShiftCounter]]&gt;0, "Running", "Down")</f>
        <v>Running</v>
      </c>
    </row>
    <row r="2592" spans="1:5" x14ac:dyDescent="0.25">
      <c r="A2592" s="10">
        <v>44708</v>
      </c>
      <c r="B2592" s="11" t="s">
        <v>24</v>
      </c>
      <c r="C2592">
        <v>2047</v>
      </c>
      <c r="D2592" t="s">
        <v>6</v>
      </c>
      <c r="E2592" t="str">
        <f>IF(may[[#This Row],[ShiftCounter]]&gt;0, "Running", "Down")</f>
        <v>Running</v>
      </c>
    </row>
    <row r="2593" spans="1:5" x14ac:dyDescent="0.25">
      <c r="A2593" s="10">
        <v>44708</v>
      </c>
      <c r="B2593" s="11" t="s">
        <v>24</v>
      </c>
      <c r="C2593">
        <v>2151</v>
      </c>
      <c r="D2593" t="s">
        <v>7</v>
      </c>
      <c r="E2593" t="str">
        <f>IF(may[[#This Row],[ShiftCounter]]&gt;0, "Running", "Down")</f>
        <v>Running</v>
      </c>
    </row>
    <row r="2594" spans="1:5" x14ac:dyDescent="0.25">
      <c r="A2594" s="10">
        <v>44708</v>
      </c>
      <c r="B2594" s="11" t="s">
        <v>24</v>
      </c>
      <c r="C2594">
        <v>1899</v>
      </c>
      <c r="D2594" t="s">
        <v>8</v>
      </c>
      <c r="E2594" t="str">
        <f>IF(may[[#This Row],[ShiftCounter]]&gt;0, "Running", "Down")</f>
        <v>Running</v>
      </c>
    </row>
    <row r="2595" spans="1:5" x14ac:dyDescent="0.25">
      <c r="A2595" s="10">
        <v>44708</v>
      </c>
      <c r="B2595" s="11" t="s">
        <v>25</v>
      </c>
      <c r="C2595">
        <v>2100</v>
      </c>
      <c r="D2595" t="s">
        <v>6</v>
      </c>
      <c r="E2595" t="str">
        <f>IF(may[[#This Row],[ShiftCounter]]&gt;0, "Running", "Down")</f>
        <v>Running</v>
      </c>
    </row>
    <row r="2596" spans="1:5" x14ac:dyDescent="0.25">
      <c r="A2596" s="10">
        <v>44708</v>
      </c>
      <c r="B2596" s="11" t="s">
        <v>25</v>
      </c>
      <c r="C2596">
        <v>2120</v>
      </c>
      <c r="D2596" t="s">
        <v>7</v>
      </c>
      <c r="E2596" t="str">
        <f>IF(may[[#This Row],[ShiftCounter]]&gt;0, "Running", "Down")</f>
        <v>Running</v>
      </c>
    </row>
    <row r="2597" spans="1:5" x14ac:dyDescent="0.25">
      <c r="A2597" s="10">
        <v>44708</v>
      </c>
      <c r="B2597" s="11" t="s">
        <v>25</v>
      </c>
      <c r="C2597">
        <v>2062</v>
      </c>
      <c r="D2597" t="s">
        <v>8</v>
      </c>
      <c r="E2597" t="str">
        <f>IF(may[[#This Row],[ShiftCounter]]&gt;0, "Running", "Down")</f>
        <v>Running</v>
      </c>
    </row>
    <row r="2598" spans="1:5" x14ac:dyDescent="0.25">
      <c r="A2598" s="10">
        <v>44708</v>
      </c>
      <c r="B2598" s="11" t="s">
        <v>26</v>
      </c>
      <c r="C2598">
        <v>1243</v>
      </c>
      <c r="D2598" t="s">
        <v>6</v>
      </c>
      <c r="E2598" t="str">
        <f>IF(may[[#This Row],[ShiftCounter]]&gt;0, "Running", "Down")</f>
        <v>Running</v>
      </c>
    </row>
    <row r="2599" spans="1:5" x14ac:dyDescent="0.25">
      <c r="A2599" s="10">
        <v>44708</v>
      </c>
      <c r="B2599" s="11" t="s">
        <v>26</v>
      </c>
      <c r="C2599">
        <v>2110</v>
      </c>
      <c r="D2599" t="s">
        <v>7</v>
      </c>
      <c r="E2599" t="str">
        <f>IF(may[[#This Row],[ShiftCounter]]&gt;0, "Running", "Down")</f>
        <v>Running</v>
      </c>
    </row>
    <row r="2600" spans="1:5" x14ac:dyDescent="0.25">
      <c r="A2600" s="10">
        <v>44708</v>
      </c>
      <c r="B2600" s="11" t="s">
        <v>26</v>
      </c>
      <c r="C2600">
        <v>2012</v>
      </c>
      <c r="D2600" t="s">
        <v>8</v>
      </c>
      <c r="E2600" t="str">
        <f>IF(may[[#This Row],[ShiftCounter]]&gt;0, "Running", "Down")</f>
        <v>Running</v>
      </c>
    </row>
    <row r="2601" spans="1:5" x14ac:dyDescent="0.25">
      <c r="A2601" s="10">
        <v>44708</v>
      </c>
      <c r="B2601" s="11" t="s">
        <v>27</v>
      </c>
      <c r="C2601">
        <v>2235</v>
      </c>
      <c r="D2601" t="s">
        <v>6</v>
      </c>
      <c r="E2601" t="str">
        <f>IF(may[[#This Row],[ShiftCounter]]&gt;0, "Running", "Down")</f>
        <v>Running</v>
      </c>
    </row>
    <row r="2602" spans="1:5" x14ac:dyDescent="0.25">
      <c r="A2602" s="10">
        <v>44708</v>
      </c>
      <c r="B2602" s="11" t="s">
        <v>27</v>
      </c>
      <c r="C2602">
        <v>2228</v>
      </c>
      <c r="D2602" t="s">
        <v>7</v>
      </c>
      <c r="E2602" t="str">
        <f>IF(may[[#This Row],[ShiftCounter]]&gt;0, "Running", "Down")</f>
        <v>Running</v>
      </c>
    </row>
    <row r="2603" spans="1:5" x14ac:dyDescent="0.25">
      <c r="A2603" s="10">
        <v>44708</v>
      </c>
      <c r="B2603" s="11" t="s">
        <v>27</v>
      </c>
      <c r="C2603">
        <v>2086</v>
      </c>
      <c r="D2603" t="s">
        <v>8</v>
      </c>
      <c r="E2603" t="str">
        <f>IF(may[[#This Row],[ShiftCounter]]&gt;0, "Running", "Down")</f>
        <v>Running</v>
      </c>
    </row>
    <row r="2604" spans="1:5" x14ac:dyDescent="0.25">
      <c r="A2604" s="10">
        <v>44708</v>
      </c>
      <c r="B2604" s="11" t="s">
        <v>28</v>
      </c>
      <c r="C2604">
        <v>2043</v>
      </c>
      <c r="D2604" t="s">
        <v>6</v>
      </c>
      <c r="E2604" t="str">
        <f>IF(may[[#This Row],[ShiftCounter]]&gt;0, "Running", "Down")</f>
        <v>Running</v>
      </c>
    </row>
    <row r="2605" spans="1:5" x14ac:dyDescent="0.25">
      <c r="A2605" s="10">
        <v>44708</v>
      </c>
      <c r="B2605" s="11" t="s">
        <v>28</v>
      </c>
      <c r="C2605">
        <v>2146</v>
      </c>
      <c r="D2605" t="s">
        <v>7</v>
      </c>
      <c r="E2605" t="str">
        <f>IF(may[[#This Row],[ShiftCounter]]&gt;0, "Running", "Down")</f>
        <v>Running</v>
      </c>
    </row>
    <row r="2606" spans="1:5" x14ac:dyDescent="0.25">
      <c r="A2606" s="10">
        <v>44708</v>
      </c>
      <c r="B2606" s="11" t="s">
        <v>28</v>
      </c>
      <c r="C2606">
        <v>1973</v>
      </c>
      <c r="D2606" t="s">
        <v>8</v>
      </c>
      <c r="E2606" t="str">
        <f>IF(may[[#This Row],[ShiftCounter]]&gt;0, "Running", "Down")</f>
        <v>Running</v>
      </c>
    </row>
    <row r="2607" spans="1:5" x14ac:dyDescent="0.25">
      <c r="A2607" s="10">
        <v>44708</v>
      </c>
      <c r="B2607" s="11" t="s">
        <v>29</v>
      </c>
      <c r="C2607">
        <v>2007</v>
      </c>
      <c r="D2607" t="s">
        <v>6</v>
      </c>
      <c r="E2607" t="str">
        <f>IF(may[[#This Row],[ShiftCounter]]&gt;0, "Running", "Down")</f>
        <v>Running</v>
      </c>
    </row>
    <row r="2608" spans="1:5" x14ac:dyDescent="0.25">
      <c r="A2608" s="10">
        <v>44708</v>
      </c>
      <c r="B2608" s="11" t="s">
        <v>29</v>
      </c>
      <c r="C2608">
        <v>2011</v>
      </c>
      <c r="D2608" t="s">
        <v>7</v>
      </c>
      <c r="E2608" t="str">
        <f>IF(may[[#This Row],[ShiftCounter]]&gt;0, "Running", "Down")</f>
        <v>Running</v>
      </c>
    </row>
    <row r="2609" spans="1:5" x14ac:dyDescent="0.25">
      <c r="A2609" s="10">
        <v>44708</v>
      </c>
      <c r="B2609" s="11" t="s">
        <v>29</v>
      </c>
      <c r="C2609">
        <v>1851</v>
      </c>
      <c r="D2609" t="s">
        <v>8</v>
      </c>
      <c r="E2609" t="str">
        <f>IF(may[[#This Row],[ShiftCounter]]&gt;0, "Running", "Down")</f>
        <v>Running</v>
      </c>
    </row>
    <row r="2610" spans="1:5" x14ac:dyDescent="0.25">
      <c r="A2610" s="10">
        <v>44708</v>
      </c>
      <c r="B2610" s="11" t="s">
        <v>30</v>
      </c>
      <c r="C2610">
        <v>2254</v>
      </c>
      <c r="D2610" t="s">
        <v>6</v>
      </c>
      <c r="E2610" t="str">
        <f>IF(may[[#This Row],[ShiftCounter]]&gt;0, "Running", "Down")</f>
        <v>Running</v>
      </c>
    </row>
    <row r="2611" spans="1:5" x14ac:dyDescent="0.25">
      <c r="A2611" s="10">
        <v>44708</v>
      </c>
      <c r="B2611" s="11" t="s">
        <v>30</v>
      </c>
      <c r="C2611">
        <v>2189</v>
      </c>
      <c r="D2611" t="s">
        <v>7</v>
      </c>
      <c r="E2611" t="str">
        <f>IF(may[[#This Row],[ShiftCounter]]&gt;0, "Running", "Down")</f>
        <v>Running</v>
      </c>
    </row>
    <row r="2612" spans="1:5" x14ac:dyDescent="0.25">
      <c r="A2612" s="10">
        <v>44708</v>
      </c>
      <c r="B2612" s="11" t="s">
        <v>30</v>
      </c>
      <c r="C2612">
        <v>1902</v>
      </c>
      <c r="D2612" t="s">
        <v>8</v>
      </c>
      <c r="E2612" t="str">
        <f>IF(may[[#This Row],[ShiftCounter]]&gt;0, "Running", "Down")</f>
        <v>Running</v>
      </c>
    </row>
    <row r="2613" spans="1:5" x14ac:dyDescent="0.25">
      <c r="A2613" s="10">
        <v>44708</v>
      </c>
      <c r="B2613" s="11" t="s">
        <v>31</v>
      </c>
      <c r="C2613">
        <v>2147</v>
      </c>
      <c r="D2613" t="s">
        <v>6</v>
      </c>
      <c r="E2613" t="str">
        <f>IF(may[[#This Row],[ShiftCounter]]&gt;0, "Running", "Down")</f>
        <v>Running</v>
      </c>
    </row>
    <row r="2614" spans="1:5" x14ac:dyDescent="0.25">
      <c r="A2614" s="10">
        <v>44708</v>
      </c>
      <c r="B2614" s="11" t="s">
        <v>31</v>
      </c>
      <c r="C2614">
        <v>2083</v>
      </c>
      <c r="D2614" t="s">
        <v>7</v>
      </c>
      <c r="E2614" t="str">
        <f>IF(may[[#This Row],[ShiftCounter]]&gt;0, "Running", "Down")</f>
        <v>Running</v>
      </c>
    </row>
    <row r="2615" spans="1:5" x14ac:dyDescent="0.25">
      <c r="A2615" s="10">
        <v>44708</v>
      </c>
      <c r="B2615" s="11" t="s">
        <v>31</v>
      </c>
      <c r="C2615">
        <v>1943</v>
      </c>
      <c r="D2615" t="s">
        <v>8</v>
      </c>
      <c r="E2615" t="str">
        <f>IF(may[[#This Row],[ShiftCounter]]&gt;0, "Running", "Down")</f>
        <v>Running</v>
      </c>
    </row>
    <row r="2616" spans="1:5" x14ac:dyDescent="0.25">
      <c r="A2616" s="10">
        <v>44708</v>
      </c>
      <c r="B2616" s="11" t="s">
        <v>32</v>
      </c>
      <c r="C2616">
        <v>2255</v>
      </c>
      <c r="D2616" t="s">
        <v>6</v>
      </c>
      <c r="E2616" t="str">
        <f>IF(may[[#This Row],[ShiftCounter]]&gt;0, "Running", "Down")</f>
        <v>Running</v>
      </c>
    </row>
    <row r="2617" spans="1:5" x14ac:dyDescent="0.25">
      <c r="A2617" s="10">
        <v>44708</v>
      </c>
      <c r="B2617" s="11" t="s">
        <v>32</v>
      </c>
      <c r="C2617">
        <v>2082</v>
      </c>
      <c r="D2617" t="s">
        <v>7</v>
      </c>
      <c r="E2617" t="str">
        <f>IF(may[[#This Row],[ShiftCounter]]&gt;0, "Running", "Down")</f>
        <v>Running</v>
      </c>
    </row>
    <row r="2618" spans="1:5" x14ac:dyDescent="0.25">
      <c r="A2618" s="10">
        <v>44708</v>
      </c>
      <c r="B2618" s="11" t="s">
        <v>32</v>
      </c>
      <c r="C2618">
        <v>2056</v>
      </c>
      <c r="D2618" t="s">
        <v>8</v>
      </c>
      <c r="E2618" t="str">
        <f>IF(may[[#This Row],[ShiftCounter]]&gt;0, "Running", "Down")</f>
        <v>Running</v>
      </c>
    </row>
    <row r="2619" spans="1:5" x14ac:dyDescent="0.25">
      <c r="A2619" s="10">
        <v>44708</v>
      </c>
      <c r="B2619" s="11" t="s">
        <v>33</v>
      </c>
      <c r="C2619">
        <v>2552</v>
      </c>
      <c r="D2619" t="s">
        <v>6</v>
      </c>
      <c r="E2619" t="str">
        <f>IF(may[[#This Row],[ShiftCounter]]&gt;0, "Running", "Down")</f>
        <v>Running</v>
      </c>
    </row>
    <row r="2620" spans="1:5" x14ac:dyDescent="0.25">
      <c r="A2620" s="10">
        <v>44708</v>
      </c>
      <c r="B2620" s="11" t="s">
        <v>33</v>
      </c>
      <c r="C2620">
        <v>2385</v>
      </c>
      <c r="D2620" t="s">
        <v>7</v>
      </c>
      <c r="E2620" t="str">
        <f>IF(may[[#This Row],[ShiftCounter]]&gt;0, "Running", "Down")</f>
        <v>Running</v>
      </c>
    </row>
    <row r="2621" spans="1:5" x14ac:dyDescent="0.25">
      <c r="A2621" s="10">
        <v>44708</v>
      </c>
      <c r="B2621" s="11" t="s">
        <v>33</v>
      </c>
      <c r="C2621">
        <v>2298</v>
      </c>
      <c r="D2621" t="s">
        <v>8</v>
      </c>
      <c r="E2621" t="str">
        <f>IF(may[[#This Row],[ShiftCounter]]&gt;0, "Running", "Down")</f>
        <v>Running</v>
      </c>
    </row>
    <row r="2622" spans="1:5" x14ac:dyDescent="0.25">
      <c r="A2622" s="10">
        <v>44708</v>
      </c>
      <c r="B2622" s="11" t="s">
        <v>34</v>
      </c>
      <c r="C2622">
        <v>2086</v>
      </c>
      <c r="D2622" t="s">
        <v>6</v>
      </c>
      <c r="E2622" t="str">
        <f>IF(may[[#This Row],[ShiftCounter]]&gt;0, "Running", "Down")</f>
        <v>Running</v>
      </c>
    </row>
    <row r="2623" spans="1:5" x14ac:dyDescent="0.25">
      <c r="A2623" s="10">
        <v>44708</v>
      </c>
      <c r="B2623" s="11" t="s">
        <v>34</v>
      </c>
      <c r="C2623">
        <v>1826</v>
      </c>
      <c r="D2623" t="s">
        <v>7</v>
      </c>
      <c r="E2623" t="str">
        <f>IF(may[[#This Row],[ShiftCounter]]&gt;0, "Running", "Down")</f>
        <v>Running</v>
      </c>
    </row>
    <row r="2624" spans="1:5" x14ac:dyDescent="0.25">
      <c r="A2624" s="10">
        <v>44708</v>
      </c>
      <c r="B2624" s="11" t="s">
        <v>34</v>
      </c>
      <c r="C2624">
        <v>1965</v>
      </c>
      <c r="D2624" t="s">
        <v>8</v>
      </c>
      <c r="E2624" t="str">
        <f>IF(may[[#This Row],[ShiftCounter]]&gt;0, "Running", "Down")</f>
        <v>Running</v>
      </c>
    </row>
    <row r="2625" spans="1:5" x14ac:dyDescent="0.25">
      <c r="A2625" s="10">
        <v>44708</v>
      </c>
      <c r="B2625" s="11" t="s">
        <v>35</v>
      </c>
      <c r="C2625">
        <v>2330</v>
      </c>
      <c r="D2625" t="s">
        <v>6</v>
      </c>
      <c r="E2625" t="str">
        <f>IF(may[[#This Row],[ShiftCounter]]&gt;0, "Running", "Down")</f>
        <v>Running</v>
      </c>
    </row>
    <row r="2626" spans="1:5" x14ac:dyDescent="0.25">
      <c r="A2626" s="10">
        <v>44708</v>
      </c>
      <c r="B2626" s="11" t="s">
        <v>35</v>
      </c>
      <c r="C2626">
        <v>2150</v>
      </c>
      <c r="D2626" t="s">
        <v>7</v>
      </c>
      <c r="E2626" t="str">
        <f>IF(may[[#This Row],[ShiftCounter]]&gt;0, "Running", "Down")</f>
        <v>Running</v>
      </c>
    </row>
    <row r="2627" spans="1:5" x14ac:dyDescent="0.25">
      <c r="A2627" s="10">
        <v>44708</v>
      </c>
      <c r="B2627" s="11" t="s">
        <v>35</v>
      </c>
      <c r="C2627">
        <v>2058</v>
      </c>
      <c r="D2627" t="s">
        <v>8</v>
      </c>
      <c r="E2627" t="str">
        <f>IF(may[[#This Row],[ShiftCounter]]&gt;0, "Running", "Down")</f>
        <v>Running</v>
      </c>
    </row>
    <row r="2628" spans="1:5" x14ac:dyDescent="0.25">
      <c r="A2628" s="10">
        <v>44708</v>
      </c>
      <c r="B2628" s="11" t="s">
        <v>36</v>
      </c>
      <c r="C2628">
        <v>3321</v>
      </c>
      <c r="D2628" t="s">
        <v>6</v>
      </c>
      <c r="E2628" t="str">
        <f>IF(may[[#This Row],[ShiftCounter]]&gt;0, "Running", "Down")</f>
        <v>Running</v>
      </c>
    </row>
    <row r="2629" spans="1:5" x14ac:dyDescent="0.25">
      <c r="A2629" s="10">
        <v>44708</v>
      </c>
      <c r="B2629" s="11" t="s">
        <v>36</v>
      </c>
      <c r="C2629">
        <v>1567</v>
      </c>
      <c r="D2629" t="s">
        <v>7</v>
      </c>
      <c r="E2629" t="str">
        <f>IF(may[[#This Row],[ShiftCounter]]&gt;0, "Running", "Down")</f>
        <v>Running</v>
      </c>
    </row>
    <row r="2630" spans="1:5" x14ac:dyDescent="0.25">
      <c r="A2630" s="10">
        <v>44708</v>
      </c>
      <c r="B2630" s="11" t="s">
        <v>36</v>
      </c>
      <c r="C2630">
        <v>1926</v>
      </c>
      <c r="D2630" t="s">
        <v>8</v>
      </c>
      <c r="E2630" t="str">
        <f>IF(may[[#This Row],[ShiftCounter]]&gt;0, "Running", "Down")</f>
        <v>Running</v>
      </c>
    </row>
    <row r="2631" spans="1:5" x14ac:dyDescent="0.25">
      <c r="A2631" s="10">
        <v>44708</v>
      </c>
      <c r="B2631" s="11" t="s">
        <v>37</v>
      </c>
      <c r="C2631">
        <v>2442</v>
      </c>
      <c r="D2631" t="s">
        <v>6</v>
      </c>
      <c r="E2631" t="str">
        <f>IF(may[[#This Row],[ShiftCounter]]&gt;0, "Running", "Down")</f>
        <v>Running</v>
      </c>
    </row>
    <row r="2632" spans="1:5" x14ac:dyDescent="0.25">
      <c r="A2632" s="10">
        <v>44708</v>
      </c>
      <c r="B2632" s="11" t="s">
        <v>37</v>
      </c>
      <c r="C2632">
        <v>2244</v>
      </c>
      <c r="D2632" t="s">
        <v>7</v>
      </c>
      <c r="E2632" t="str">
        <f>IF(may[[#This Row],[ShiftCounter]]&gt;0, "Running", "Down")</f>
        <v>Running</v>
      </c>
    </row>
    <row r="2633" spans="1:5" x14ac:dyDescent="0.25">
      <c r="A2633" s="10">
        <v>44708</v>
      </c>
      <c r="B2633" s="11" t="s">
        <v>37</v>
      </c>
      <c r="C2633">
        <v>2007</v>
      </c>
      <c r="D2633" t="s">
        <v>8</v>
      </c>
      <c r="E2633" t="str">
        <f>IF(may[[#This Row],[ShiftCounter]]&gt;0, "Running", "Down")</f>
        <v>Running</v>
      </c>
    </row>
    <row r="2634" spans="1:5" x14ac:dyDescent="0.25">
      <c r="A2634" s="10">
        <v>44709</v>
      </c>
      <c r="B2634" s="11" t="s">
        <v>40</v>
      </c>
      <c r="C2634">
        <v>2341</v>
      </c>
      <c r="D2634" t="s">
        <v>6</v>
      </c>
      <c r="E2634" t="str">
        <f>IF(may[[#This Row],[ShiftCounter]]&gt;0, "Running", "Down")</f>
        <v>Running</v>
      </c>
    </row>
    <row r="2635" spans="1:5" x14ac:dyDescent="0.25">
      <c r="A2635" s="10">
        <v>44709</v>
      </c>
      <c r="B2635" s="11" t="s">
        <v>40</v>
      </c>
      <c r="C2635">
        <v>2170</v>
      </c>
      <c r="D2635" t="s">
        <v>7</v>
      </c>
      <c r="E2635" t="str">
        <f>IF(may[[#This Row],[ShiftCounter]]&gt;0, "Running", "Down")</f>
        <v>Running</v>
      </c>
    </row>
    <row r="2636" spans="1:5" x14ac:dyDescent="0.25">
      <c r="A2636" s="10">
        <v>44709</v>
      </c>
      <c r="B2636" s="11" t="s">
        <v>40</v>
      </c>
      <c r="C2636">
        <v>2078</v>
      </c>
      <c r="D2636" t="s">
        <v>8</v>
      </c>
      <c r="E2636" t="str">
        <f>IF(may[[#This Row],[ShiftCounter]]&gt;0, "Running", "Down")</f>
        <v>Running</v>
      </c>
    </row>
    <row r="2637" spans="1:5" x14ac:dyDescent="0.25">
      <c r="A2637" s="10">
        <v>44709</v>
      </c>
      <c r="B2637" s="11" t="s">
        <v>39</v>
      </c>
      <c r="C2637">
        <v>1749</v>
      </c>
      <c r="D2637" t="s">
        <v>6</v>
      </c>
      <c r="E2637" t="str">
        <f>IF(may[[#This Row],[ShiftCounter]]&gt;0, "Running", "Down")</f>
        <v>Running</v>
      </c>
    </row>
    <row r="2638" spans="1:5" x14ac:dyDescent="0.25">
      <c r="A2638" s="10">
        <v>44709</v>
      </c>
      <c r="B2638" s="11" t="s">
        <v>39</v>
      </c>
      <c r="C2638">
        <v>1912</v>
      </c>
      <c r="D2638" t="s">
        <v>7</v>
      </c>
      <c r="E2638" t="str">
        <f>IF(may[[#This Row],[ShiftCounter]]&gt;0, "Running", "Down")</f>
        <v>Running</v>
      </c>
    </row>
    <row r="2639" spans="1:5" x14ac:dyDescent="0.25">
      <c r="A2639" s="10">
        <v>44709</v>
      </c>
      <c r="B2639" s="11" t="s">
        <v>39</v>
      </c>
      <c r="C2639">
        <v>1850</v>
      </c>
      <c r="D2639" t="s">
        <v>8</v>
      </c>
      <c r="E2639" t="str">
        <f>IF(may[[#This Row],[ShiftCounter]]&gt;0, "Running", "Down")</f>
        <v>Running</v>
      </c>
    </row>
    <row r="2640" spans="1:5" x14ac:dyDescent="0.25">
      <c r="A2640" s="10">
        <v>44709</v>
      </c>
      <c r="B2640" s="11" t="s">
        <v>41</v>
      </c>
      <c r="C2640">
        <v>2386</v>
      </c>
      <c r="D2640" t="s">
        <v>6</v>
      </c>
      <c r="E2640" t="str">
        <f>IF(may[[#This Row],[ShiftCounter]]&gt;0, "Running", "Down")</f>
        <v>Running</v>
      </c>
    </row>
    <row r="2641" spans="1:5" x14ac:dyDescent="0.25">
      <c r="A2641" s="10">
        <v>44709</v>
      </c>
      <c r="B2641" s="11" t="s">
        <v>41</v>
      </c>
      <c r="C2641">
        <v>2182</v>
      </c>
      <c r="D2641" t="s">
        <v>7</v>
      </c>
      <c r="E2641" t="str">
        <f>IF(may[[#This Row],[ShiftCounter]]&gt;0, "Running", "Down")</f>
        <v>Running</v>
      </c>
    </row>
    <row r="2642" spans="1:5" x14ac:dyDescent="0.25">
      <c r="A2642" s="10">
        <v>44709</v>
      </c>
      <c r="B2642" s="11" t="s">
        <v>41</v>
      </c>
      <c r="C2642">
        <v>2137</v>
      </c>
      <c r="D2642" t="s">
        <v>8</v>
      </c>
      <c r="E2642" t="str">
        <f>IF(may[[#This Row],[ShiftCounter]]&gt;0, "Running", "Down")</f>
        <v>Running</v>
      </c>
    </row>
    <row r="2643" spans="1:5" x14ac:dyDescent="0.25">
      <c r="A2643" s="10">
        <v>44709</v>
      </c>
      <c r="B2643" s="11" t="s">
        <v>9</v>
      </c>
      <c r="C2643">
        <v>2315</v>
      </c>
      <c r="D2643" t="s">
        <v>6</v>
      </c>
      <c r="E2643" t="str">
        <f>IF(may[[#This Row],[ShiftCounter]]&gt;0, "Running", "Down")</f>
        <v>Running</v>
      </c>
    </row>
    <row r="2644" spans="1:5" x14ac:dyDescent="0.25">
      <c r="A2644" s="10">
        <v>44709</v>
      </c>
      <c r="B2644" s="11" t="s">
        <v>9</v>
      </c>
      <c r="C2644">
        <v>2173</v>
      </c>
      <c r="D2644" t="s">
        <v>7</v>
      </c>
      <c r="E2644" t="str">
        <f>IF(may[[#This Row],[ShiftCounter]]&gt;0, "Running", "Down")</f>
        <v>Running</v>
      </c>
    </row>
    <row r="2645" spans="1:5" x14ac:dyDescent="0.25">
      <c r="A2645" s="10">
        <v>44709</v>
      </c>
      <c r="B2645" s="11" t="s">
        <v>9</v>
      </c>
      <c r="C2645">
        <v>2128</v>
      </c>
      <c r="D2645" t="s">
        <v>8</v>
      </c>
      <c r="E2645" t="str">
        <f>IF(may[[#This Row],[ShiftCounter]]&gt;0, "Running", "Down")</f>
        <v>Running</v>
      </c>
    </row>
    <row r="2646" spans="1:5" x14ac:dyDescent="0.25">
      <c r="A2646" s="10">
        <v>44709</v>
      </c>
      <c r="B2646" s="11" t="s">
        <v>5</v>
      </c>
      <c r="C2646">
        <v>2079</v>
      </c>
      <c r="D2646" t="s">
        <v>6</v>
      </c>
      <c r="E2646" t="str">
        <f>IF(may[[#This Row],[ShiftCounter]]&gt;0, "Running", "Down")</f>
        <v>Running</v>
      </c>
    </row>
    <row r="2647" spans="1:5" x14ac:dyDescent="0.25">
      <c r="A2647" s="10">
        <v>44709</v>
      </c>
      <c r="B2647" s="11" t="s">
        <v>5</v>
      </c>
      <c r="C2647">
        <v>2152</v>
      </c>
      <c r="D2647" t="s">
        <v>7</v>
      </c>
      <c r="E2647" t="str">
        <f>IF(may[[#This Row],[ShiftCounter]]&gt;0, "Running", "Down")</f>
        <v>Running</v>
      </c>
    </row>
    <row r="2648" spans="1:5" x14ac:dyDescent="0.25">
      <c r="A2648" s="10">
        <v>44709</v>
      </c>
      <c r="B2648" s="11" t="s">
        <v>5</v>
      </c>
      <c r="C2648">
        <v>2048</v>
      </c>
      <c r="D2648" t="s">
        <v>8</v>
      </c>
      <c r="E2648" t="str">
        <f>IF(may[[#This Row],[ShiftCounter]]&gt;0, "Running", "Down")</f>
        <v>Running</v>
      </c>
    </row>
    <row r="2649" spans="1:5" x14ac:dyDescent="0.25">
      <c r="A2649" s="10">
        <v>44709</v>
      </c>
      <c r="B2649" s="11" t="s">
        <v>10</v>
      </c>
      <c r="C2649">
        <v>1969</v>
      </c>
      <c r="D2649" t="s">
        <v>6</v>
      </c>
      <c r="E2649" t="str">
        <f>IF(may[[#This Row],[ShiftCounter]]&gt;0, "Running", "Down")</f>
        <v>Running</v>
      </c>
    </row>
    <row r="2650" spans="1:5" x14ac:dyDescent="0.25">
      <c r="A2650" s="10">
        <v>44709</v>
      </c>
      <c r="B2650" s="11" t="s">
        <v>10</v>
      </c>
      <c r="C2650">
        <v>2218</v>
      </c>
      <c r="D2650" t="s">
        <v>7</v>
      </c>
      <c r="E2650" t="str">
        <f>IF(may[[#This Row],[ShiftCounter]]&gt;0, "Running", "Down")</f>
        <v>Running</v>
      </c>
    </row>
    <row r="2651" spans="1:5" x14ac:dyDescent="0.25">
      <c r="A2651" s="10">
        <v>44709</v>
      </c>
      <c r="B2651" s="11" t="s">
        <v>10</v>
      </c>
      <c r="C2651">
        <v>2091</v>
      </c>
      <c r="D2651" t="s">
        <v>8</v>
      </c>
      <c r="E2651" t="str">
        <f>IF(may[[#This Row],[ShiftCounter]]&gt;0, "Running", "Down")</f>
        <v>Running</v>
      </c>
    </row>
    <row r="2652" spans="1:5" x14ac:dyDescent="0.25">
      <c r="A2652" s="10">
        <v>44709</v>
      </c>
      <c r="B2652" s="11" t="s">
        <v>12</v>
      </c>
      <c r="C2652">
        <v>1759</v>
      </c>
      <c r="D2652" t="s">
        <v>6</v>
      </c>
      <c r="E2652" t="str">
        <f>IF(may[[#This Row],[ShiftCounter]]&gt;0, "Running", "Down")</f>
        <v>Running</v>
      </c>
    </row>
    <row r="2653" spans="1:5" x14ac:dyDescent="0.25">
      <c r="A2653" s="10">
        <v>44709</v>
      </c>
      <c r="B2653" s="11" t="s">
        <v>12</v>
      </c>
      <c r="C2653">
        <v>2181</v>
      </c>
      <c r="D2653" t="s">
        <v>7</v>
      </c>
      <c r="E2653" t="str">
        <f>IF(may[[#This Row],[ShiftCounter]]&gt;0, "Running", "Down")</f>
        <v>Running</v>
      </c>
    </row>
    <row r="2654" spans="1:5" x14ac:dyDescent="0.25">
      <c r="A2654" s="10">
        <v>44709</v>
      </c>
      <c r="B2654" s="11" t="s">
        <v>12</v>
      </c>
      <c r="C2654">
        <v>2059</v>
      </c>
      <c r="D2654" t="s">
        <v>8</v>
      </c>
      <c r="E2654" t="str">
        <f>IF(may[[#This Row],[ShiftCounter]]&gt;0, "Running", "Down")</f>
        <v>Running</v>
      </c>
    </row>
    <row r="2655" spans="1:5" x14ac:dyDescent="0.25">
      <c r="A2655" s="10">
        <v>44709</v>
      </c>
      <c r="B2655" s="11" t="s">
        <v>105</v>
      </c>
      <c r="C2655">
        <v>2260</v>
      </c>
      <c r="D2655" t="s">
        <v>6</v>
      </c>
      <c r="E2655" t="str">
        <f>IF(may[[#This Row],[ShiftCounter]]&gt;0, "Running", "Down")</f>
        <v>Running</v>
      </c>
    </row>
    <row r="2656" spans="1:5" x14ac:dyDescent="0.25">
      <c r="A2656" s="10">
        <v>44709</v>
      </c>
      <c r="B2656" s="11" t="s">
        <v>105</v>
      </c>
      <c r="C2656">
        <v>2103</v>
      </c>
      <c r="D2656" t="s">
        <v>7</v>
      </c>
      <c r="E2656" t="str">
        <f>IF(may[[#This Row],[ShiftCounter]]&gt;0, "Running", "Down")</f>
        <v>Running</v>
      </c>
    </row>
    <row r="2657" spans="1:5" x14ac:dyDescent="0.25">
      <c r="A2657" s="10">
        <v>44709</v>
      </c>
      <c r="B2657" s="11" t="s">
        <v>105</v>
      </c>
      <c r="C2657">
        <v>2015</v>
      </c>
      <c r="D2657" t="s">
        <v>8</v>
      </c>
      <c r="E2657" t="str">
        <f>IF(may[[#This Row],[ShiftCounter]]&gt;0, "Running", "Down")</f>
        <v>Running</v>
      </c>
    </row>
    <row r="2658" spans="1:5" x14ac:dyDescent="0.25">
      <c r="A2658" s="10">
        <v>44709</v>
      </c>
      <c r="B2658" s="11" t="s">
        <v>13</v>
      </c>
      <c r="C2658">
        <v>2165</v>
      </c>
      <c r="D2658" t="s">
        <v>6</v>
      </c>
      <c r="E2658" t="str">
        <f>IF(may[[#This Row],[ShiftCounter]]&gt;0, "Running", "Down")</f>
        <v>Running</v>
      </c>
    </row>
    <row r="2659" spans="1:5" x14ac:dyDescent="0.25">
      <c r="A2659" s="10">
        <v>44709</v>
      </c>
      <c r="B2659" s="11" t="s">
        <v>13</v>
      </c>
      <c r="C2659">
        <v>2122</v>
      </c>
      <c r="D2659" t="s">
        <v>7</v>
      </c>
      <c r="E2659" t="str">
        <f>IF(may[[#This Row],[ShiftCounter]]&gt;0, "Running", "Down")</f>
        <v>Running</v>
      </c>
    </row>
    <row r="2660" spans="1:5" x14ac:dyDescent="0.25">
      <c r="A2660" s="10">
        <v>44709</v>
      </c>
      <c r="B2660" s="11" t="s">
        <v>13</v>
      </c>
      <c r="C2660">
        <v>1958</v>
      </c>
      <c r="D2660" t="s">
        <v>8</v>
      </c>
      <c r="E2660" t="str">
        <f>IF(may[[#This Row],[ShiftCounter]]&gt;0, "Running", "Down")</f>
        <v>Running</v>
      </c>
    </row>
    <row r="2661" spans="1:5" x14ac:dyDescent="0.25">
      <c r="A2661" s="10">
        <v>44709</v>
      </c>
      <c r="B2661" s="11" t="s">
        <v>101</v>
      </c>
      <c r="C2661">
        <v>2139</v>
      </c>
      <c r="D2661" t="s">
        <v>6</v>
      </c>
      <c r="E2661" t="str">
        <f>IF(may[[#This Row],[ShiftCounter]]&gt;0, "Running", "Down")</f>
        <v>Running</v>
      </c>
    </row>
    <row r="2662" spans="1:5" x14ac:dyDescent="0.25">
      <c r="A2662" s="10">
        <v>44709</v>
      </c>
      <c r="B2662" s="11" t="s">
        <v>101</v>
      </c>
      <c r="C2662">
        <v>2078</v>
      </c>
      <c r="D2662" t="s">
        <v>7</v>
      </c>
      <c r="E2662" t="str">
        <f>IF(may[[#This Row],[ShiftCounter]]&gt;0, "Running", "Down")</f>
        <v>Running</v>
      </c>
    </row>
    <row r="2663" spans="1:5" x14ac:dyDescent="0.25">
      <c r="A2663" s="10">
        <v>44709</v>
      </c>
      <c r="B2663" s="11" t="s">
        <v>101</v>
      </c>
      <c r="C2663">
        <v>1884</v>
      </c>
      <c r="D2663" t="s">
        <v>8</v>
      </c>
      <c r="E2663" t="str">
        <f>IF(may[[#This Row],[ShiftCounter]]&gt;0, "Running", "Down")</f>
        <v>Running</v>
      </c>
    </row>
    <row r="2664" spans="1:5" x14ac:dyDescent="0.25">
      <c r="A2664" s="10">
        <v>44709</v>
      </c>
      <c r="B2664" s="11" t="s">
        <v>14</v>
      </c>
      <c r="C2664">
        <v>1896</v>
      </c>
      <c r="D2664" t="s">
        <v>6</v>
      </c>
      <c r="E2664" t="str">
        <f>IF(may[[#This Row],[ShiftCounter]]&gt;0, "Running", "Down")</f>
        <v>Running</v>
      </c>
    </row>
    <row r="2665" spans="1:5" x14ac:dyDescent="0.25">
      <c r="A2665" s="10">
        <v>44709</v>
      </c>
      <c r="B2665" s="11" t="s">
        <v>14</v>
      </c>
      <c r="C2665">
        <v>1809</v>
      </c>
      <c r="D2665" t="s">
        <v>7</v>
      </c>
      <c r="E2665" t="str">
        <f>IF(may[[#This Row],[ShiftCounter]]&gt;0, "Running", "Down")</f>
        <v>Running</v>
      </c>
    </row>
    <row r="2666" spans="1:5" x14ac:dyDescent="0.25">
      <c r="A2666" s="10">
        <v>44709</v>
      </c>
      <c r="B2666" s="11" t="s">
        <v>14</v>
      </c>
      <c r="C2666">
        <v>1650</v>
      </c>
      <c r="D2666" t="s">
        <v>8</v>
      </c>
      <c r="E2666" t="str">
        <f>IF(may[[#This Row],[ShiftCounter]]&gt;0, "Running", "Down")</f>
        <v>Running</v>
      </c>
    </row>
    <row r="2667" spans="1:5" x14ac:dyDescent="0.25">
      <c r="A2667" s="10">
        <v>44709</v>
      </c>
      <c r="B2667" s="11" t="s">
        <v>15</v>
      </c>
      <c r="C2667">
        <v>2182</v>
      </c>
      <c r="D2667" t="s">
        <v>6</v>
      </c>
      <c r="E2667" t="str">
        <f>IF(may[[#This Row],[ShiftCounter]]&gt;0, "Running", "Down")</f>
        <v>Running</v>
      </c>
    </row>
    <row r="2668" spans="1:5" x14ac:dyDescent="0.25">
      <c r="A2668" s="10">
        <v>44709</v>
      </c>
      <c r="B2668" s="11" t="s">
        <v>15</v>
      </c>
      <c r="C2668">
        <v>2081</v>
      </c>
      <c r="D2668" t="s">
        <v>7</v>
      </c>
      <c r="E2668" t="str">
        <f>IF(may[[#This Row],[ShiftCounter]]&gt;0, "Running", "Down")</f>
        <v>Running</v>
      </c>
    </row>
    <row r="2669" spans="1:5" x14ac:dyDescent="0.25">
      <c r="A2669" s="10">
        <v>44709</v>
      </c>
      <c r="B2669" s="11" t="s">
        <v>15</v>
      </c>
      <c r="C2669">
        <v>1933</v>
      </c>
      <c r="D2669" t="s">
        <v>8</v>
      </c>
      <c r="E2669" t="str">
        <f>IF(may[[#This Row],[ShiftCounter]]&gt;0, "Running", "Down")</f>
        <v>Running</v>
      </c>
    </row>
    <row r="2670" spans="1:5" x14ac:dyDescent="0.25">
      <c r="A2670" s="10">
        <v>44709</v>
      </c>
      <c r="B2670" s="11" t="s">
        <v>16</v>
      </c>
      <c r="C2670">
        <v>2286</v>
      </c>
      <c r="D2670" t="s">
        <v>6</v>
      </c>
      <c r="E2670" t="str">
        <f>IF(may[[#This Row],[ShiftCounter]]&gt;0, "Running", "Down")</f>
        <v>Running</v>
      </c>
    </row>
    <row r="2671" spans="1:5" x14ac:dyDescent="0.25">
      <c r="A2671" s="10">
        <v>44709</v>
      </c>
      <c r="B2671" s="11" t="s">
        <v>16</v>
      </c>
      <c r="C2671">
        <v>2164</v>
      </c>
      <c r="D2671" t="s">
        <v>7</v>
      </c>
      <c r="E2671" t="str">
        <f>IF(may[[#This Row],[ShiftCounter]]&gt;0, "Running", "Down")</f>
        <v>Running</v>
      </c>
    </row>
    <row r="2672" spans="1:5" x14ac:dyDescent="0.25">
      <c r="A2672" s="10">
        <v>44709</v>
      </c>
      <c r="B2672" s="11" t="s">
        <v>16</v>
      </c>
      <c r="C2672">
        <v>2033</v>
      </c>
      <c r="D2672" t="s">
        <v>8</v>
      </c>
      <c r="E2672" t="str">
        <f>IF(may[[#This Row],[ShiftCounter]]&gt;0, "Running", "Down")</f>
        <v>Running</v>
      </c>
    </row>
    <row r="2673" spans="1:5" x14ac:dyDescent="0.25">
      <c r="A2673" s="10">
        <v>44709</v>
      </c>
      <c r="B2673" s="11" t="s">
        <v>17</v>
      </c>
      <c r="C2673">
        <v>2387</v>
      </c>
      <c r="D2673" t="s">
        <v>6</v>
      </c>
      <c r="E2673" t="str">
        <f>IF(may[[#This Row],[ShiftCounter]]&gt;0, "Running", "Down")</f>
        <v>Running</v>
      </c>
    </row>
    <row r="2674" spans="1:5" x14ac:dyDescent="0.25">
      <c r="A2674" s="10">
        <v>44709</v>
      </c>
      <c r="B2674" s="11" t="s">
        <v>17</v>
      </c>
      <c r="C2674">
        <v>2336</v>
      </c>
      <c r="D2674" t="s">
        <v>7</v>
      </c>
      <c r="E2674" t="str">
        <f>IF(may[[#This Row],[ShiftCounter]]&gt;0, "Running", "Down")</f>
        <v>Running</v>
      </c>
    </row>
    <row r="2675" spans="1:5" x14ac:dyDescent="0.25">
      <c r="A2675" s="10">
        <v>44709</v>
      </c>
      <c r="B2675" s="11" t="s">
        <v>17</v>
      </c>
      <c r="C2675">
        <v>2077</v>
      </c>
      <c r="D2675" t="s">
        <v>8</v>
      </c>
      <c r="E2675" t="str">
        <f>IF(may[[#This Row],[ShiftCounter]]&gt;0, "Running", "Down")</f>
        <v>Running</v>
      </c>
    </row>
    <row r="2676" spans="1:5" x14ac:dyDescent="0.25">
      <c r="A2676" s="10">
        <v>44709</v>
      </c>
      <c r="B2676" s="11" t="s">
        <v>19</v>
      </c>
      <c r="C2676">
        <v>1999</v>
      </c>
      <c r="D2676" t="s">
        <v>6</v>
      </c>
      <c r="E2676" t="str">
        <f>IF(may[[#This Row],[ShiftCounter]]&gt;0, "Running", "Down")</f>
        <v>Running</v>
      </c>
    </row>
    <row r="2677" spans="1:5" x14ac:dyDescent="0.25">
      <c r="A2677" s="10">
        <v>44709</v>
      </c>
      <c r="B2677" s="11" t="s">
        <v>19</v>
      </c>
      <c r="C2677">
        <v>2040</v>
      </c>
      <c r="D2677" t="s">
        <v>7</v>
      </c>
      <c r="E2677" t="str">
        <f>IF(may[[#This Row],[ShiftCounter]]&gt;0, "Running", "Down")</f>
        <v>Running</v>
      </c>
    </row>
    <row r="2678" spans="1:5" x14ac:dyDescent="0.25">
      <c r="A2678" s="10">
        <v>44709</v>
      </c>
      <c r="B2678" s="11" t="s">
        <v>19</v>
      </c>
      <c r="C2678">
        <v>1735</v>
      </c>
      <c r="D2678" t="s">
        <v>8</v>
      </c>
      <c r="E2678" t="str">
        <f>IF(may[[#This Row],[ShiftCounter]]&gt;0, "Running", "Down")</f>
        <v>Running</v>
      </c>
    </row>
    <row r="2679" spans="1:5" x14ac:dyDescent="0.25">
      <c r="A2679" s="10">
        <v>44709</v>
      </c>
      <c r="B2679" s="11" t="s">
        <v>18</v>
      </c>
      <c r="C2679">
        <v>2257</v>
      </c>
      <c r="D2679" t="s">
        <v>6</v>
      </c>
      <c r="E2679" t="str">
        <f>IF(may[[#This Row],[ShiftCounter]]&gt;0, "Running", "Down")</f>
        <v>Running</v>
      </c>
    </row>
    <row r="2680" spans="1:5" x14ac:dyDescent="0.25">
      <c r="A2680" s="10">
        <v>44709</v>
      </c>
      <c r="B2680" s="11" t="s">
        <v>18</v>
      </c>
      <c r="C2680">
        <v>2195</v>
      </c>
      <c r="D2680" t="s">
        <v>7</v>
      </c>
      <c r="E2680" t="str">
        <f>IF(may[[#This Row],[ShiftCounter]]&gt;0, "Running", "Down")</f>
        <v>Running</v>
      </c>
    </row>
    <row r="2681" spans="1:5" x14ac:dyDescent="0.25">
      <c r="A2681" s="10">
        <v>44709</v>
      </c>
      <c r="B2681" s="11" t="s">
        <v>18</v>
      </c>
      <c r="C2681">
        <v>2154</v>
      </c>
      <c r="D2681" t="s">
        <v>8</v>
      </c>
      <c r="E2681" t="str">
        <f>IF(may[[#This Row],[ShiftCounter]]&gt;0, "Running", "Down")</f>
        <v>Running</v>
      </c>
    </row>
    <row r="2682" spans="1:5" x14ac:dyDescent="0.25">
      <c r="A2682" s="10">
        <v>44709</v>
      </c>
      <c r="B2682" s="11" t="s">
        <v>38</v>
      </c>
      <c r="C2682">
        <v>0</v>
      </c>
      <c r="D2682" t="s">
        <v>6</v>
      </c>
      <c r="E2682" t="str">
        <f>IF(may[[#This Row],[ShiftCounter]]&gt;0, "Running", "Down")</f>
        <v>Down</v>
      </c>
    </row>
    <row r="2683" spans="1:5" x14ac:dyDescent="0.25">
      <c r="A2683" s="10">
        <v>44709</v>
      </c>
      <c r="B2683" s="11" t="s">
        <v>38</v>
      </c>
      <c r="C2683">
        <v>1280</v>
      </c>
      <c r="D2683" t="s">
        <v>7</v>
      </c>
      <c r="E2683" t="str">
        <f>IF(may[[#This Row],[ShiftCounter]]&gt;0, "Running", "Down")</f>
        <v>Running</v>
      </c>
    </row>
    <row r="2684" spans="1:5" x14ac:dyDescent="0.25">
      <c r="A2684" s="10">
        <v>44709</v>
      </c>
      <c r="B2684" s="11" t="s">
        <v>38</v>
      </c>
      <c r="C2684">
        <v>2040</v>
      </c>
      <c r="D2684" t="s">
        <v>8</v>
      </c>
      <c r="E2684" t="str">
        <f>IF(may[[#This Row],[ShiftCounter]]&gt;0, "Running", "Down")</f>
        <v>Running</v>
      </c>
    </row>
    <row r="2685" spans="1:5" x14ac:dyDescent="0.25">
      <c r="A2685" s="10">
        <v>44709</v>
      </c>
      <c r="B2685" s="11" t="s">
        <v>20</v>
      </c>
      <c r="C2685">
        <v>2260</v>
      </c>
      <c r="D2685" t="s">
        <v>6</v>
      </c>
      <c r="E2685" t="str">
        <f>IF(may[[#This Row],[ShiftCounter]]&gt;0, "Running", "Down")</f>
        <v>Running</v>
      </c>
    </row>
    <row r="2686" spans="1:5" x14ac:dyDescent="0.25">
      <c r="A2686" s="10">
        <v>44709</v>
      </c>
      <c r="B2686" s="11" t="s">
        <v>20</v>
      </c>
      <c r="C2686">
        <v>2250</v>
      </c>
      <c r="D2686" t="s">
        <v>7</v>
      </c>
      <c r="E2686" t="str">
        <f>IF(may[[#This Row],[ShiftCounter]]&gt;0, "Running", "Down")</f>
        <v>Running</v>
      </c>
    </row>
    <row r="2687" spans="1:5" x14ac:dyDescent="0.25">
      <c r="A2687" s="10">
        <v>44709</v>
      </c>
      <c r="B2687" s="11" t="s">
        <v>20</v>
      </c>
      <c r="C2687">
        <v>2170</v>
      </c>
      <c r="D2687" t="s">
        <v>8</v>
      </c>
      <c r="E2687" t="str">
        <f>IF(may[[#This Row],[ShiftCounter]]&gt;0, "Running", "Down")</f>
        <v>Running</v>
      </c>
    </row>
    <row r="2688" spans="1:5" x14ac:dyDescent="0.25">
      <c r="A2688" s="10">
        <v>44709</v>
      </c>
      <c r="B2688" s="11" t="s">
        <v>21</v>
      </c>
      <c r="C2688">
        <v>2052</v>
      </c>
      <c r="D2688" t="s">
        <v>6</v>
      </c>
      <c r="E2688" t="str">
        <f>IF(may[[#This Row],[ShiftCounter]]&gt;0, "Running", "Down")</f>
        <v>Running</v>
      </c>
    </row>
    <row r="2689" spans="1:5" x14ac:dyDescent="0.25">
      <c r="A2689" s="10">
        <v>44709</v>
      </c>
      <c r="B2689" s="11" t="s">
        <v>21</v>
      </c>
      <c r="C2689">
        <v>2060</v>
      </c>
      <c r="D2689" t="s">
        <v>7</v>
      </c>
      <c r="E2689" t="str">
        <f>IF(may[[#This Row],[ShiftCounter]]&gt;0, "Running", "Down")</f>
        <v>Running</v>
      </c>
    </row>
    <row r="2690" spans="1:5" x14ac:dyDescent="0.25">
      <c r="A2690" s="10">
        <v>44709</v>
      </c>
      <c r="B2690" s="11" t="s">
        <v>21</v>
      </c>
      <c r="C2690">
        <v>1896</v>
      </c>
      <c r="D2690" t="s">
        <v>8</v>
      </c>
      <c r="E2690" t="str">
        <f>IF(may[[#This Row],[ShiftCounter]]&gt;0, "Running", "Down")</f>
        <v>Running</v>
      </c>
    </row>
    <row r="2691" spans="1:5" x14ac:dyDescent="0.25">
      <c r="A2691" s="10">
        <v>44709</v>
      </c>
      <c r="B2691" s="11" t="s">
        <v>22</v>
      </c>
      <c r="C2691">
        <v>2174</v>
      </c>
      <c r="D2691" t="s">
        <v>6</v>
      </c>
      <c r="E2691" t="str">
        <f>IF(may[[#This Row],[ShiftCounter]]&gt;0, "Running", "Down")</f>
        <v>Running</v>
      </c>
    </row>
    <row r="2692" spans="1:5" x14ac:dyDescent="0.25">
      <c r="A2692" s="10">
        <v>44709</v>
      </c>
      <c r="B2692" s="11" t="s">
        <v>22</v>
      </c>
      <c r="C2692">
        <v>2185</v>
      </c>
      <c r="D2692" t="s">
        <v>7</v>
      </c>
      <c r="E2692" t="str">
        <f>IF(may[[#This Row],[ShiftCounter]]&gt;0, "Running", "Down")</f>
        <v>Running</v>
      </c>
    </row>
    <row r="2693" spans="1:5" x14ac:dyDescent="0.25">
      <c r="A2693" s="10">
        <v>44709</v>
      </c>
      <c r="B2693" s="11" t="s">
        <v>22</v>
      </c>
      <c r="C2693">
        <v>2066</v>
      </c>
      <c r="D2693" t="s">
        <v>8</v>
      </c>
      <c r="E2693" t="str">
        <f>IF(may[[#This Row],[ShiftCounter]]&gt;0, "Running", "Down")</f>
        <v>Running</v>
      </c>
    </row>
    <row r="2694" spans="1:5" x14ac:dyDescent="0.25">
      <c r="A2694" s="10">
        <v>44709</v>
      </c>
      <c r="B2694" s="11" t="s">
        <v>23</v>
      </c>
      <c r="C2694">
        <v>2355</v>
      </c>
      <c r="D2694" t="s">
        <v>6</v>
      </c>
      <c r="E2694" t="str">
        <f>IF(may[[#This Row],[ShiftCounter]]&gt;0, "Running", "Down")</f>
        <v>Running</v>
      </c>
    </row>
    <row r="2695" spans="1:5" x14ac:dyDescent="0.25">
      <c r="A2695" s="10">
        <v>44709</v>
      </c>
      <c r="B2695" s="11" t="s">
        <v>23</v>
      </c>
      <c r="C2695">
        <v>2340</v>
      </c>
      <c r="D2695" t="s">
        <v>7</v>
      </c>
      <c r="E2695" t="str">
        <f>IF(may[[#This Row],[ShiftCounter]]&gt;0, "Running", "Down")</f>
        <v>Running</v>
      </c>
    </row>
    <row r="2696" spans="1:5" x14ac:dyDescent="0.25">
      <c r="A2696" s="10">
        <v>44709</v>
      </c>
      <c r="B2696" s="11" t="s">
        <v>23</v>
      </c>
      <c r="C2696">
        <v>2195</v>
      </c>
      <c r="D2696" t="s">
        <v>8</v>
      </c>
      <c r="E2696" t="str">
        <f>IF(may[[#This Row],[ShiftCounter]]&gt;0, "Running", "Down")</f>
        <v>Running</v>
      </c>
    </row>
    <row r="2697" spans="1:5" x14ac:dyDescent="0.25">
      <c r="A2697" s="10">
        <v>44709</v>
      </c>
      <c r="B2697" s="11" t="s">
        <v>24</v>
      </c>
      <c r="C2697">
        <v>2031</v>
      </c>
      <c r="D2697" t="s">
        <v>6</v>
      </c>
      <c r="E2697" t="str">
        <f>IF(may[[#This Row],[ShiftCounter]]&gt;0, "Running", "Down")</f>
        <v>Running</v>
      </c>
    </row>
    <row r="2698" spans="1:5" x14ac:dyDescent="0.25">
      <c r="A2698" s="10">
        <v>44709</v>
      </c>
      <c r="B2698" s="11" t="s">
        <v>24</v>
      </c>
      <c r="C2698">
        <v>2110</v>
      </c>
      <c r="D2698" t="s">
        <v>7</v>
      </c>
      <c r="E2698" t="str">
        <f>IF(may[[#This Row],[ShiftCounter]]&gt;0, "Running", "Down")</f>
        <v>Running</v>
      </c>
    </row>
    <row r="2699" spans="1:5" x14ac:dyDescent="0.25">
      <c r="A2699" s="10">
        <v>44709</v>
      </c>
      <c r="B2699" s="11" t="s">
        <v>24</v>
      </c>
      <c r="C2699">
        <v>1947</v>
      </c>
      <c r="D2699" t="s">
        <v>8</v>
      </c>
      <c r="E2699" t="str">
        <f>IF(may[[#This Row],[ShiftCounter]]&gt;0, "Running", "Down")</f>
        <v>Running</v>
      </c>
    </row>
    <row r="2700" spans="1:5" x14ac:dyDescent="0.25">
      <c r="A2700" s="10">
        <v>44709</v>
      </c>
      <c r="B2700" s="11" t="s">
        <v>25</v>
      </c>
      <c r="C2700">
        <v>2037</v>
      </c>
      <c r="D2700" t="s">
        <v>6</v>
      </c>
      <c r="E2700" t="str">
        <f>IF(may[[#This Row],[ShiftCounter]]&gt;0, "Running", "Down")</f>
        <v>Running</v>
      </c>
    </row>
    <row r="2701" spans="1:5" x14ac:dyDescent="0.25">
      <c r="A2701" s="10">
        <v>44709</v>
      </c>
      <c r="B2701" s="11" t="s">
        <v>25</v>
      </c>
      <c r="C2701">
        <v>2135</v>
      </c>
      <c r="D2701" t="s">
        <v>7</v>
      </c>
      <c r="E2701" t="str">
        <f>IF(may[[#This Row],[ShiftCounter]]&gt;0, "Running", "Down")</f>
        <v>Running</v>
      </c>
    </row>
    <row r="2702" spans="1:5" x14ac:dyDescent="0.25">
      <c r="A2702" s="10">
        <v>44709</v>
      </c>
      <c r="B2702" s="11" t="s">
        <v>25</v>
      </c>
      <c r="C2702">
        <v>2108</v>
      </c>
      <c r="D2702" t="s">
        <v>8</v>
      </c>
      <c r="E2702" t="str">
        <f>IF(may[[#This Row],[ShiftCounter]]&gt;0, "Running", "Down")</f>
        <v>Running</v>
      </c>
    </row>
    <row r="2703" spans="1:5" x14ac:dyDescent="0.25">
      <c r="A2703" s="10">
        <v>44709</v>
      </c>
      <c r="B2703" s="11" t="s">
        <v>137</v>
      </c>
      <c r="C2703">
        <v>2039</v>
      </c>
      <c r="D2703" t="s">
        <v>6</v>
      </c>
      <c r="E2703" t="str">
        <f>IF(may[[#This Row],[ShiftCounter]]&gt;0, "Running", "Down")</f>
        <v>Running</v>
      </c>
    </row>
    <row r="2704" spans="1:5" x14ac:dyDescent="0.25">
      <c r="A2704" s="10">
        <v>44709</v>
      </c>
      <c r="B2704" s="11" t="s">
        <v>137</v>
      </c>
      <c r="C2704">
        <v>1891</v>
      </c>
      <c r="D2704" t="s">
        <v>7</v>
      </c>
      <c r="E2704" t="str">
        <f>IF(may[[#This Row],[ShiftCounter]]&gt;0, "Running", "Down")</f>
        <v>Running</v>
      </c>
    </row>
    <row r="2705" spans="1:5" x14ac:dyDescent="0.25">
      <c r="A2705" s="10">
        <v>44709</v>
      </c>
      <c r="B2705" s="11" t="s">
        <v>137</v>
      </c>
      <c r="C2705">
        <v>1928</v>
      </c>
      <c r="D2705" t="s">
        <v>8</v>
      </c>
      <c r="E2705" t="str">
        <f>IF(may[[#This Row],[ShiftCounter]]&gt;0, "Running", "Down")</f>
        <v>Running</v>
      </c>
    </row>
    <row r="2706" spans="1:5" x14ac:dyDescent="0.25">
      <c r="A2706" s="10">
        <v>44709</v>
      </c>
      <c r="B2706" s="11" t="s">
        <v>27</v>
      </c>
      <c r="C2706">
        <v>2043</v>
      </c>
      <c r="D2706" t="s">
        <v>6</v>
      </c>
      <c r="E2706" t="str">
        <f>IF(may[[#This Row],[ShiftCounter]]&gt;0, "Running", "Down")</f>
        <v>Running</v>
      </c>
    </row>
    <row r="2707" spans="1:5" x14ac:dyDescent="0.25">
      <c r="A2707" s="10">
        <v>44709</v>
      </c>
      <c r="B2707" s="11" t="s">
        <v>27</v>
      </c>
      <c r="C2707">
        <v>2328</v>
      </c>
      <c r="D2707" t="s">
        <v>7</v>
      </c>
      <c r="E2707" t="str">
        <f>IF(may[[#This Row],[ShiftCounter]]&gt;0, "Running", "Down")</f>
        <v>Running</v>
      </c>
    </row>
    <row r="2708" spans="1:5" x14ac:dyDescent="0.25">
      <c r="A2708" s="10">
        <v>44709</v>
      </c>
      <c r="B2708" s="11" t="s">
        <v>27</v>
      </c>
      <c r="C2708">
        <v>2148</v>
      </c>
      <c r="D2708" t="s">
        <v>8</v>
      </c>
      <c r="E2708" t="str">
        <f>IF(may[[#This Row],[ShiftCounter]]&gt;0, "Running", "Down")</f>
        <v>Running</v>
      </c>
    </row>
    <row r="2709" spans="1:5" x14ac:dyDescent="0.25">
      <c r="A2709" s="10">
        <v>44709</v>
      </c>
      <c r="B2709" s="11" t="s">
        <v>28</v>
      </c>
      <c r="C2709">
        <v>2169</v>
      </c>
      <c r="D2709" t="s">
        <v>6</v>
      </c>
      <c r="E2709" t="str">
        <f>IF(may[[#This Row],[ShiftCounter]]&gt;0, "Running", "Down")</f>
        <v>Running</v>
      </c>
    </row>
    <row r="2710" spans="1:5" x14ac:dyDescent="0.25">
      <c r="A2710" s="10">
        <v>44709</v>
      </c>
      <c r="B2710" s="11" t="s">
        <v>28</v>
      </c>
      <c r="C2710">
        <v>2239</v>
      </c>
      <c r="D2710" t="s">
        <v>7</v>
      </c>
      <c r="E2710" t="str">
        <f>IF(may[[#This Row],[ShiftCounter]]&gt;0, "Running", "Down")</f>
        <v>Running</v>
      </c>
    </row>
    <row r="2711" spans="1:5" x14ac:dyDescent="0.25">
      <c r="A2711" s="10">
        <v>44709</v>
      </c>
      <c r="B2711" s="11" t="s">
        <v>28</v>
      </c>
      <c r="C2711">
        <v>2038</v>
      </c>
      <c r="D2711" t="s">
        <v>8</v>
      </c>
      <c r="E2711" t="str">
        <f>IF(may[[#This Row],[ShiftCounter]]&gt;0, "Running", "Down")</f>
        <v>Running</v>
      </c>
    </row>
    <row r="2712" spans="1:5" x14ac:dyDescent="0.25">
      <c r="A2712" s="10">
        <v>44709</v>
      </c>
      <c r="B2712" s="11" t="s">
        <v>30</v>
      </c>
      <c r="C2712">
        <v>2243</v>
      </c>
      <c r="D2712" t="s">
        <v>6</v>
      </c>
      <c r="E2712" t="str">
        <f>IF(may[[#This Row],[ShiftCounter]]&gt;0, "Running", "Down")</f>
        <v>Running</v>
      </c>
    </row>
    <row r="2713" spans="1:5" x14ac:dyDescent="0.25">
      <c r="A2713" s="10">
        <v>44709</v>
      </c>
      <c r="B2713" s="11" t="s">
        <v>30</v>
      </c>
      <c r="C2713">
        <v>2284</v>
      </c>
      <c r="D2713" t="s">
        <v>7</v>
      </c>
      <c r="E2713" t="str">
        <f>IF(may[[#This Row],[ShiftCounter]]&gt;0, "Running", "Down")</f>
        <v>Running</v>
      </c>
    </row>
    <row r="2714" spans="1:5" x14ac:dyDescent="0.25">
      <c r="A2714" s="10">
        <v>44709</v>
      </c>
      <c r="B2714" s="11" t="s">
        <v>30</v>
      </c>
      <c r="C2714">
        <v>2102</v>
      </c>
      <c r="D2714" t="s">
        <v>8</v>
      </c>
      <c r="E2714" t="str">
        <f>IF(may[[#This Row],[ShiftCounter]]&gt;0, "Running", "Down")</f>
        <v>Running</v>
      </c>
    </row>
    <row r="2715" spans="1:5" x14ac:dyDescent="0.25">
      <c r="A2715" s="10">
        <v>44709</v>
      </c>
      <c r="B2715" s="11" t="s">
        <v>29</v>
      </c>
      <c r="C2715">
        <v>1999</v>
      </c>
      <c r="D2715" t="s">
        <v>6</v>
      </c>
      <c r="E2715" t="str">
        <f>IF(may[[#This Row],[ShiftCounter]]&gt;0, "Running", "Down")</f>
        <v>Running</v>
      </c>
    </row>
    <row r="2716" spans="1:5" x14ac:dyDescent="0.25">
      <c r="A2716" s="10">
        <v>44709</v>
      </c>
      <c r="B2716" s="11" t="s">
        <v>29</v>
      </c>
      <c r="C2716">
        <v>2060</v>
      </c>
      <c r="D2716" t="s">
        <v>7</v>
      </c>
      <c r="E2716" t="str">
        <f>IF(may[[#This Row],[ShiftCounter]]&gt;0, "Running", "Down")</f>
        <v>Running</v>
      </c>
    </row>
    <row r="2717" spans="1:5" x14ac:dyDescent="0.25">
      <c r="A2717" s="10">
        <v>44709</v>
      </c>
      <c r="B2717" s="11" t="s">
        <v>29</v>
      </c>
      <c r="C2717">
        <v>1861</v>
      </c>
      <c r="D2717" t="s">
        <v>8</v>
      </c>
      <c r="E2717" t="str">
        <f>IF(may[[#This Row],[ShiftCounter]]&gt;0, "Running", "Down")</f>
        <v>Running</v>
      </c>
    </row>
    <row r="2718" spans="1:5" x14ac:dyDescent="0.25">
      <c r="A2718" s="10">
        <v>44709</v>
      </c>
      <c r="B2718" s="11" t="s">
        <v>31</v>
      </c>
      <c r="C2718">
        <v>2143</v>
      </c>
      <c r="D2718" t="s">
        <v>6</v>
      </c>
      <c r="E2718" t="str">
        <f>IF(may[[#This Row],[ShiftCounter]]&gt;0, "Running", "Down")</f>
        <v>Running</v>
      </c>
    </row>
    <row r="2719" spans="1:5" x14ac:dyDescent="0.25">
      <c r="A2719" s="10">
        <v>44709</v>
      </c>
      <c r="B2719" s="11" t="s">
        <v>31</v>
      </c>
      <c r="C2719">
        <v>2036</v>
      </c>
      <c r="D2719" t="s">
        <v>7</v>
      </c>
      <c r="E2719" t="str">
        <f>IF(may[[#This Row],[ShiftCounter]]&gt;0, "Running", "Down")</f>
        <v>Running</v>
      </c>
    </row>
    <row r="2720" spans="1:5" x14ac:dyDescent="0.25">
      <c r="A2720" s="10">
        <v>44709</v>
      </c>
      <c r="B2720" s="11" t="s">
        <v>31</v>
      </c>
      <c r="C2720">
        <v>1939</v>
      </c>
      <c r="D2720" t="s">
        <v>8</v>
      </c>
      <c r="E2720" t="str">
        <f>IF(may[[#This Row],[ShiftCounter]]&gt;0, "Running", "Down")</f>
        <v>Running</v>
      </c>
    </row>
    <row r="2721" spans="1:5" x14ac:dyDescent="0.25">
      <c r="A2721" s="10">
        <v>44709</v>
      </c>
      <c r="B2721" s="11" t="s">
        <v>32</v>
      </c>
      <c r="C2721">
        <v>2086</v>
      </c>
      <c r="D2721" t="s">
        <v>6</v>
      </c>
      <c r="E2721" t="str">
        <f>IF(may[[#This Row],[ShiftCounter]]&gt;0, "Running", "Down")</f>
        <v>Running</v>
      </c>
    </row>
    <row r="2722" spans="1:5" x14ac:dyDescent="0.25">
      <c r="A2722" s="10">
        <v>44709</v>
      </c>
      <c r="B2722" s="11" t="s">
        <v>32</v>
      </c>
      <c r="C2722">
        <v>2124</v>
      </c>
      <c r="D2722" t="s">
        <v>7</v>
      </c>
      <c r="E2722" t="str">
        <f>IF(may[[#This Row],[ShiftCounter]]&gt;0, "Running", "Down")</f>
        <v>Running</v>
      </c>
    </row>
    <row r="2723" spans="1:5" x14ac:dyDescent="0.25">
      <c r="A2723" s="10">
        <v>44709</v>
      </c>
      <c r="B2723" s="11" t="s">
        <v>32</v>
      </c>
      <c r="C2723">
        <v>1983</v>
      </c>
      <c r="D2723" t="s">
        <v>8</v>
      </c>
      <c r="E2723" t="str">
        <f>IF(may[[#This Row],[ShiftCounter]]&gt;0, "Running", "Down")</f>
        <v>Running</v>
      </c>
    </row>
    <row r="2724" spans="1:5" x14ac:dyDescent="0.25">
      <c r="A2724" s="10">
        <v>44709</v>
      </c>
      <c r="B2724" s="11" t="s">
        <v>33</v>
      </c>
      <c r="C2724">
        <v>2448</v>
      </c>
      <c r="D2724" t="s">
        <v>6</v>
      </c>
      <c r="E2724" t="str">
        <f>IF(may[[#This Row],[ShiftCounter]]&gt;0, "Running", "Down")</f>
        <v>Running</v>
      </c>
    </row>
    <row r="2725" spans="1:5" x14ac:dyDescent="0.25">
      <c r="A2725" s="10">
        <v>44709</v>
      </c>
      <c r="B2725" s="11" t="s">
        <v>33</v>
      </c>
      <c r="C2725">
        <v>2388</v>
      </c>
      <c r="D2725" t="s">
        <v>7</v>
      </c>
      <c r="E2725" t="str">
        <f>IF(may[[#This Row],[ShiftCounter]]&gt;0, "Running", "Down")</f>
        <v>Running</v>
      </c>
    </row>
    <row r="2726" spans="1:5" x14ac:dyDescent="0.25">
      <c r="A2726" s="10">
        <v>44709</v>
      </c>
      <c r="B2726" s="11" t="s">
        <v>33</v>
      </c>
      <c r="C2726">
        <v>2237</v>
      </c>
      <c r="D2726" t="s">
        <v>8</v>
      </c>
      <c r="E2726" t="str">
        <f>IF(may[[#This Row],[ShiftCounter]]&gt;0, "Running", "Down")</f>
        <v>Running</v>
      </c>
    </row>
    <row r="2727" spans="1:5" x14ac:dyDescent="0.25">
      <c r="A2727" s="10">
        <v>44709</v>
      </c>
      <c r="B2727" s="11" t="s">
        <v>34</v>
      </c>
      <c r="C2727">
        <v>1921</v>
      </c>
      <c r="D2727" t="s">
        <v>6</v>
      </c>
      <c r="E2727" t="str">
        <f>IF(may[[#This Row],[ShiftCounter]]&gt;0, "Running", "Down")</f>
        <v>Running</v>
      </c>
    </row>
    <row r="2728" spans="1:5" x14ac:dyDescent="0.25">
      <c r="A2728" s="10">
        <v>44709</v>
      </c>
      <c r="B2728" s="11" t="s">
        <v>34</v>
      </c>
      <c r="C2728">
        <v>1921</v>
      </c>
      <c r="D2728" t="s">
        <v>7</v>
      </c>
      <c r="E2728" t="str">
        <f>IF(may[[#This Row],[ShiftCounter]]&gt;0, "Running", "Down")</f>
        <v>Running</v>
      </c>
    </row>
    <row r="2729" spans="1:5" x14ac:dyDescent="0.25">
      <c r="A2729" s="10">
        <v>44709</v>
      </c>
      <c r="B2729" s="11" t="s">
        <v>34</v>
      </c>
      <c r="C2729">
        <v>1824</v>
      </c>
      <c r="D2729" t="s">
        <v>8</v>
      </c>
      <c r="E2729" t="str">
        <f>IF(may[[#This Row],[ShiftCounter]]&gt;0, "Running", "Down")</f>
        <v>Running</v>
      </c>
    </row>
    <row r="2730" spans="1:5" x14ac:dyDescent="0.25">
      <c r="A2730" s="10">
        <v>44709</v>
      </c>
      <c r="B2730" s="11" t="s">
        <v>35</v>
      </c>
      <c r="C2730">
        <v>2204</v>
      </c>
      <c r="D2730" t="s">
        <v>6</v>
      </c>
      <c r="E2730" t="str">
        <f>IF(may[[#This Row],[ShiftCounter]]&gt;0, "Running", "Down")</f>
        <v>Running</v>
      </c>
    </row>
    <row r="2731" spans="1:5" x14ac:dyDescent="0.25">
      <c r="A2731" s="10">
        <v>44709</v>
      </c>
      <c r="B2731" s="11" t="s">
        <v>35</v>
      </c>
      <c r="C2731">
        <v>2208</v>
      </c>
      <c r="D2731" t="s">
        <v>7</v>
      </c>
      <c r="E2731" t="str">
        <f>IF(may[[#This Row],[ShiftCounter]]&gt;0, "Running", "Down")</f>
        <v>Running</v>
      </c>
    </row>
    <row r="2732" spans="1:5" x14ac:dyDescent="0.25">
      <c r="A2732" s="10">
        <v>44709</v>
      </c>
      <c r="B2732" s="11" t="s">
        <v>35</v>
      </c>
      <c r="C2732">
        <v>1959</v>
      </c>
      <c r="D2732" t="s">
        <v>8</v>
      </c>
      <c r="E2732" t="str">
        <f>IF(may[[#This Row],[ShiftCounter]]&gt;0, "Running", "Down")</f>
        <v>Running</v>
      </c>
    </row>
    <row r="2733" spans="1:5" x14ac:dyDescent="0.25">
      <c r="A2733" s="10">
        <v>44709</v>
      </c>
      <c r="B2733" s="11" t="s">
        <v>36</v>
      </c>
      <c r="C2733">
        <v>1701</v>
      </c>
      <c r="D2733" t="s">
        <v>6</v>
      </c>
      <c r="E2733" t="str">
        <f>IF(may[[#This Row],[ShiftCounter]]&gt;0, "Running", "Down")</f>
        <v>Running</v>
      </c>
    </row>
    <row r="2734" spans="1:5" x14ac:dyDescent="0.25">
      <c r="A2734" s="10">
        <v>44709</v>
      </c>
      <c r="B2734" s="11" t="s">
        <v>36</v>
      </c>
      <c r="C2734">
        <v>1885</v>
      </c>
      <c r="D2734" t="s">
        <v>7</v>
      </c>
      <c r="E2734" t="str">
        <f>IF(may[[#This Row],[ShiftCounter]]&gt;0, "Running", "Down")</f>
        <v>Running</v>
      </c>
    </row>
    <row r="2735" spans="1:5" x14ac:dyDescent="0.25">
      <c r="A2735" s="10">
        <v>44709</v>
      </c>
      <c r="B2735" s="11" t="s">
        <v>36</v>
      </c>
      <c r="C2735">
        <v>2018</v>
      </c>
      <c r="D2735" t="s">
        <v>8</v>
      </c>
      <c r="E2735" t="str">
        <f>IF(may[[#This Row],[ShiftCounter]]&gt;0, "Running", "Down")</f>
        <v>Running</v>
      </c>
    </row>
    <row r="2736" spans="1:5" x14ac:dyDescent="0.25">
      <c r="A2736" s="10">
        <v>44709</v>
      </c>
      <c r="B2736" s="11" t="s">
        <v>37</v>
      </c>
      <c r="C2736">
        <v>2337</v>
      </c>
      <c r="D2736" t="s">
        <v>6</v>
      </c>
      <c r="E2736" t="str">
        <f>IF(may[[#This Row],[ShiftCounter]]&gt;0, "Running", "Down")</f>
        <v>Running</v>
      </c>
    </row>
    <row r="2737" spans="1:5" x14ac:dyDescent="0.25">
      <c r="A2737" s="10">
        <v>44709</v>
      </c>
      <c r="B2737" s="11" t="s">
        <v>37</v>
      </c>
      <c r="C2737">
        <v>2368</v>
      </c>
      <c r="D2737" t="s">
        <v>7</v>
      </c>
      <c r="E2737" t="str">
        <f>IF(may[[#This Row],[ShiftCounter]]&gt;0, "Running", "Down")</f>
        <v>Running</v>
      </c>
    </row>
    <row r="2738" spans="1:5" x14ac:dyDescent="0.25">
      <c r="A2738" s="10">
        <v>44709</v>
      </c>
      <c r="B2738" s="11" t="s">
        <v>37</v>
      </c>
      <c r="C2738">
        <v>2149</v>
      </c>
      <c r="D2738" t="s">
        <v>8</v>
      </c>
      <c r="E2738" t="str">
        <f>IF(may[[#This Row],[ShiftCounter]]&gt;0, "Running", "Down")</f>
        <v>Running</v>
      </c>
    </row>
    <row r="2739" spans="1:5" x14ac:dyDescent="0.25">
      <c r="A2739" s="10">
        <v>44710</v>
      </c>
      <c r="B2739" s="11" t="s">
        <v>135</v>
      </c>
      <c r="C2739">
        <v>6143</v>
      </c>
      <c r="D2739" t="s">
        <v>6</v>
      </c>
      <c r="E2739" t="str">
        <f>IF(may[[#This Row],[ShiftCounter]]&gt;0, "Running", "Down")</f>
        <v>Running</v>
      </c>
    </row>
    <row r="2740" spans="1:5" x14ac:dyDescent="0.25">
      <c r="A2740" s="10">
        <v>44710</v>
      </c>
      <c r="B2740" s="11" t="s">
        <v>135</v>
      </c>
      <c r="C2740">
        <v>1993</v>
      </c>
      <c r="D2740" t="s">
        <v>7</v>
      </c>
      <c r="E2740" t="str">
        <f>IF(may[[#This Row],[ShiftCounter]]&gt;0, "Running", "Down")</f>
        <v>Running</v>
      </c>
    </row>
    <row r="2741" spans="1:5" x14ac:dyDescent="0.25">
      <c r="A2741" s="10">
        <v>44710</v>
      </c>
      <c r="B2741" s="11" t="s">
        <v>135</v>
      </c>
      <c r="C2741">
        <v>1798</v>
      </c>
      <c r="D2741" t="s">
        <v>8</v>
      </c>
      <c r="E2741" t="str">
        <f>IF(may[[#This Row],[ShiftCounter]]&gt;0, "Running", "Down")</f>
        <v>Running</v>
      </c>
    </row>
    <row r="2742" spans="1:5" x14ac:dyDescent="0.25">
      <c r="A2742" s="10">
        <v>44710</v>
      </c>
      <c r="B2742" s="11" t="s">
        <v>40</v>
      </c>
      <c r="C2742">
        <v>2272</v>
      </c>
      <c r="D2742" t="s">
        <v>6</v>
      </c>
      <c r="E2742" t="str">
        <f>IF(may[[#This Row],[ShiftCounter]]&gt;0, "Running", "Down")</f>
        <v>Running</v>
      </c>
    </row>
    <row r="2743" spans="1:5" x14ac:dyDescent="0.25">
      <c r="A2743" s="10">
        <v>44710</v>
      </c>
      <c r="B2743" s="11" t="s">
        <v>40</v>
      </c>
      <c r="C2743">
        <v>2315</v>
      </c>
      <c r="D2743" t="s">
        <v>7</v>
      </c>
      <c r="E2743" t="str">
        <f>IF(may[[#This Row],[ShiftCounter]]&gt;0, "Running", "Down")</f>
        <v>Running</v>
      </c>
    </row>
    <row r="2744" spans="1:5" x14ac:dyDescent="0.25">
      <c r="A2744" s="10">
        <v>44710</v>
      </c>
      <c r="B2744" s="11" t="s">
        <v>40</v>
      </c>
      <c r="C2744">
        <v>2145</v>
      </c>
      <c r="D2744" t="s">
        <v>8</v>
      </c>
      <c r="E2744" t="str">
        <f>IF(may[[#This Row],[ShiftCounter]]&gt;0, "Running", "Down")</f>
        <v>Running</v>
      </c>
    </row>
    <row r="2745" spans="1:5" x14ac:dyDescent="0.25">
      <c r="A2745" s="10">
        <v>44710</v>
      </c>
      <c r="B2745" s="11" t="s">
        <v>39</v>
      </c>
      <c r="C2745">
        <v>1919</v>
      </c>
      <c r="D2745" t="s">
        <v>6</v>
      </c>
      <c r="E2745" t="str">
        <f>IF(may[[#This Row],[ShiftCounter]]&gt;0, "Running", "Down")</f>
        <v>Running</v>
      </c>
    </row>
    <row r="2746" spans="1:5" x14ac:dyDescent="0.25">
      <c r="A2746" s="10">
        <v>44710</v>
      </c>
      <c r="B2746" s="11" t="s">
        <v>39</v>
      </c>
      <c r="C2746">
        <v>2082</v>
      </c>
      <c r="D2746" t="s">
        <v>7</v>
      </c>
      <c r="E2746" t="str">
        <f>IF(may[[#This Row],[ShiftCounter]]&gt;0, "Running", "Down")</f>
        <v>Running</v>
      </c>
    </row>
    <row r="2747" spans="1:5" x14ac:dyDescent="0.25">
      <c r="A2747" s="10">
        <v>44710</v>
      </c>
      <c r="B2747" s="11" t="s">
        <v>39</v>
      </c>
      <c r="C2747">
        <v>1874</v>
      </c>
      <c r="D2747" t="s">
        <v>8</v>
      </c>
      <c r="E2747" t="str">
        <f>IF(may[[#This Row],[ShiftCounter]]&gt;0, "Running", "Down")</f>
        <v>Running</v>
      </c>
    </row>
    <row r="2748" spans="1:5" x14ac:dyDescent="0.25">
      <c r="A2748" s="10">
        <v>44710</v>
      </c>
      <c r="B2748" s="11" t="s">
        <v>41</v>
      </c>
      <c r="C2748">
        <v>2225</v>
      </c>
      <c r="D2748" t="s">
        <v>6</v>
      </c>
      <c r="E2748" t="str">
        <f>IF(may[[#This Row],[ShiftCounter]]&gt;0, "Running", "Down")</f>
        <v>Running</v>
      </c>
    </row>
    <row r="2749" spans="1:5" x14ac:dyDescent="0.25">
      <c r="A2749" s="10">
        <v>44710</v>
      </c>
      <c r="B2749" s="11" t="s">
        <v>41</v>
      </c>
      <c r="C2749">
        <v>2373</v>
      </c>
      <c r="D2749" t="s">
        <v>7</v>
      </c>
      <c r="E2749" t="str">
        <f>IF(may[[#This Row],[ShiftCounter]]&gt;0, "Running", "Down")</f>
        <v>Running</v>
      </c>
    </row>
    <row r="2750" spans="1:5" x14ac:dyDescent="0.25">
      <c r="A2750" s="10">
        <v>44710</v>
      </c>
      <c r="B2750" s="11" t="s">
        <v>41</v>
      </c>
      <c r="C2750">
        <v>2160</v>
      </c>
      <c r="D2750" t="s">
        <v>8</v>
      </c>
      <c r="E2750" t="str">
        <f>IF(may[[#This Row],[ShiftCounter]]&gt;0, "Running", "Down")</f>
        <v>Running</v>
      </c>
    </row>
    <row r="2751" spans="1:5" x14ac:dyDescent="0.25">
      <c r="A2751" s="10">
        <v>44710</v>
      </c>
      <c r="B2751" s="11" t="s">
        <v>5</v>
      </c>
      <c r="C2751">
        <v>2209</v>
      </c>
      <c r="D2751" t="s">
        <v>6</v>
      </c>
      <c r="E2751" t="str">
        <f>IF(may[[#This Row],[ShiftCounter]]&gt;0, "Running", "Down")</f>
        <v>Running</v>
      </c>
    </row>
    <row r="2752" spans="1:5" x14ac:dyDescent="0.25">
      <c r="A2752" s="10">
        <v>44710</v>
      </c>
      <c r="B2752" s="11" t="s">
        <v>5</v>
      </c>
      <c r="C2752">
        <v>2350</v>
      </c>
      <c r="D2752" t="s">
        <v>7</v>
      </c>
      <c r="E2752" t="str">
        <f>IF(may[[#This Row],[ShiftCounter]]&gt;0, "Running", "Down")</f>
        <v>Running</v>
      </c>
    </row>
    <row r="2753" spans="1:5" x14ac:dyDescent="0.25">
      <c r="A2753" s="10">
        <v>44710</v>
      </c>
      <c r="B2753" s="11" t="s">
        <v>5</v>
      </c>
      <c r="C2753">
        <v>2127</v>
      </c>
      <c r="D2753" t="s">
        <v>8</v>
      </c>
      <c r="E2753" t="str">
        <f>IF(may[[#This Row],[ShiftCounter]]&gt;0, "Running", "Down")</f>
        <v>Running</v>
      </c>
    </row>
    <row r="2754" spans="1:5" x14ac:dyDescent="0.25">
      <c r="A2754" s="10">
        <v>44710</v>
      </c>
      <c r="B2754" s="11" t="s">
        <v>9</v>
      </c>
      <c r="C2754">
        <v>2323</v>
      </c>
      <c r="D2754" t="s">
        <v>6</v>
      </c>
      <c r="E2754" t="str">
        <f>IF(may[[#This Row],[ShiftCounter]]&gt;0, "Running", "Down")</f>
        <v>Running</v>
      </c>
    </row>
    <row r="2755" spans="1:5" x14ac:dyDescent="0.25">
      <c r="A2755" s="10">
        <v>44710</v>
      </c>
      <c r="B2755" s="11" t="s">
        <v>9</v>
      </c>
      <c r="C2755">
        <v>2386</v>
      </c>
      <c r="D2755" t="s">
        <v>7</v>
      </c>
      <c r="E2755" t="str">
        <f>IF(may[[#This Row],[ShiftCounter]]&gt;0, "Running", "Down")</f>
        <v>Running</v>
      </c>
    </row>
    <row r="2756" spans="1:5" x14ac:dyDescent="0.25">
      <c r="A2756" s="10">
        <v>44710</v>
      </c>
      <c r="B2756" s="11" t="s">
        <v>9</v>
      </c>
      <c r="C2756">
        <v>2256</v>
      </c>
      <c r="D2756" t="s">
        <v>8</v>
      </c>
      <c r="E2756" t="str">
        <f>IF(may[[#This Row],[ShiftCounter]]&gt;0, "Running", "Down")</f>
        <v>Running</v>
      </c>
    </row>
    <row r="2757" spans="1:5" x14ac:dyDescent="0.25">
      <c r="A2757" s="10">
        <v>44710</v>
      </c>
      <c r="B2757" s="11" t="s">
        <v>10</v>
      </c>
      <c r="C2757">
        <v>2226</v>
      </c>
      <c r="D2757" t="s">
        <v>6</v>
      </c>
      <c r="E2757" t="str">
        <f>IF(may[[#This Row],[ShiftCounter]]&gt;0, "Running", "Down")</f>
        <v>Running</v>
      </c>
    </row>
    <row r="2758" spans="1:5" x14ac:dyDescent="0.25">
      <c r="A2758" s="10">
        <v>44710</v>
      </c>
      <c r="B2758" s="11" t="s">
        <v>10</v>
      </c>
      <c r="C2758">
        <v>2382</v>
      </c>
      <c r="D2758" t="s">
        <v>7</v>
      </c>
      <c r="E2758" t="str">
        <f>IF(may[[#This Row],[ShiftCounter]]&gt;0, "Running", "Down")</f>
        <v>Running</v>
      </c>
    </row>
    <row r="2759" spans="1:5" x14ac:dyDescent="0.25">
      <c r="A2759" s="10">
        <v>44710</v>
      </c>
      <c r="B2759" s="11" t="s">
        <v>10</v>
      </c>
      <c r="C2759">
        <v>2190</v>
      </c>
      <c r="D2759" t="s">
        <v>8</v>
      </c>
      <c r="E2759" t="str">
        <f>IF(may[[#This Row],[ShiftCounter]]&gt;0, "Running", "Down")</f>
        <v>Running</v>
      </c>
    </row>
    <row r="2760" spans="1:5" x14ac:dyDescent="0.25">
      <c r="A2760" s="10">
        <v>44710</v>
      </c>
      <c r="B2760" s="11" t="s">
        <v>105</v>
      </c>
      <c r="C2760">
        <v>2125</v>
      </c>
      <c r="D2760" t="s">
        <v>6</v>
      </c>
      <c r="E2760" t="str">
        <f>IF(may[[#This Row],[ShiftCounter]]&gt;0, "Running", "Down")</f>
        <v>Running</v>
      </c>
    </row>
    <row r="2761" spans="1:5" x14ac:dyDescent="0.25">
      <c r="A2761" s="10">
        <v>44710</v>
      </c>
      <c r="B2761" s="11" t="s">
        <v>105</v>
      </c>
      <c r="C2761">
        <v>2136</v>
      </c>
      <c r="D2761" t="s">
        <v>7</v>
      </c>
      <c r="E2761" t="str">
        <f>IF(may[[#This Row],[ShiftCounter]]&gt;0, "Running", "Down")</f>
        <v>Running</v>
      </c>
    </row>
    <row r="2762" spans="1:5" x14ac:dyDescent="0.25">
      <c r="A2762" s="10">
        <v>44710</v>
      </c>
      <c r="B2762" s="11" t="s">
        <v>105</v>
      </c>
      <c r="C2762">
        <v>2065</v>
      </c>
      <c r="D2762" t="s">
        <v>8</v>
      </c>
      <c r="E2762" t="str">
        <f>IF(may[[#This Row],[ShiftCounter]]&gt;0, "Running", "Down")</f>
        <v>Running</v>
      </c>
    </row>
    <row r="2763" spans="1:5" x14ac:dyDescent="0.25">
      <c r="A2763" s="10">
        <v>44710</v>
      </c>
      <c r="B2763" s="11" t="s">
        <v>12</v>
      </c>
      <c r="C2763">
        <v>2355</v>
      </c>
      <c r="D2763" t="s">
        <v>6</v>
      </c>
      <c r="E2763" t="str">
        <f>IF(may[[#This Row],[ShiftCounter]]&gt;0, "Running", "Down")</f>
        <v>Running</v>
      </c>
    </row>
    <row r="2764" spans="1:5" x14ac:dyDescent="0.25">
      <c r="A2764" s="10">
        <v>44710</v>
      </c>
      <c r="B2764" s="11" t="s">
        <v>12</v>
      </c>
      <c r="C2764">
        <v>2367</v>
      </c>
      <c r="D2764" t="s">
        <v>7</v>
      </c>
      <c r="E2764" t="str">
        <f>IF(may[[#This Row],[ShiftCounter]]&gt;0, "Running", "Down")</f>
        <v>Running</v>
      </c>
    </row>
    <row r="2765" spans="1:5" x14ac:dyDescent="0.25">
      <c r="A2765" s="10">
        <v>44710</v>
      </c>
      <c r="B2765" s="11" t="s">
        <v>12</v>
      </c>
      <c r="C2765">
        <v>2132</v>
      </c>
      <c r="D2765" t="s">
        <v>8</v>
      </c>
      <c r="E2765" t="str">
        <f>IF(may[[#This Row],[ShiftCounter]]&gt;0, "Running", "Down")</f>
        <v>Running</v>
      </c>
    </row>
    <row r="2766" spans="1:5" x14ac:dyDescent="0.25">
      <c r="A2766" s="10">
        <v>44710</v>
      </c>
      <c r="B2766" s="11" t="s">
        <v>13</v>
      </c>
      <c r="C2766">
        <v>2100</v>
      </c>
      <c r="D2766" t="s">
        <v>6</v>
      </c>
      <c r="E2766" t="str">
        <f>IF(may[[#This Row],[ShiftCounter]]&gt;0, "Running", "Down")</f>
        <v>Running</v>
      </c>
    </row>
    <row r="2767" spans="1:5" x14ac:dyDescent="0.25">
      <c r="A2767" s="10">
        <v>44710</v>
      </c>
      <c r="B2767" s="11" t="s">
        <v>13</v>
      </c>
      <c r="C2767">
        <v>2000</v>
      </c>
      <c r="D2767" t="s">
        <v>7</v>
      </c>
      <c r="E2767" t="str">
        <f>IF(may[[#This Row],[ShiftCounter]]&gt;0, "Running", "Down")</f>
        <v>Running</v>
      </c>
    </row>
    <row r="2768" spans="1:5" x14ac:dyDescent="0.25">
      <c r="A2768" s="10">
        <v>44710</v>
      </c>
      <c r="B2768" s="11" t="s">
        <v>13</v>
      </c>
      <c r="C2768">
        <v>1880</v>
      </c>
      <c r="D2768" t="s">
        <v>8</v>
      </c>
      <c r="E2768" t="str">
        <f>IF(may[[#This Row],[ShiftCounter]]&gt;0, "Running", "Down")</f>
        <v>Running</v>
      </c>
    </row>
    <row r="2769" spans="1:5" x14ac:dyDescent="0.25">
      <c r="A2769" s="10">
        <v>44710</v>
      </c>
      <c r="B2769" s="11" t="s">
        <v>101</v>
      </c>
      <c r="C2769">
        <v>2042</v>
      </c>
      <c r="D2769" t="s">
        <v>6</v>
      </c>
      <c r="E2769" t="str">
        <f>IF(may[[#This Row],[ShiftCounter]]&gt;0, "Running", "Down")</f>
        <v>Running</v>
      </c>
    </row>
    <row r="2770" spans="1:5" x14ac:dyDescent="0.25">
      <c r="A2770" s="10">
        <v>44710</v>
      </c>
      <c r="B2770" s="11" t="s">
        <v>101</v>
      </c>
      <c r="C2770">
        <v>1928</v>
      </c>
      <c r="D2770" t="s">
        <v>7</v>
      </c>
      <c r="E2770" t="str">
        <f>IF(may[[#This Row],[ShiftCounter]]&gt;0, "Running", "Down")</f>
        <v>Running</v>
      </c>
    </row>
    <row r="2771" spans="1:5" x14ac:dyDescent="0.25">
      <c r="A2771" s="10">
        <v>44710</v>
      </c>
      <c r="B2771" s="11" t="s">
        <v>101</v>
      </c>
      <c r="C2771">
        <v>1861</v>
      </c>
      <c r="D2771" t="s">
        <v>8</v>
      </c>
      <c r="E2771" t="str">
        <f>IF(may[[#This Row],[ShiftCounter]]&gt;0, "Running", "Down")</f>
        <v>Running</v>
      </c>
    </row>
    <row r="2772" spans="1:5" x14ac:dyDescent="0.25">
      <c r="A2772" s="10">
        <v>44710</v>
      </c>
      <c r="B2772" s="11" t="s">
        <v>14</v>
      </c>
      <c r="C2772">
        <v>1882</v>
      </c>
      <c r="D2772" t="s">
        <v>6</v>
      </c>
      <c r="E2772" t="str">
        <f>IF(may[[#This Row],[ShiftCounter]]&gt;0, "Running", "Down")</f>
        <v>Running</v>
      </c>
    </row>
    <row r="2773" spans="1:5" x14ac:dyDescent="0.25">
      <c r="A2773" s="10">
        <v>44710</v>
      </c>
      <c r="B2773" s="11" t="s">
        <v>14</v>
      </c>
      <c r="C2773">
        <v>1705</v>
      </c>
      <c r="D2773" t="s">
        <v>7</v>
      </c>
      <c r="E2773" t="str">
        <f>IF(may[[#This Row],[ShiftCounter]]&gt;0, "Running", "Down")</f>
        <v>Running</v>
      </c>
    </row>
    <row r="2774" spans="1:5" x14ac:dyDescent="0.25">
      <c r="A2774" s="10">
        <v>44710</v>
      </c>
      <c r="B2774" s="11" t="s">
        <v>14</v>
      </c>
      <c r="C2774">
        <v>1640</v>
      </c>
      <c r="D2774" t="s">
        <v>8</v>
      </c>
      <c r="E2774" t="str">
        <f>IF(may[[#This Row],[ShiftCounter]]&gt;0, "Running", "Down")</f>
        <v>Running</v>
      </c>
    </row>
    <row r="2775" spans="1:5" x14ac:dyDescent="0.25">
      <c r="A2775" s="10">
        <v>44710</v>
      </c>
      <c r="B2775" s="11" t="s">
        <v>15</v>
      </c>
      <c r="C2775">
        <v>2084</v>
      </c>
      <c r="D2775" t="s">
        <v>6</v>
      </c>
      <c r="E2775" t="str">
        <f>IF(may[[#This Row],[ShiftCounter]]&gt;0, "Running", "Down")</f>
        <v>Running</v>
      </c>
    </row>
    <row r="2776" spans="1:5" x14ac:dyDescent="0.25">
      <c r="A2776" s="10">
        <v>44710</v>
      </c>
      <c r="B2776" s="11" t="s">
        <v>15</v>
      </c>
      <c r="C2776">
        <v>1976</v>
      </c>
      <c r="D2776" t="s">
        <v>7</v>
      </c>
      <c r="E2776" t="str">
        <f>IF(may[[#This Row],[ShiftCounter]]&gt;0, "Running", "Down")</f>
        <v>Running</v>
      </c>
    </row>
    <row r="2777" spans="1:5" x14ac:dyDescent="0.25">
      <c r="A2777" s="10">
        <v>44710</v>
      </c>
      <c r="B2777" s="11" t="s">
        <v>15</v>
      </c>
      <c r="C2777">
        <v>1899</v>
      </c>
      <c r="D2777" t="s">
        <v>8</v>
      </c>
      <c r="E2777" t="str">
        <f>IF(may[[#This Row],[ShiftCounter]]&gt;0, "Running", "Down")</f>
        <v>Running</v>
      </c>
    </row>
    <row r="2778" spans="1:5" x14ac:dyDescent="0.25">
      <c r="A2778" s="10">
        <v>44710</v>
      </c>
      <c r="B2778" s="11" t="s">
        <v>16</v>
      </c>
      <c r="C2778">
        <v>2278</v>
      </c>
      <c r="D2778" t="s">
        <v>6</v>
      </c>
      <c r="E2778" t="str">
        <f>IF(may[[#This Row],[ShiftCounter]]&gt;0, "Running", "Down")</f>
        <v>Running</v>
      </c>
    </row>
    <row r="2779" spans="1:5" x14ac:dyDescent="0.25">
      <c r="A2779" s="10">
        <v>44710</v>
      </c>
      <c r="B2779" s="11" t="s">
        <v>16</v>
      </c>
      <c r="C2779">
        <v>2064</v>
      </c>
      <c r="D2779" t="s">
        <v>7</v>
      </c>
      <c r="E2779" t="str">
        <f>IF(may[[#This Row],[ShiftCounter]]&gt;0, "Running", "Down")</f>
        <v>Running</v>
      </c>
    </row>
    <row r="2780" spans="1:5" x14ac:dyDescent="0.25">
      <c r="A2780" s="10">
        <v>44710</v>
      </c>
      <c r="B2780" s="11" t="s">
        <v>16</v>
      </c>
      <c r="C2780">
        <v>1908</v>
      </c>
      <c r="D2780" t="s">
        <v>8</v>
      </c>
      <c r="E2780" t="str">
        <f>IF(may[[#This Row],[ShiftCounter]]&gt;0, "Running", "Down")</f>
        <v>Running</v>
      </c>
    </row>
    <row r="2781" spans="1:5" x14ac:dyDescent="0.25">
      <c r="A2781" s="10">
        <v>44710</v>
      </c>
      <c r="B2781" s="11" t="s">
        <v>17</v>
      </c>
      <c r="C2781">
        <v>2419</v>
      </c>
      <c r="D2781" t="s">
        <v>6</v>
      </c>
      <c r="E2781" t="str">
        <f>IF(may[[#This Row],[ShiftCounter]]&gt;0, "Running", "Down")</f>
        <v>Running</v>
      </c>
    </row>
    <row r="2782" spans="1:5" x14ac:dyDescent="0.25">
      <c r="A2782" s="10">
        <v>44710</v>
      </c>
      <c r="B2782" s="11" t="s">
        <v>17</v>
      </c>
      <c r="C2782">
        <v>2234</v>
      </c>
      <c r="D2782" t="s">
        <v>7</v>
      </c>
      <c r="E2782" t="str">
        <f>IF(may[[#This Row],[ShiftCounter]]&gt;0, "Running", "Down")</f>
        <v>Running</v>
      </c>
    </row>
    <row r="2783" spans="1:5" x14ac:dyDescent="0.25">
      <c r="A2783" s="10">
        <v>44710</v>
      </c>
      <c r="B2783" s="11" t="s">
        <v>17</v>
      </c>
      <c r="C2783">
        <v>2102</v>
      </c>
      <c r="D2783" t="s">
        <v>8</v>
      </c>
      <c r="E2783" t="str">
        <f>IF(may[[#This Row],[ShiftCounter]]&gt;0, "Running", "Down")</f>
        <v>Running</v>
      </c>
    </row>
    <row r="2784" spans="1:5" x14ac:dyDescent="0.25">
      <c r="A2784" s="10">
        <v>44710</v>
      </c>
      <c r="B2784" s="11" t="s">
        <v>19</v>
      </c>
      <c r="C2784">
        <v>2122</v>
      </c>
      <c r="D2784" t="s">
        <v>6</v>
      </c>
      <c r="E2784" t="str">
        <f>IF(may[[#This Row],[ShiftCounter]]&gt;0, "Running", "Down")</f>
        <v>Running</v>
      </c>
    </row>
    <row r="2785" spans="1:5" x14ac:dyDescent="0.25">
      <c r="A2785" s="10">
        <v>44710</v>
      </c>
      <c r="B2785" s="11" t="s">
        <v>19</v>
      </c>
      <c r="C2785">
        <v>1984</v>
      </c>
      <c r="D2785" t="s">
        <v>7</v>
      </c>
      <c r="E2785" t="str">
        <f>IF(may[[#This Row],[ShiftCounter]]&gt;0, "Running", "Down")</f>
        <v>Running</v>
      </c>
    </row>
    <row r="2786" spans="1:5" x14ac:dyDescent="0.25">
      <c r="A2786" s="10">
        <v>44710</v>
      </c>
      <c r="B2786" s="11" t="s">
        <v>19</v>
      </c>
      <c r="C2786">
        <v>1867</v>
      </c>
      <c r="D2786" t="s">
        <v>8</v>
      </c>
      <c r="E2786" t="str">
        <f>IF(may[[#This Row],[ShiftCounter]]&gt;0, "Running", "Down")</f>
        <v>Running</v>
      </c>
    </row>
    <row r="2787" spans="1:5" x14ac:dyDescent="0.25">
      <c r="A2787" s="10">
        <v>44710</v>
      </c>
      <c r="B2787" s="11" t="s">
        <v>18</v>
      </c>
      <c r="C2787">
        <v>2306</v>
      </c>
      <c r="D2787" t="s">
        <v>6</v>
      </c>
      <c r="E2787" t="str">
        <f>IF(may[[#This Row],[ShiftCounter]]&gt;0, "Running", "Down")</f>
        <v>Running</v>
      </c>
    </row>
    <row r="2788" spans="1:5" x14ac:dyDescent="0.25">
      <c r="A2788" s="10">
        <v>44710</v>
      </c>
      <c r="B2788" s="11" t="s">
        <v>18</v>
      </c>
      <c r="C2788">
        <v>2335</v>
      </c>
      <c r="D2788" t="s">
        <v>7</v>
      </c>
      <c r="E2788" t="str">
        <f>IF(may[[#This Row],[ShiftCounter]]&gt;0, "Running", "Down")</f>
        <v>Running</v>
      </c>
    </row>
    <row r="2789" spans="1:5" x14ac:dyDescent="0.25">
      <c r="A2789" s="10">
        <v>44710</v>
      </c>
      <c r="B2789" s="11" t="s">
        <v>18</v>
      </c>
      <c r="C2789">
        <v>2080</v>
      </c>
      <c r="D2789" t="s">
        <v>8</v>
      </c>
      <c r="E2789" t="str">
        <f>IF(may[[#This Row],[ShiftCounter]]&gt;0, "Running", "Down")</f>
        <v>Running</v>
      </c>
    </row>
    <row r="2790" spans="1:5" x14ac:dyDescent="0.25">
      <c r="A2790" s="10">
        <v>44710</v>
      </c>
      <c r="B2790" s="11" t="s">
        <v>38</v>
      </c>
      <c r="C2790">
        <v>2118</v>
      </c>
      <c r="D2790" t="s">
        <v>6</v>
      </c>
      <c r="E2790" t="str">
        <f>IF(may[[#This Row],[ShiftCounter]]&gt;0, "Running", "Down")</f>
        <v>Running</v>
      </c>
    </row>
    <row r="2791" spans="1:5" x14ac:dyDescent="0.25">
      <c r="A2791" s="10">
        <v>44710</v>
      </c>
      <c r="B2791" s="11" t="s">
        <v>38</v>
      </c>
      <c r="C2791">
        <v>2248</v>
      </c>
      <c r="D2791" t="s">
        <v>7</v>
      </c>
      <c r="E2791" t="str">
        <f>IF(may[[#This Row],[ShiftCounter]]&gt;0, "Running", "Down")</f>
        <v>Running</v>
      </c>
    </row>
    <row r="2792" spans="1:5" x14ac:dyDescent="0.25">
      <c r="A2792" s="10">
        <v>44710</v>
      </c>
      <c r="B2792" s="11" t="s">
        <v>38</v>
      </c>
      <c r="C2792">
        <v>2078</v>
      </c>
      <c r="D2792" t="s">
        <v>8</v>
      </c>
      <c r="E2792" t="str">
        <f>IF(may[[#This Row],[ShiftCounter]]&gt;0, "Running", "Down")</f>
        <v>Running</v>
      </c>
    </row>
    <row r="2793" spans="1:5" x14ac:dyDescent="0.25">
      <c r="A2793" s="10">
        <v>44710</v>
      </c>
      <c r="B2793" s="11" t="s">
        <v>20</v>
      </c>
      <c r="C2793">
        <v>2312</v>
      </c>
      <c r="D2793" t="s">
        <v>6</v>
      </c>
      <c r="E2793" t="str">
        <f>IF(may[[#This Row],[ShiftCounter]]&gt;0, "Running", "Down")</f>
        <v>Running</v>
      </c>
    </row>
    <row r="2794" spans="1:5" x14ac:dyDescent="0.25">
      <c r="A2794" s="10">
        <v>44710</v>
      </c>
      <c r="B2794" s="11" t="s">
        <v>20</v>
      </c>
      <c r="C2794">
        <v>2247</v>
      </c>
      <c r="D2794" t="s">
        <v>7</v>
      </c>
      <c r="E2794" t="str">
        <f>IF(may[[#This Row],[ShiftCounter]]&gt;0, "Running", "Down")</f>
        <v>Running</v>
      </c>
    </row>
    <row r="2795" spans="1:5" x14ac:dyDescent="0.25">
      <c r="A2795" s="10">
        <v>44710</v>
      </c>
      <c r="B2795" s="11" t="s">
        <v>20</v>
      </c>
      <c r="C2795">
        <v>2204</v>
      </c>
      <c r="D2795" t="s">
        <v>8</v>
      </c>
      <c r="E2795" t="str">
        <f>IF(may[[#This Row],[ShiftCounter]]&gt;0, "Running", "Down")</f>
        <v>Running</v>
      </c>
    </row>
    <row r="2796" spans="1:5" x14ac:dyDescent="0.25">
      <c r="A2796" s="10">
        <v>44710</v>
      </c>
      <c r="B2796" s="11" t="s">
        <v>21</v>
      </c>
      <c r="C2796">
        <v>2075</v>
      </c>
      <c r="D2796" t="s">
        <v>6</v>
      </c>
      <c r="E2796" t="str">
        <f>IF(may[[#This Row],[ShiftCounter]]&gt;0, "Running", "Down")</f>
        <v>Running</v>
      </c>
    </row>
    <row r="2797" spans="1:5" x14ac:dyDescent="0.25">
      <c r="A2797" s="10">
        <v>44710</v>
      </c>
      <c r="B2797" s="11" t="s">
        <v>21</v>
      </c>
      <c r="C2797">
        <v>2014</v>
      </c>
      <c r="D2797" t="s">
        <v>7</v>
      </c>
      <c r="E2797" t="str">
        <f>IF(may[[#This Row],[ShiftCounter]]&gt;0, "Running", "Down")</f>
        <v>Running</v>
      </c>
    </row>
    <row r="2798" spans="1:5" x14ac:dyDescent="0.25">
      <c r="A2798" s="10">
        <v>44710</v>
      </c>
      <c r="B2798" s="11" t="s">
        <v>21</v>
      </c>
      <c r="C2798">
        <v>1954</v>
      </c>
      <c r="D2798" t="s">
        <v>8</v>
      </c>
      <c r="E2798" t="str">
        <f>IF(may[[#This Row],[ShiftCounter]]&gt;0, "Running", "Down")</f>
        <v>Running</v>
      </c>
    </row>
    <row r="2799" spans="1:5" x14ac:dyDescent="0.25">
      <c r="A2799" s="10">
        <v>44710</v>
      </c>
      <c r="B2799" s="11" t="s">
        <v>22</v>
      </c>
      <c r="C2799">
        <v>2042</v>
      </c>
      <c r="D2799" t="s">
        <v>6</v>
      </c>
      <c r="E2799" t="str">
        <f>IF(may[[#This Row],[ShiftCounter]]&gt;0, "Running", "Down")</f>
        <v>Running</v>
      </c>
    </row>
    <row r="2800" spans="1:5" x14ac:dyDescent="0.25">
      <c r="A2800" s="10">
        <v>44710</v>
      </c>
      <c r="B2800" s="11" t="s">
        <v>22</v>
      </c>
      <c r="C2800">
        <v>2124</v>
      </c>
      <c r="D2800" t="s">
        <v>7</v>
      </c>
      <c r="E2800" t="str">
        <f>IF(may[[#This Row],[ShiftCounter]]&gt;0, "Running", "Down")</f>
        <v>Running</v>
      </c>
    </row>
    <row r="2801" spans="1:5" x14ac:dyDescent="0.25">
      <c r="A2801" s="10">
        <v>44710</v>
      </c>
      <c r="B2801" s="11" t="s">
        <v>22</v>
      </c>
      <c r="C2801">
        <v>2039</v>
      </c>
      <c r="D2801" t="s">
        <v>8</v>
      </c>
      <c r="E2801" t="str">
        <f>IF(may[[#This Row],[ShiftCounter]]&gt;0, "Running", "Down")</f>
        <v>Running</v>
      </c>
    </row>
    <row r="2802" spans="1:5" x14ac:dyDescent="0.25">
      <c r="A2802" s="10">
        <v>44710</v>
      </c>
      <c r="B2802" s="11" t="s">
        <v>23</v>
      </c>
      <c r="C2802">
        <v>2385</v>
      </c>
      <c r="D2802" t="s">
        <v>6</v>
      </c>
      <c r="E2802" t="str">
        <f>IF(may[[#This Row],[ShiftCounter]]&gt;0, "Running", "Down")</f>
        <v>Running</v>
      </c>
    </row>
    <row r="2803" spans="1:5" x14ac:dyDescent="0.25">
      <c r="A2803" s="10">
        <v>44710</v>
      </c>
      <c r="B2803" s="11" t="s">
        <v>23</v>
      </c>
      <c r="C2803">
        <v>2283</v>
      </c>
      <c r="D2803" t="s">
        <v>7</v>
      </c>
      <c r="E2803" t="str">
        <f>IF(may[[#This Row],[ShiftCounter]]&gt;0, "Running", "Down")</f>
        <v>Running</v>
      </c>
    </row>
    <row r="2804" spans="1:5" x14ac:dyDescent="0.25">
      <c r="A2804" s="10">
        <v>44710</v>
      </c>
      <c r="B2804" s="11" t="s">
        <v>23</v>
      </c>
      <c r="C2804">
        <v>2243</v>
      </c>
      <c r="D2804" t="s">
        <v>8</v>
      </c>
      <c r="E2804" t="str">
        <f>IF(may[[#This Row],[ShiftCounter]]&gt;0, "Running", "Down")</f>
        <v>Running</v>
      </c>
    </row>
    <row r="2805" spans="1:5" x14ac:dyDescent="0.25">
      <c r="A2805" s="10">
        <v>44710</v>
      </c>
      <c r="B2805" s="11" t="s">
        <v>24</v>
      </c>
      <c r="C2805">
        <v>2022</v>
      </c>
      <c r="D2805" t="s">
        <v>6</v>
      </c>
      <c r="E2805" t="str">
        <f>IF(may[[#This Row],[ShiftCounter]]&gt;0, "Running", "Down")</f>
        <v>Running</v>
      </c>
    </row>
    <row r="2806" spans="1:5" x14ac:dyDescent="0.25">
      <c r="A2806" s="10">
        <v>44710</v>
      </c>
      <c r="B2806" s="11" t="s">
        <v>24</v>
      </c>
      <c r="C2806">
        <v>2180</v>
      </c>
      <c r="D2806" t="s">
        <v>7</v>
      </c>
      <c r="E2806" t="str">
        <f>IF(may[[#This Row],[ShiftCounter]]&gt;0, "Running", "Down")</f>
        <v>Running</v>
      </c>
    </row>
    <row r="2807" spans="1:5" x14ac:dyDescent="0.25">
      <c r="A2807" s="10">
        <v>44710</v>
      </c>
      <c r="B2807" s="11" t="s">
        <v>24</v>
      </c>
      <c r="C2807">
        <v>1934</v>
      </c>
      <c r="D2807" t="s">
        <v>8</v>
      </c>
      <c r="E2807" t="str">
        <f>IF(may[[#This Row],[ShiftCounter]]&gt;0, "Running", "Down")</f>
        <v>Running</v>
      </c>
    </row>
    <row r="2808" spans="1:5" x14ac:dyDescent="0.25">
      <c r="A2808" s="10">
        <v>44710</v>
      </c>
      <c r="B2808" s="11" t="s">
        <v>25</v>
      </c>
      <c r="C2808">
        <v>2131</v>
      </c>
      <c r="D2808" t="s">
        <v>6</v>
      </c>
      <c r="E2808" t="str">
        <f>IF(may[[#This Row],[ShiftCounter]]&gt;0, "Running", "Down")</f>
        <v>Running</v>
      </c>
    </row>
    <row r="2809" spans="1:5" x14ac:dyDescent="0.25">
      <c r="A2809" s="10">
        <v>44710</v>
      </c>
      <c r="B2809" s="11" t="s">
        <v>25</v>
      </c>
      <c r="C2809">
        <v>2305</v>
      </c>
      <c r="D2809" t="s">
        <v>7</v>
      </c>
      <c r="E2809" t="str">
        <f>IF(may[[#This Row],[ShiftCounter]]&gt;0, "Running", "Down")</f>
        <v>Running</v>
      </c>
    </row>
    <row r="2810" spans="1:5" x14ac:dyDescent="0.25">
      <c r="A2810" s="10">
        <v>44710</v>
      </c>
      <c r="B2810" s="11" t="s">
        <v>25</v>
      </c>
      <c r="C2810">
        <v>2131</v>
      </c>
      <c r="D2810" t="s">
        <v>8</v>
      </c>
      <c r="E2810" t="str">
        <f>IF(may[[#This Row],[ShiftCounter]]&gt;0, "Running", "Down")</f>
        <v>Running</v>
      </c>
    </row>
    <row r="2811" spans="1:5" x14ac:dyDescent="0.25">
      <c r="A2811" s="10">
        <v>44710</v>
      </c>
      <c r="B2811" s="11" t="s">
        <v>26</v>
      </c>
      <c r="C2811">
        <v>1984</v>
      </c>
      <c r="D2811" t="s">
        <v>6</v>
      </c>
      <c r="E2811" t="str">
        <f>IF(may[[#This Row],[ShiftCounter]]&gt;0, "Running", "Down")</f>
        <v>Running</v>
      </c>
    </row>
    <row r="2812" spans="1:5" x14ac:dyDescent="0.25">
      <c r="A2812" s="10">
        <v>44710</v>
      </c>
      <c r="B2812" s="11" t="s">
        <v>26</v>
      </c>
      <c r="C2812">
        <v>2131</v>
      </c>
      <c r="D2812" t="s">
        <v>7</v>
      </c>
      <c r="E2812" t="str">
        <f>IF(may[[#This Row],[ShiftCounter]]&gt;0, "Running", "Down")</f>
        <v>Running</v>
      </c>
    </row>
    <row r="2813" spans="1:5" x14ac:dyDescent="0.25">
      <c r="A2813" s="10">
        <v>44710</v>
      </c>
      <c r="B2813" s="11" t="s">
        <v>26</v>
      </c>
      <c r="C2813">
        <v>1921</v>
      </c>
      <c r="D2813" t="s">
        <v>8</v>
      </c>
      <c r="E2813" t="str">
        <f>IF(may[[#This Row],[ShiftCounter]]&gt;0, "Running", "Down")</f>
        <v>Running</v>
      </c>
    </row>
    <row r="2814" spans="1:5" x14ac:dyDescent="0.25">
      <c r="A2814" s="10">
        <v>44710</v>
      </c>
      <c r="B2814" s="11" t="s">
        <v>27</v>
      </c>
      <c r="C2814">
        <v>-1</v>
      </c>
      <c r="D2814" t="s">
        <v>6</v>
      </c>
      <c r="E2814" t="str">
        <f>IF(may[[#This Row],[ShiftCounter]]&gt;0, "Running", "Down")</f>
        <v>Down</v>
      </c>
    </row>
    <row r="2815" spans="1:5" x14ac:dyDescent="0.25">
      <c r="A2815" s="10">
        <v>44710</v>
      </c>
      <c r="B2815" s="11" t="s">
        <v>27</v>
      </c>
      <c r="C2815">
        <v>2087</v>
      </c>
      <c r="D2815" t="s">
        <v>7</v>
      </c>
      <c r="E2815" t="str">
        <f>IF(may[[#This Row],[ShiftCounter]]&gt;0, "Running", "Down")</f>
        <v>Running</v>
      </c>
    </row>
    <row r="2816" spans="1:5" x14ac:dyDescent="0.25">
      <c r="A2816" s="10">
        <v>44710</v>
      </c>
      <c r="B2816" s="11" t="s">
        <v>27</v>
      </c>
      <c r="C2816">
        <v>2122</v>
      </c>
      <c r="D2816" t="s">
        <v>8</v>
      </c>
      <c r="E2816" t="str">
        <f>IF(may[[#This Row],[ShiftCounter]]&gt;0, "Running", "Down")</f>
        <v>Running</v>
      </c>
    </row>
    <row r="2817" spans="1:5" x14ac:dyDescent="0.25">
      <c r="A2817" s="10">
        <v>44710</v>
      </c>
      <c r="B2817" s="11" t="s">
        <v>28</v>
      </c>
      <c r="C2817">
        <v>1984</v>
      </c>
      <c r="D2817" t="s">
        <v>6</v>
      </c>
      <c r="E2817" t="str">
        <f>IF(may[[#This Row],[ShiftCounter]]&gt;0, "Running", "Down")</f>
        <v>Running</v>
      </c>
    </row>
    <row r="2818" spans="1:5" x14ac:dyDescent="0.25">
      <c r="A2818" s="10">
        <v>44710</v>
      </c>
      <c r="B2818" s="11" t="s">
        <v>28</v>
      </c>
      <c r="C2818">
        <v>2240</v>
      </c>
      <c r="D2818" t="s">
        <v>7</v>
      </c>
      <c r="E2818" t="str">
        <f>IF(may[[#This Row],[ShiftCounter]]&gt;0, "Running", "Down")</f>
        <v>Running</v>
      </c>
    </row>
    <row r="2819" spans="1:5" x14ac:dyDescent="0.25">
      <c r="A2819" s="10">
        <v>44710</v>
      </c>
      <c r="B2819" s="11" t="s">
        <v>28</v>
      </c>
      <c r="C2819">
        <v>1722</v>
      </c>
      <c r="D2819" t="s">
        <v>8</v>
      </c>
      <c r="E2819" t="str">
        <f>IF(may[[#This Row],[ShiftCounter]]&gt;0, "Running", "Down")</f>
        <v>Running</v>
      </c>
    </row>
    <row r="2820" spans="1:5" x14ac:dyDescent="0.25">
      <c r="A2820" s="10">
        <v>44710</v>
      </c>
      <c r="B2820" s="11" t="s">
        <v>29</v>
      </c>
      <c r="C2820">
        <v>1967</v>
      </c>
      <c r="D2820" t="s">
        <v>6</v>
      </c>
      <c r="E2820" t="str">
        <f>IF(may[[#This Row],[ShiftCounter]]&gt;0, "Running", "Down")</f>
        <v>Running</v>
      </c>
    </row>
    <row r="2821" spans="1:5" x14ac:dyDescent="0.25">
      <c r="A2821" s="10">
        <v>44710</v>
      </c>
      <c r="B2821" s="11" t="s">
        <v>29</v>
      </c>
      <c r="C2821">
        <v>2096</v>
      </c>
      <c r="D2821" t="s">
        <v>7</v>
      </c>
      <c r="E2821" t="str">
        <f>IF(may[[#This Row],[ShiftCounter]]&gt;0, "Running", "Down")</f>
        <v>Running</v>
      </c>
    </row>
    <row r="2822" spans="1:5" x14ac:dyDescent="0.25">
      <c r="A2822" s="10">
        <v>44710</v>
      </c>
      <c r="B2822" s="11" t="s">
        <v>29</v>
      </c>
      <c r="C2822">
        <v>1886</v>
      </c>
      <c r="D2822" t="s">
        <v>8</v>
      </c>
      <c r="E2822" t="str">
        <f>IF(may[[#This Row],[ShiftCounter]]&gt;0, "Running", "Down")</f>
        <v>Running</v>
      </c>
    </row>
    <row r="2823" spans="1:5" x14ac:dyDescent="0.25">
      <c r="A2823" s="10">
        <v>44710</v>
      </c>
      <c r="B2823" s="11" t="s">
        <v>30</v>
      </c>
      <c r="C2823">
        <v>1970</v>
      </c>
      <c r="D2823" t="s">
        <v>6</v>
      </c>
      <c r="E2823" t="str">
        <f>IF(may[[#This Row],[ShiftCounter]]&gt;0, "Running", "Down")</f>
        <v>Running</v>
      </c>
    </row>
    <row r="2824" spans="1:5" x14ac:dyDescent="0.25">
      <c r="A2824" s="10">
        <v>44710</v>
      </c>
      <c r="B2824" s="11" t="s">
        <v>30</v>
      </c>
      <c r="C2824">
        <v>2327</v>
      </c>
      <c r="D2824" t="s">
        <v>7</v>
      </c>
      <c r="E2824" t="str">
        <f>IF(may[[#This Row],[ShiftCounter]]&gt;0, "Running", "Down")</f>
        <v>Running</v>
      </c>
    </row>
    <row r="2825" spans="1:5" x14ac:dyDescent="0.25">
      <c r="A2825" s="10">
        <v>44710</v>
      </c>
      <c r="B2825" s="11" t="s">
        <v>30</v>
      </c>
      <c r="C2825">
        <v>2128</v>
      </c>
      <c r="D2825" t="s">
        <v>8</v>
      </c>
      <c r="E2825" t="str">
        <f>IF(may[[#This Row],[ShiftCounter]]&gt;0, "Running", "Down")</f>
        <v>Running</v>
      </c>
    </row>
    <row r="2826" spans="1:5" x14ac:dyDescent="0.25">
      <c r="A2826" s="10">
        <v>44710</v>
      </c>
      <c r="B2826" s="11" t="s">
        <v>31</v>
      </c>
      <c r="C2826">
        <v>2150</v>
      </c>
      <c r="D2826" t="s">
        <v>6</v>
      </c>
      <c r="E2826" t="str">
        <f>IF(may[[#This Row],[ShiftCounter]]&gt;0, "Running", "Down")</f>
        <v>Running</v>
      </c>
    </row>
    <row r="2827" spans="1:5" x14ac:dyDescent="0.25">
      <c r="A2827" s="10">
        <v>44710</v>
      </c>
      <c r="B2827" s="11" t="s">
        <v>31</v>
      </c>
      <c r="C2827">
        <v>2084</v>
      </c>
      <c r="D2827" t="s">
        <v>7</v>
      </c>
      <c r="E2827" t="str">
        <f>IF(may[[#This Row],[ShiftCounter]]&gt;0, "Running", "Down")</f>
        <v>Running</v>
      </c>
    </row>
    <row r="2828" spans="1:5" x14ac:dyDescent="0.25">
      <c r="A2828" s="10">
        <v>44710</v>
      </c>
      <c r="B2828" s="11" t="s">
        <v>31</v>
      </c>
      <c r="C2828">
        <v>2028</v>
      </c>
      <c r="D2828" t="s">
        <v>8</v>
      </c>
      <c r="E2828" t="str">
        <f>IF(may[[#This Row],[ShiftCounter]]&gt;0, "Running", "Down")</f>
        <v>Running</v>
      </c>
    </row>
    <row r="2829" spans="1:5" x14ac:dyDescent="0.25">
      <c r="A2829" s="10">
        <v>44710</v>
      </c>
      <c r="B2829" s="11" t="s">
        <v>32</v>
      </c>
      <c r="C2829">
        <v>1642</v>
      </c>
      <c r="D2829" t="s">
        <v>6</v>
      </c>
      <c r="E2829" t="str">
        <f>IF(may[[#This Row],[ShiftCounter]]&gt;0, "Running", "Down")</f>
        <v>Running</v>
      </c>
    </row>
    <row r="2830" spans="1:5" x14ac:dyDescent="0.25">
      <c r="A2830" s="10">
        <v>44710</v>
      </c>
      <c r="B2830" s="11" t="s">
        <v>32</v>
      </c>
      <c r="C2830">
        <v>2179</v>
      </c>
      <c r="D2830" t="s">
        <v>7</v>
      </c>
      <c r="E2830" t="str">
        <f>IF(may[[#This Row],[ShiftCounter]]&gt;0, "Running", "Down")</f>
        <v>Running</v>
      </c>
    </row>
    <row r="2831" spans="1:5" x14ac:dyDescent="0.25">
      <c r="A2831" s="10">
        <v>44710</v>
      </c>
      <c r="B2831" s="11" t="s">
        <v>32</v>
      </c>
      <c r="C2831">
        <v>1986</v>
      </c>
      <c r="D2831" t="s">
        <v>8</v>
      </c>
      <c r="E2831" t="str">
        <f>IF(may[[#This Row],[ShiftCounter]]&gt;0, "Running", "Down")</f>
        <v>Running</v>
      </c>
    </row>
    <row r="2832" spans="1:5" x14ac:dyDescent="0.25">
      <c r="A2832" s="10">
        <v>44710</v>
      </c>
      <c r="B2832" s="11" t="s">
        <v>33</v>
      </c>
      <c r="C2832">
        <v>2498</v>
      </c>
      <c r="D2832" t="s">
        <v>6</v>
      </c>
      <c r="E2832" t="str">
        <f>IF(may[[#This Row],[ShiftCounter]]&gt;0, "Running", "Down")</f>
        <v>Running</v>
      </c>
    </row>
    <row r="2833" spans="1:5" x14ac:dyDescent="0.25">
      <c r="A2833" s="10">
        <v>44710</v>
      </c>
      <c r="B2833" s="11" t="s">
        <v>33</v>
      </c>
      <c r="C2833">
        <v>2421</v>
      </c>
      <c r="D2833" t="s">
        <v>7</v>
      </c>
      <c r="E2833" t="str">
        <f>IF(may[[#This Row],[ShiftCounter]]&gt;0, "Running", "Down")</f>
        <v>Running</v>
      </c>
    </row>
    <row r="2834" spans="1:5" x14ac:dyDescent="0.25">
      <c r="A2834" s="10">
        <v>44710</v>
      </c>
      <c r="B2834" s="11" t="s">
        <v>33</v>
      </c>
      <c r="C2834">
        <v>2208</v>
      </c>
      <c r="D2834" t="s">
        <v>8</v>
      </c>
      <c r="E2834" t="str">
        <f>IF(may[[#This Row],[ShiftCounter]]&gt;0, "Running", "Down")</f>
        <v>Running</v>
      </c>
    </row>
    <row r="2835" spans="1:5" x14ac:dyDescent="0.25">
      <c r="A2835" s="10">
        <v>44710</v>
      </c>
      <c r="B2835" s="11" t="s">
        <v>34</v>
      </c>
      <c r="C2835">
        <v>1342</v>
      </c>
      <c r="D2835" t="s">
        <v>6</v>
      </c>
      <c r="E2835" t="str">
        <f>IF(may[[#This Row],[ShiftCounter]]&gt;0, "Running", "Down")</f>
        <v>Running</v>
      </c>
    </row>
    <row r="2836" spans="1:5" x14ac:dyDescent="0.25">
      <c r="A2836" s="10">
        <v>44710</v>
      </c>
      <c r="B2836" s="11" t="s">
        <v>34</v>
      </c>
      <c r="C2836">
        <v>1646</v>
      </c>
      <c r="D2836" t="s">
        <v>7</v>
      </c>
      <c r="E2836" t="str">
        <f>IF(may[[#This Row],[ShiftCounter]]&gt;0, "Running", "Down")</f>
        <v>Running</v>
      </c>
    </row>
    <row r="2837" spans="1:5" x14ac:dyDescent="0.25">
      <c r="A2837" s="10">
        <v>44710</v>
      </c>
      <c r="B2837" s="11" t="s">
        <v>34</v>
      </c>
      <c r="C2837">
        <v>1752</v>
      </c>
      <c r="D2837" t="s">
        <v>8</v>
      </c>
      <c r="E2837" t="str">
        <f>IF(may[[#This Row],[ShiftCounter]]&gt;0, "Running", "Down")</f>
        <v>Running</v>
      </c>
    </row>
    <row r="2838" spans="1:5" x14ac:dyDescent="0.25">
      <c r="A2838" s="10">
        <v>44710</v>
      </c>
      <c r="B2838" s="11" t="s">
        <v>35</v>
      </c>
      <c r="C2838">
        <v>2248</v>
      </c>
      <c r="D2838" t="s">
        <v>6</v>
      </c>
      <c r="E2838" t="str">
        <f>IF(may[[#This Row],[ShiftCounter]]&gt;0, "Running", "Down")</f>
        <v>Running</v>
      </c>
    </row>
    <row r="2839" spans="1:5" x14ac:dyDescent="0.25">
      <c r="A2839" s="10">
        <v>44710</v>
      </c>
      <c r="B2839" s="11" t="s">
        <v>35</v>
      </c>
      <c r="C2839">
        <v>2161</v>
      </c>
      <c r="D2839" t="s">
        <v>7</v>
      </c>
      <c r="E2839" t="str">
        <f>IF(may[[#This Row],[ShiftCounter]]&gt;0, "Running", "Down")</f>
        <v>Running</v>
      </c>
    </row>
    <row r="2840" spans="1:5" x14ac:dyDescent="0.25">
      <c r="A2840" s="10">
        <v>44710</v>
      </c>
      <c r="B2840" s="11" t="s">
        <v>35</v>
      </c>
      <c r="C2840">
        <v>1978</v>
      </c>
      <c r="D2840" t="s">
        <v>8</v>
      </c>
      <c r="E2840" t="str">
        <f>IF(may[[#This Row],[ShiftCounter]]&gt;0, "Running", "Down")</f>
        <v>Running</v>
      </c>
    </row>
    <row r="2841" spans="1:5" x14ac:dyDescent="0.25">
      <c r="A2841" s="10">
        <v>44710</v>
      </c>
      <c r="B2841" s="11" t="s">
        <v>36</v>
      </c>
      <c r="C2841">
        <v>1952</v>
      </c>
      <c r="D2841" t="s">
        <v>6</v>
      </c>
      <c r="E2841" t="str">
        <f>IF(may[[#This Row],[ShiftCounter]]&gt;0, "Running", "Down")</f>
        <v>Running</v>
      </c>
    </row>
    <row r="2842" spans="1:5" x14ac:dyDescent="0.25">
      <c r="A2842" s="10">
        <v>44710</v>
      </c>
      <c r="B2842" s="11" t="s">
        <v>36</v>
      </c>
      <c r="C2842">
        <v>2292</v>
      </c>
      <c r="D2842" t="s">
        <v>7</v>
      </c>
      <c r="E2842" t="str">
        <f>IF(may[[#This Row],[ShiftCounter]]&gt;0, "Running", "Down")</f>
        <v>Running</v>
      </c>
    </row>
    <row r="2843" spans="1:5" x14ac:dyDescent="0.25">
      <c r="A2843" s="10">
        <v>44710</v>
      </c>
      <c r="B2843" s="11" t="s">
        <v>36</v>
      </c>
      <c r="C2843">
        <v>2126</v>
      </c>
      <c r="D2843" t="s">
        <v>8</v>
      </c>
      <c r="E2843" t="str">
        <f>IF(may[[#This Row],[ShiftCounter]]&gt;0, "Running", "Down")</f>
        <v>Running</v>
      </c>
    </row>
    <row r="2844" spans="1:5" x14ac:dyDescent="0.25">
      <c r="A2844" s="10">
        <v>44710</v>
      </c>
      <c r="B2844" s="11" t="s">
        <v>37</v>
      </c>
      <c r="C2844">
        <v>2368</v>
      </c>
      <c r="D2844" t="s">
        <v>6</v>
      </c>
      <c r="E2844" t="str">
        <f>IF(may[[#This Row],[ShiftCounter]]&gt;0, "Running", "Down")</f>
        <v>Running</v>
      </c>
    </row>
    <row r="2845" spans="1:5" x14ac:dyDescent="0.25">
      <c r="A2845" s="10">
        <v>44710</v>
      </c>
      <c r="B2845" s="11" t="s">
        <v>37</v>
      </c>
      <c r="C2845">
        <v>2266</v>
      </c>
      <c r="D2845" t="s">
        <v>7</v>
      </c>
      <c r="E2845" t="str">
        <f>IF(may[[#This Row],[ShiftCounter]]&gt;0, "Running", "Down")</f>
        <v>Running</v>
      </c>
    </row>
    <row r="2846" spans="1:5" x14ac:dyDescent="0.25">
      <c r="A2846" s="10">
        <v>44710</v>
      </c>
      <c r="B2846" s="11" t="s">
        <v>37</v>
      </c>
      <c r="C2846">
        <v>2030</v>
      </c>
      <c r="D2846" t="s">
        <v>8</v>
      </c>
      <c r="E2846" t="str">
        <f>IF(may[[#This Row],[ShiftCounter]]&gt;0, "Running", "Down")</f>
        <v>Running</v>
      </c>
    </row>
    <row r="2847" spans="1:5" x14ac:dyDescent="0.25">
      <c r="A2847" s="10">
        <v>44711</v>
      </c>
      <c r="B2847" s="11" t="s">
        <v>135</v>
      </c>
      <c r="C2847">
        <v>1936</v>
      </c>
      <c r="D2847" t="s">
        <v>6</v>
      </c>
      <c r="E2847" t="str">
        <f>IF(may[[#This Row],[ShiftCounter]]&gt;0, "Running", "Down")</f>
        <v>Running</v>
      </c>
    </row>
    <row r="2848" spans="1:5" x14ac:dyDescent="0.25">
      <c r="A2848" s="10">
        <v>44711</v>
      </c>
      <c r="B2848" s="11" t="s">
        <v>135</v>
      </c>
      <c r="C2848">
        <v>1910</v>
      </c>
      <c r="D2848" t="s">
        <v>7</v>
      </c>
      <c r="E2848" t="str">
        <f>IF(may[[#This Row],[ShiftCounter]]&gt;0, "Running", "Down")</f>
        <v>Running</v>
      </c>
    </row>
    <row r="2849" spans="1:5" x14ac:dyDescent="0.25">
      <c r="A2849" s="10">
        <v>44711</v>
      </c>
      <c r="B2849" s="11" t="s">
        <v>135</v>
      </c>
      <c r="C2849">
        <v>1757</v>
      </c>
      <c r="D2849" t="s">
        <v>8</v>
      </c>
      <c r="E2849" t="str">
        <f>IF(may[[#This Row],[ShiftCounter]]&gt;0, "Running", "Down")</f>
        <v>Running</v>
      </c>
    </row>
    <row r="2850" spans="1:5" x14ac:dyDescent="0.25">
      <c r="A2850" s="10">
        <v>44711</v>
      </c>
      <c r="B2850" s="11" t="s">
        <v>40</v>
      </c>
      <c r="C2850">
        <v>2149</v>
      </c>
      <c r="D2850" t="s">
        <v>6</v>
      </c>
      <c r="E2850" t="str">
        <f>IF(may[[#This Row],[ShiftCounter]]&gt;0, "Running", "Down")</f>
        <v>Running</v>
      </c>
    </row>
    <row r="2851" spans="1:5" x14ac:dyDescent="0.25">
      <c r="A2851" s="10">
        <v>44711</v>
      </c>
      <c r="B2851" s="11" t="s">
        <v>40</v>
      </c>
      <c r="C2851">
        <v>2024</v>
      </c>
      <c r="D2851" t="s">
        <v>7</v>
      </c>
      <c r="E2851" t="str">
        <f>IF(may[[#This Row],[ShiftCounter]]&gt;0, "Running", "Down")</f>
        <v>Running</v>
      </c>
    </row>
    <row r="2852" spans="1:5" x14ac:dyDescent="0.25">
      <c r="A2852" s="10">
        <v>44711</v>
      </c>
      <c r="B2852" s="11" t="s">
        <v>40</v>
      </c>
      <c r="C2852">
        <v>2010</v>
      </c>
      <c r="D2852" t="s">
        <v>8</v>
      </c>
      <c r="E2852" t="str">
        <f>IF(may[[#This Row],[ShiftCounter]]&gt;0, "Running", "Down")</f>
        <v>Running</v>
      </c>
    </row>
    <row r="2853" spans="1:5" x14ac:dyDescent="0.25">
      <c r="A2853" s="10">
        <v>44711</v>
      </c>
      <c r="B2853" s="11" t="s">
        <v>39</v>
      </c>
      <c r="C2853">
        <v>2039</v>
      </c>
      <c r="D2853" t="s">
        <v>6</v>
      </c>
      <c r="E2853" t="str">
        <f>IF(may[[#This Row],[ShiftCounter]]&gt;0, "Running", "Down")</f>
        <v>Running</v>
      </c>
    </row>
    <row r="2854" spans="1:5" x14ac:dyDescent="0.25">
      <c r="A2854" s="10">
        <v>44711</v>
      </c>
      <c r="B2854" s="11" t="s">
        <v>39</v>
      </c>
      <c r="C2854">
        <v>2024</v>
      </c>
      <c r="D2854" t="s">
        <v>7</v>
      </c>
      <c r="E2854" t="str">
        <f>IF(may[[#This Row],[ShiftCounter]]&gt;0, "Running", "Down")</f>
        <v>Running</v>
      </c>
    </row>
    <row r="2855" spans="1:5" x14ac:dyDescent="0.25">
      <c r="A2855" s="10">
        <v>44711</v>
      </c>
      <c r="B2855" s="11" t="s">
        <v>39</v>
      </c>
      <c r="C2855">
        <v>141</v>
      </c>
      <c r="D2855" t="s">
        <v>8</v>
      </c>
      <c r="E2855" t="str">
        <f>IF(may[[#This Row],[ShiftCounter]]&gt;0, "Running", "Down")</f>
        <v>Running</v>
      </c>
    </row>
    <row r="2856" spans="1:5" x14ac:dyDescent="0.25">
      <c r="A2856" s="10">
        <v>44711</v>
      </c>
      <c r="B2856" s="11" t="s">
        <v>41</v>
      </c>
      <c r="C2856">
        <v>2324</v>
      </c>
      <c r="D2856" t="s">
        <v>6</v>
      </c>
      <c r="E2856" t="str">
        <f>IF(may[[#This Row],[ShiftCounter]]&gt;0, "Running", "Down")</f>
        <v>Running</v>
      </c>
    </row>
    <row r="2857" spans="1:5" x14ac:dyDescent="0.25">
      <c r="A2857" s="10">
        <v>44711</v>
      </c>
      <c r="B2857" s="11" t="s">
        <v>41</v>
      </c>
      <c r="C2857">
        <v>2299</v>
      </c>
      <c r="D2857" t="s">
        <v>7</v>
      </c>
      <c r="E2857" t="str">
        <f>IF(may[[#This Row],[ShiftCounter]]&gt;0, "Running", "Down")</f>
        <v>Running</v>
      </c>
    </row>
    <row r="2858" spans="1:5" x14ac:dyDescent="0.25">
      <c r="A2858" s="10">
        <v>44711</v>
      </c>
      <c r="B2858" s="11" t="s">
        <v>41</v>
      </c>
      <c r="C2858">
        <v>2127</v>
      </c>
      <c r="D2858" t="s">
        <v>8</v>
      </c>
      <c r="E2858" t="str">
        <f>IF(may[[#This Row],[ShiftCounter]]&gt;0, "Running", "Down")</f>
        <v>Running</v>
      </c>
    </row>
    <row r="2859" spans="1:5" x14ac:dyDescent="0.25">
      <c r="A2859" s="10">
        <v>44711</v>
      </c>
      <c r="B2859" s="11" t="s">
        <v>5</v>
      </c>
      <c r="C2859">
        <v>2277</v>
      </c>
      <c r="D2859" t="s">
        <v>6</v>
      </c>
      <c r="E2859" t="str">
        <f>IF(may[[#This Row],[ShiftCounter]]&gt;0, "Running", "Down")</f>
        <v>Running</v>
      </c>
    </row>
    <row r="2860" spans="1:5" x14ac:dyDescent="0.25">
      <c r="A2860" s="10">
        <v>44711</v>
      </c>
      <c r="B2860" s="11" t="s">
        <v>5</v>
      </c>
      <c r="C2860">
        <v>2199</v>
      </c>
      <c r="D2860" t="s">
        <v>7</v>
      </c>
      <c r="E2860" t="str">
        <f>IF(may[[#This Row],[ShiftCounter]]&gt;0, "Running", "Down")</f>
        <v>Running</v>
      </c>
    </row>
    <row r="2861" spans="1:5" x14ac:dyDescent="0.25">
      <c r="A2861" s="10">
        <v>44711</v>
      </c>
      <c r="B2861" s="11" t="s">
        <v>5</v>
      </c>
      <c r="C2861">
        <v>2122</v>
      </c>
      <c r="D2861" t="s">
        <v>8</v>
      </c>
      <c r="E2861" t="str">
        <f>IF(may[[#This Row],[ShiftCounter]]&gt;0, "Running", "Down")</f>
        <v>Running</v>
      </c>
    </row>
    <row r="2862" spans="1:5" x14ac:dyDescent="0.25">
      <c r="A2862" s="10">
        <v>44711</v>
      </c>
      <c r="B2862" s="11" t="s">
        <v>9</v>
      </c>
      <c r="C2862">
        <v>2216</v>
      </c>
      <c r="D2862" t="s">
        <v>6</v>
      </c>
      <c r="E2862" t="str">
        <f>IF(may[[#This Row],[ShiftCounter]]&gt;0, "Running", "Down")</f>
        <v>Running</v>
      </c>
    </row>
    <row r="2863" spans="1:5" x14ac:dyDescent="0.25">
      <c r="A2863" s="10">
        <v>44711</v>
      </c>
      <c r="B2863" s="11" t="s">
        <v>9</v>
      </c>
      <c r="C2863">
        <v>2264</v>
      </c>
      <c r="D2863" t="s">
        <v>7</v>
      </c>
      <c r="E2863" t="str">
        <f>IF(may[[#This Row],[ShiftCounter]]&gt;0, "Running", "Down")</f>
        <v>Running</v>
      </c>
    </row>
    <row r="2864" spans="1:5" x14ac:dyDescent="0.25">
      <c r="A2864" s="10">
        <v>44711</v>
      </c>
      <c r="B2864" s="11" t="s">
        <v>9</v>
      </c>
      <c r="C2864">
        <v>2143</v>
      </c>
      <c r="D2864" t="s">
        <v>8</v>
      </c>
      <c r="E2864" t="str">
        <f>IF(may[[#This Row],[ShiftCounter]]&gt;0, "Running", "Down")</f>
        <v>Running</v>
      </c>
    </row>
    <row r="2865" spans="1:5" x14ac:dyDescent="0.25">
      <c r="A2865" s="10">
        <v>44711</v>
      </c>
      <c r="B2865" s="11" t="s">
        <v>10</v>
      </c>
      <c r="C2865">
        <v>2338</v>
      </c>
      <c r="D2865" t="s">
        <v>6</v>
      </c>
      <c r="E2865" t="str">
        <f>IF(may[[#This Row],[ShiftCounter]]&gt;0, "Running", "Down")</f>
        <v>Running</v>
      </c>
    </row>
    <row r="2866" spans="1:5" x14ac:dyDescent="0.25">
      <c r="A2866" s="10">
        <v>44711</v>
      </c>
      <c r="B2866" s="11" t="s">
        <v>10</v>
      </c>
      <c r="C2866">
        <v>2310</v>
      </c>
      <c r="D2866" t="s">
        <v>7</v>
      </c>
      <c r="E2866" t="str">
        <f>IF(may[[#This Row],[ShiftCounter]]&gt;0, "Running", "Down")</f>
        <v>Running</v>
      </c>
    </row>
    <row r="2867" spans="1:5" x14ac:dyDescent="0.25">
      <c r="A2867" s="10">
        <v>44711</v>
      </c>
      <c r="B2867" s="11" t="s">
        <v>10</v>
      </c>
      <c r="C2867">
        <v>2177</v>
      </c>
      <c r="D2867" t="s">
        <v>8</v>
      </c>
      <c r="E2867" t="str">
        <f>IF(may[[#This Row],[ShiftCounter]]&gt;0, "Running", "Down")</f>
        <v>Running</v>
      </c>
    </row>
    <row r="2868" spans="1:5" x14ac:dyDescent="0.25">
      <c r="A2868" s="10">
        <v>44711</v>
      </c>
      <c r="B2868" s="11" t="s">
        <v>12</v>
      </c>
      <c r="C2868">
        <v>2350</v>
      </c>
      <c r="D2868" t="s">
        <v>6</v>
      </c>
      <c r="E2868" t="str">
        <f>IF(may[[#This Row],[ShiftCounter]]&gt;0, "Running", "Down")</f>
        <v>Running</v>
      </c>
    </row>
    <row r="2869" spans="1:5" x14ac:dyDescent="0.25">
      <c r="A2869" s="10">
        <v>44711</v>
      </c>
      <c r="B2869" s="11" t="s">
        <v>12</v>
      </c>
      <c r="C2869">
        <v>2320</v>
      </c>
      <c r="D2869" t="s">
        <v>7</v>
      </c>
      <c r="E2869" t="str">
        <f>IF(may[[#This Row],[ShiftCounter]]&gt;0, "Running", "Down")</f>
        <v>Running</v>
      </c>
    </row>
    <row r="2870" spans="1:5" x14ac:dyDescent="0.25">
      <c r="A2870" s="10">
        <v>44711</v>
      </c>
      <c r="B2870" s="11" t="s">
        <v>12</v>
      </c>
      <c r="C2870">
        <v>2143</v>
      </c>
      <c r="D2870" t="s">
        <v>8</v>
      </c>
      <c r="E2870" t="str">
        <f>IF(may[[#This Row],[ShiftCounter]]&gt;0, "Running", "Down")</f>
        <v>Running</v>
      </c>
    </row>
    <row r="2871" spans="1:5" x14ac:dyDescent="0.25">
      <c r="A2871" s="10">
        <v>44711</v>
      </c>
      <c r="B2871" s="11" t="s">
        <v>105</v>
      </c>
      <c r="C2871">
        <v>2250</v>
      </c>
      <c r="D2871" t="s">
        <v>6</v>
      </c>
      <c r="E2871" t="str">
        <f>IF(may[[#This Row],[ShiftCounter]]&gt;0, "Running", "Down")</f>
        <v>Running</v>
      </c>
    </row>
    <row r="2872" spans="1:5" x14ac:dyDescent="0.25">
      <c r="A2872" s="10">
        <v>44711</v>
      </c>
      <c r="B2872" s="11" t="s">
        <v>105</v>
      </c>
      <c r="C2872">
        <v>2269</v>
      </c>
      <c r="D2872" t="s">
        <v>7</v>
      </c>
      <c r="E2872" t="str">
        <f>IF(may[[#This Row],[ShiftCounter]]&gt;0, "Running", "Down")</f>
        <v>Running</v>
      </c>
    </row>
    <row r="2873" spans="1:5" x14ac:dyDescent="0.25">
      <c r="A2873" s="10">
        <v>44711</v>
      </c>
      <c r="B2873" s="11" t="s">
        <v>105</v>
      </c>
      <c r="C2873">
        <v>2031</v>
      </c>
      <c r="D2873" t="s">
        <v>8</v>
      </c>
      <c r="E2873" t="str">
        <f>IF(may[[#This Row],[ShiftCounter]]&gt;0, "Running", "Down")</f>
        <v>Running</v>
      </c>
    </row>
    <row r="2874" spans="1:5" x14ac:dyDescent="0.25">
      <c r="A2874" s="10">
        <v>44711</v>
      </c>
      <c r="B2874" s="11" t="s">
        <v>13</v>
      </c>
      <c r="C2874">
        <v>1348</v>
      </c>
      <c r="D2874" t="s">
        <v>6</v>
      </c>
      <c r="E2874" t="str">
        <f>IF(may[[#This Row],[ShiftCounter]]&gt;0, "Running", "Down")</f>
        <v>Running</v>
      </c>
    </row>
    <row r="2875" spans="1:5" x14ac:dyDescent="0.25">
      <c r="A2875" s="10">
        <v>44711</v>
      </c>
      <c r="B2875" s="11" t="s">
        <v>13</v>
      </c>
      <c r="C2875">
        <v>2190</v>
      </c>
      <c r="D2875" t="s">
        <v>7</v>
      </c>
      <c r="E2875" t="str">
        <f>IF(may[[#This Row],[ShiftCounter]]&gt;0, "Running", "Down")</f>
        <v>Running</v>
      </c>
    </row>
    <row r="2876" spans="1:5" x14ac:dyDescent="0.25">
      <c r="A2876" s="10">
        <v>44711</v>
      </c>
      <c r="B2876" s="11" t="s">
        <v>13</v>
      </c>
      <c r="C2876">
        <v>1997</v>
      </c>
      <c r="D2876" t="s">
        <v>8</v>
      </c>
      <c r="E2876" t="str">
        <f>IF(may[[#This Row],[ShiftCounter]]&gt;0, "Running", "Down")</f>
        <v>Running</v>
      </c>
    </row>
    <row r="2877" spans="1:5" x14ac:dyDescent="0.25">
      <c r="A2877" s="10">
        <v>44711</v>
      </c>
      <c r="B2877" s="11" t="s">
        <v>101</v>
      </c>
      <c r="C2877">
        <v>2173</v>
      </c>
      <c r="D2877" t="s">
        <v>6</v>
      </c>
      <c r="E2877" t="str">
        <f>IF(may[[#This Row],[ShiftCounter]]&gt;0, "Running", "Down")</f>
        <v>Running</v>
      </c>
    </row>
    <row r="2878" spans="1:5" x14ac:dyDescent="0.25">
      <c r="A2878" s="10">
        <v>44711</v>
      </c>
      <c r="B2878" s="11" t="s">
        <v>101</v>
      </c>
      <c r="C2878">
        <v>2184</v>
      </c>
      <c r="D2878" t="s">
        <v>7</v>
      </c>
      <c r="E2878" t="str">
        <f>IF(may[[#This Row],[ShiftCounter]]&gt;0, "Running", "Down")</f>
        <v>Running</v>
      </c>
    </row>
    <row r="2879" spans="1:5" x14ac:dyDescent="0.25">
      <c r="A2879" s="10">
        <v>44711</v>
      </c>
      <c r="B2879" s="11" t="s">
        <v>101</v>
      </c>
      <c r="C2879">
        <v>1920</v>
      </c>
      <c r="D2879" t="s">
        <v>8</v>
      </c>
      <c r="E2879" t="str">
        <f>IF(may[[#This Row],[ShiftCounter]]&gt;0, "Running", "Down")</f>
        <v>Running</v>
      </c>
    </row>
    <row r="2880" spans="1:5" x14ac:dyDescent="0.25">
      <c r="A2880" s="10">
        <v>44711</v>
      </c>
      <c r="B2880" s="11" t="s">
        <v>14</v>
      </c>
      <c r="C2880">
        <v>2008</v>
      </c>
      <c r="D2880" t="s">
        <v>6</v>
      </c>
      <c r="E2880" t="str">
        <f>IF(may[[#This Row],[ShiftCounter]]&gt;0, "Running", "Down")</f>
        <v>Running</v>
      </c>
    </row>
    <row r="2881" spans="1:5" x14ac:dyDescent="0.25">
      <c r="A2881" s="10">
        <v>44711</v>
      </c>
      <c r="B2881" s="11" t="s">
        <v>14</v>
      </c>
      <c r="C2881">
        <v>2034</v>
      </c>
      <c r="D2881" t="s">
        <v>7</v>
      </c>
      <c r="E2881" t="str">
        <f>IF(may[[#This Row],[ShiftCounter]]&gt;0, "Running", "Down")</f>
        <v>Running</v>
      </c>
    </row>
    <row r="2882" spans="1:5" x14ac:dyDescent="0.25">
      <c r="A2882" s="10">
        <v>44711</v>
      </c>
      <c r="B2882" s="11" t="s">
        <v>14</v>
      </c>
      <c r="C2882">
        <v>1690</v>
      </c>
      <c r="D2882" t="s">
        <v>8</v>
      </c>
      <c r="E2882" t="str">
        <f>IF(may[[#This Row],[ShiftCounter]]&gt;0, "Running", "Down")</f>
        <v>Running</v>
      </c>
    </row>
    <row r="2883" spans="1:5" x14ac:dyDescent="0.25">
      <c r="A2883" s="10">
        <v>44711</v>
      </c>
      <c r="B2883" s="11" t="s">
        <v>15</v>
      </c>
      <c r="C2883">
        <v>336</v>
      </c>
      <c r="D2883" t="s">
        <v>6</v>
      </c>
      <c r="E2883" t="str">
        <f>IF(may[[#This Row],[ShiftCounter]]&gt;0, "Running", "Down")</f>
        <v>Running</v>
      </c>
    </row>
    <row r="2884" spans="1:5" x14ac:dyDescent="0.25">
      <c r="A2884" s="10">
        <v>44711</v>
      </c>
      <c r="B2884" s="11" t="s">
        <v>15</v>
      </c>
      <c r="C2884">
        <v>2054</v>
      </c>
      <c r="D2884" t="s">
        <v>7</v>
      </c>
      <c r="E2884" t="str">
        <f>IF(may[[#This Row],[ShiftCounter]]&gt;0, "Running", "Down")</f>
        <v>Running</v>
      </c>
    </row>
    <row r="2885" spans="1:5" x14ac:dyDescent="0.25">
      <c r="A2885" s="10">
        <v>44711</v>
      </c>
      <c r="B2885" s="11" t="s">
        <v>15</v>
      </c>
      <c r="C2885">
        <v>1975</v>
      </c>
      <c r="D2885" t="s">
        <v>8</v>
      </c>
      <c r="E2885" t="str">
        <f>IF(may[[#This Row],[ShiftCounter]]&gt;0, "Running", "Down")</f>
        <v>Running</v>
      </c>
    </row>
    <row r="2886" spans="1:5" x14ac:dyDescent="0.25">
      <c r="A2886" s="10">
        <v>44711</v>
      </c>
      <c r="B2886" s="11" t="s">
        <v>16</v>
      </c>
      <c r="C2886">
        <v>2396</v>
      </c>
      <c r="D2886" t="s">
        <v>6</v>
      </c>
      <c r="E2886" t="str">
        <f>IF(may[[#This Row],[ShiftCounter]]&gt;0, "Running", "Down")</f>
        <v>Running</v>
      </c>
    </row>
    <row r="2887" spans="1:5" x14ac:dyDescent="0.25">
      <c r="A2887" s="10">
        <v>44711</v>
      </c>
      <c r="B2887" s="11" t="s">
        <v>16</v>
      </c>
      <c r="C2887">
        <v>2396</v>
      </c>
      <c r="D2887" t="s">
        <v>7</v>
      </c>
      <c r="E2887" t="str">
        <f>IF(may[[#This Row],[ShiftCounter]]&gt;0, "Running", "Down")</f>
        <v>Running</v>
      </c>
    </row>
    <row r="2888" spans="1:5" x14ac:dyDescent="0.25">
      <c r="A2888" s="10">
        <v>44711</v>
      </c>
      <c r="B2888" s="11" t="s">
        <v>16</v>
      </c>
      <c r="C2888">
        <v>2052</v>
      </c>
      <c r="D2888" t="s">
        <v>8</v>
      </c>
      <c r="E2888" t="str">
        <f>IF(may[[#This Row],[ShiftCounter]]&gt;0, "Running", "Down")</f>
        <v>Running</v>
      </c>
    </row>
    <row r="2889" spans="1:5" x14ac:dyDescent="0.25">
      <c r="A2889" s="10">
        <v>44711</v>
      </c>
      <c r="B2889" s="11" t="s">
        <v>17</v>
      </c>
      <c r="C2889">
        <v>2466</v>
      </c>
      <c r="D2889" t="s">
        <v>6</v>
      </c>
      <c r="E2889" t="str">
        <f>IF(may[[#This Row],[ShiftCounter]]&gt;0, "Running", "Down")</f>
        <v>Running</v>
      </c>
    </row>
    <row r="2890" spans="1:5" x14ac:dyDescent="0.25">
      <c r="A2890" s="10">
        <v>44711</v>
      </c>
      <c r="B2890" s="11" t="s">
        <v>17</v>
      </c>
      <c r="C2890">
        <v>2496</v>
      </c>
      <c r="D2890" t="s">
        <v>7</v>
      </c>
      <c r="E2890" t="str">
        <f>IF(may[[#This Row],[ShiftCounter]]&gt;0, "Running", "Down")</f>
        <v>Running</v>
      </c>
    </row>
    <row r="2891" spans="1:5" x14ac:dyDescent="0.25">
      <c r="A2891" s="10">
        <v>44711</v>
      </c>
      <c r="B2891" s="11" t="s">
        <v>17</v>
      </c>
      <c r="C2891">
        <v>2171</v>
      </c>
      <c r="D2891" t="s">
        <v>8</v>
      </c>
      <c r="E2891" t="str">
        <f>IF(may[[#This Row],[ShiftCounter]]&gt;0, "Running", "Down")</f>
        <v>Running</v>
      </c>
    </row>
    <row r="2892" spans="1:5" x14ac:dyDescent="0.25">
      <c r="A2892" s="10">
        <v>44711</v>
      </c>
      <c r="B2892" s="11" t="s">
        <v>19</v>
      </c>
      <c r="C2892">
        <v>2116</v>
      </c>
      <c r="D2892" t="s">
        <v>6</v>
      </c>
      <c r="E2892" t="str">
        <f>IF(may[[#This Row],[ShiftCounter]]&gt;0, "Running", "Down")</f>
        <v>Running</v>
      </c>
    </row>
    <row r="2893" spans="1:5" x14ac:dyDescent="0.25">
      <c r="A2893" s="10">
        <v>44711</v>
      </c>
      <c r="B2893" s="11" t="s">
        <v>19</v>
      </c>
      <c r="C2893">
        <v>1926</v>
      </c>
      <c r="D2893" t="s">
        <v>7</v>
      </c>
      <c r="E2893" t="str">
        <f>IF(may[[#This Row],[ShiftCounter]]&gt;0, "Running", "Down")</f>
        <v>Running</v>
      </c>
    </row>
    <row r="2894" spans="1:5" x14ac:dyDescent="0.25">
      <c r="A2894" s="10">
        <v>44711</v>
      </c>
      <c r="B2894" s="11" t="s">
        <v>19</v>
      </c>
      <c r="C2894">
        <v>1625</v>
      </c>
      <c r="D2894" t="s">
        <v>8</v>
      </c>
      <c r="E2894" t="str">
        <f>IF(may[[#This Row],[ShiftCounter]]&gt;0, "Running", "Down")</f>
        <v>Running</v>
      </c>
    </row>
    <row r="2895" spans="1:5" x14ac:dyDescent="0.25">
      <c r="A2895" s="10">
        <v>44711</v>
      </c>
      <c r="B2895" s="11" t="s">
        <v>18</v>
      </c>
      <c r="C2895">
        <v>1951</v>
      </c>
      <c r="D2895" t="s">
        <v>6</v>
      </c>
      <c r="E2895" t="str">
        <f>IF(may[[#This Row],[ShiftCounter]]&gt;0, "Running", "Down")</f>
        <v>Running</v>
      </c>
    </row>
    <row r="2896" spans="1:5" x14ac:dyDescent="0.25">
      <c r="A2896" s="10">
        <v>44711</v>
      </c>
      <c r="B2896" s="11" t="s">
        <v>18</v>
      </c>
      <c r="C2896">
        <v>2320</v>
      </c>
      <c r="D2896" t="s">
        <v>7</v>
      </c>
      <c r="E2896" t="str">
        <f>IF(may[[#This Row],[ShiftCounter]]&gt;0, "Running", "Down")</f>
        <v>Running</v>
      </c>
    </row>
    <row r="2897" spans="1:5" x14ac:dyDescent="0.25">
      <c r="A2897" s="10">
        <v>44711</v>
      </c>
      <c r="B2897" s="11" t="s">
        <v>18</v>
      </c>
      <c r="C2897">
        <v>2157</v>
      </c>
      <c r="D2897" t="s">
        <v>8</v>
      </c>
      <c r="E2897" t="str">
        <f>IF(may[[#This Row],[ShiftCounter]]&gt;0, "Running", "Down")</f>
        <v>Running</v>
      </c>
    </row>
    <row r="2898" spans="1:5" x14ac:dyDescent="0.25">
      <c r="A2898" s="10">
        <v>44711</v>
      </c>
      <c r="B2898" s="11" t="s">
        <v>38</v>
      </c>
      <c r="C2898">
        <v>2100</v>
      </c>
      <c r="D2898" t="s">
        <v>6</v>
      </c>
      <c r="E2898" t="str">
        <f>IF(may[[#This Row],[ShiftCounter]]&gt;0, "Running", "Down")</f>
        <v>Running</v>
      </c>
    </row>
    <row r="2899" spans="1:5" x14ac:dyDescent="0.25">
      <c r="A2899" s="10">
        <v>44711</v>
      </c>
      <c r="B2899" s="11" t="s">
        <v>38</v>
      </c>
      <c r="C2899">
        <v>2260</v>
      </c>
      <c r="D2899" t="s">
        <v>7</v>
      </c>
      <c r="E2899" t="str">
        <f>IF(may[[#This Row],[ShiftCounter]]&gt;0, "Running", "Down")</f>
        <v>Running</v>
      </c>
    </row>
    <row r="2900" spans="1:5" x14ac:dyDescent="0.25">
      <c r="A2900" s="10">
        <v>44711</v>
      </c>
      <c r="B2900" s="11" t="s">
        <v>38</v>
      </c>
      <c r="C2900">
        <v>2115</v>
      </c>
      <c r="D2900" t="s">
        <v>8</v>
      </c>
      <c r="E2900" t="str">
        <f>IF(may[[#This Row],[ShiftCounter]]&gt;0, "Running", "Down")</f>
        <v>Running</v>
      </c>
    </row>
    <row r="2901" spans="1:5" x14ac:dyDescent="0.25">
      <c r="A2901" s="10">
        <v>44711</v>
      </c>
      <c r="B2901" s="11" t="s">
        <v>20</v>
      </c>
      <c r="C2901">
        <v>2260</v>
      </c>
      <c r="D2901" t="s">
        <v>6</v>
      </c>
      <c r="E2901" t="str">
        <f>IF(may[[#This Row],[ShiftCounter]]&gt;0, "Running", "Down")</f>
        <v>Running</v>
      </c>
    </row>
    <row r="2902" spans="1:5" x14ac:dyDescent="0.25">
      <c r="A2902" s="10">
        <v>44711</v>
      </c>
      <c r="B2902" s="11" t="s">
        <v>20</v>
      </c>
      <c r="C2902">
        <v>2208</v>
      </c>
      <c r="D2902" t="s">
        <v>7</v>
      </c>
      <c r="E2902" t="str">
        <f>IF(may[[#This Row],[ShiftCounter]]&gt;0, "Running", "Down")</f>
        <v>Running</v>
      </c>
    </row>
    <row r="2903" spans="1:5" x14ac:dyDescent="0.25">
      <c r="A2903" s="10">
        <v>44711</v>
      </c>
      <c r="B2903" s="11" t="s">
        <v>20</v>
      </c>
      <c r="C2903">
        <v>2082</v>
      </c>
      <c r="D2903" t="s">
        <v>8</v>
      </c>
      <c r="E2903" t="str">
        <f>IF(may[[#This Row],[ShiftCounter]]&gt;0, "Running", "Down")</f>
        <v>Running</v>
      </c>
    </row>
    <row r="2904" spans="1:5" x14ac:dyDescent="0.25">
      <c r="A2904" s="10">
        <v>44711</v>
      </c>
      <c r="B2904" s="11" t="s">
        <v>21</v>
      </c>
      <c r="C2904">
        <v>2033</v>
      </c>
      <c r="D2904" t="s">
        <v>6</v>
      </c>
      <c r="E2904" t="str">
        <f>IF(may[[#This Row],[ShiftCounter]]&gt;0, "Running", "Down")</f>
        <v>Running</v>
      </c>
    </row>
    <row r="2905" spans="1:5" x14ac:dyDescent="0.25">
      <c r="A2905" s="10">
        <v>44711</v>
      </c>
      <c r="B2905" s="11" t="s">
        <v>21</v>
      </c>
      <c r="C2905">
        <v>2043</v>
      </c>
      <c r="D2905" t="s">
        <v>7</v>
      </c>
      <c r="E2905" t="str">
        <f>IF(may[[#This Row],[ShiftCounter]]&gt;0, "Running", "Down")</f>
        <v>Running</v>
      </c>
    </row>
    <row r="2906" spans="1:5" x14ac:dyDescent="0.25">
      <c r="A2906" s="10">
        <v>44711</v>
      </c>
      <c r="B2906" s="11" t="s">
        <v>21</v>
      </c>
      <c r="C2906">
        <v>1867</v>
      </c>
      <c r="D2906" t="s">
        <v>8</v>
      </c>
      <c r="E2906" t="str">
        <f>IF(may[[#This Row],[ShiftCounter]]&gt;0, "Running", "Down")</f>
        <v>Running</v>
      </c>
    </row>
    <row r="2907" spans="1:5" x14ac:dyDescent="0.25">
      <c r="A2907" s="10">
        <v>44711</v>
      </c>
      <c r="B2907" s="11" t="s">
        <v>22</v>
      </c>
      <c r="C2907">
        <v>2061</v>
      </c>
      <c r="D2907" t="s">
        <v>6</v>
      </c>
      <c r="E2907" t="str">
        <f>IF(may[[#This Row],[ShiftCounter]]&gt;0, "Running", "Down")</f>
        <v>Running</v>
      </c>
    </row>
    <row r="2908" spans="1:5" x14ac:dyDescent="0.25">
      <c r="A2908" s="10">
        <v>44711</v>
      </c>
      <c r="B2908" s="11" t="s">
        <v>22</v>
      </c>
      <c r="C2908">
        <v>2125</v>
      </c>
      <c r="D2908" t="s">
        <v>7</v>
      </c>
      <c r="E2908" t="str">
        <f>IF(may[[#This Row],[ShiftCounter]]&gt;0, "Running", "Down")</f>
        <v>Running</v>
      </c>
    </row>
    <row r="2909" spans="1:5" x14ac:dyDescent="0.25">
      <c r="A2909" s="10">
        <v>44711</v>
      </c>
      <c r="B2909" s="11" t="s">
        <v>22</v>
      </c>
      <c r="C2909">
        <v>1795</v>
      </c>
      <c r="D2909" t="s">
        <v>8</v>
      </c>
      <c r="E2909" t="str">
        <f>IF(may[[#This Row],[ShiftCounter]]&gt;0, "Running", "Down")</f>
        <v>Running</v>
      </c>
    </row>
    <row r="2910" spans="1:5" x14ac:dyDescent="0.25">
      <c r="A2910" s="10">
        <v>44711</v>
      </c>
      <c r="B2910" s="11" t="s">
        <v>23</v>
      </c>
      <c r="C2910">
        <v>0</v>
      </c>
      <c r="D2910" t="s">
        <v>6</v>
      </c>
      <c r="E2910" t="str">
        <f>IF(may[[#This Row],[ShiftCounter]]&gt;0, "Running", "Down")</f>
        <v>Down</v>
      </c>
    </row>
    <row r="2911" spans="1:5" x14ac:dyDescent="0.25">
      <c r="A2911" s="10">
        <v>44711</v>
      </c>
      <c r="B2911" s="11" t="s">
        <v>23</v>
      </c>
      <c r="C2911">
        <v>2045</v>
      </c>
      <c r="D2911" t="s">
        <v>7</v>
      </c>
      <c r="E2911" t="str">
        <f>IF(may[[#This Row],[ShiftCounter]]&gt;0, "Running", "Down")</f>
        <v>Running</v>
      </c>
    </row>
    <row r="2912" spans="1:5" x14ac:dyDescent="0.25">
      <c r="A2912" s="10">
        <v>44711</v>
      </c>
      <c r="B2912" s="11" t="s">
        <v>23</v>
      </c>
      <c r="C2912">
        <v>1933</v>
      </c>
      <c r="D2912" t="s">
        <v>8</v>
      </c>
      <c r="E2912" t="str">
        <f>IF(may[[#This Row],[ShiftCounter]]&gt;0, "Running", "Down")</f>
        <v>Running</v>
      </c>
    </row>
    <row r="2913" spans="1:5" x14ac:dyDescent="0.25">
      <c r="A2913" s="10">
        <v>44711</v>
      </c>
      <c r="B2913" s="11" t="s">
        <v>24</v>
      </c>
      <c r="C2913">
        <v>2074</v>
      </c>
      <c r="D2913" t="s">
        <v>6</v>
      </c>
      <c r="E2913" t="str">
        <f>IF(may[[#This Row],[ShiftCounter]]&gt;0, "Running", "Down")</f>
        <v>Running</v>
      </c>
    </row>
    <row r="2914" spans="1:5" x14ac:dyDescent="0.25">
      <c r="A2914" s="10">
        <v>44711</v>
      </c>
      <c r="B2914" s="11" t="s">
        <v>24</v>
      </c>
      <c r="C2914">
        <v>2085</v>
      </c>
      <c r="D2914" t="s">
        <v>7</v>
      </c>
      <c r="E2914" t="str">
        <f>IF(may[[#This Row],[ShiftCounter]]&gt;0, "Running", "Down")</f>
        <v>Running</v>
      </c>
    </row>
    <row r="2915" spans="1:5" x14ac:dyDescent="0.25">
      <c r="A2915" s="10">
        <v>44711</v>
      </c>
      <c r="B2915" s="11" t="s">
        <v>24</v>
      </c>
      <c r="C2915">
        <v>1772</v>
      </c>
      <c r="D2915" t="s">
        <v>8</v>
      </c>
      <c r="E2915" t="str">
        <f>IF(may[[#This Row],[ShiftCounter]]&gt;0, "Running", "Down")</f>
        <v>Running</v>
      </c>
    </row>
    <row r="2916" spans="1:5" x14ac:dyDescent="0.25">
      <c r="A2916" s="10">
        <v>44711</v>
      </c>
      <c r="B2916" s="11" t="s">
        <v>25</v>
      </c>
      <c r="C2916">
        <v>2164</v>
      </c>
      <c r="D2916" t="s">
        <v>6</v>
      </c>
      <c r="E2916" t="str">
        <f>IF(may[[#This Row],[ShiftCounter]]&gt;0, "Running", "Down")</f>
        <v>Running</v>
      </c>
    </row>
    <row r="2917" spans="1:5" x14ac:dyDescent="0.25">
      <c r="A2917" s="10">
        <v>44711</v>
      </c>
      <c r="B2917" s="11" t="s">
        <v>25</v>
      </c>
      <c r="C2917">
        <v>2048</v>
      </c>
      <c r="D2917" t="s">
        <v>7</v>
      </c>
      <c r="E2917" t="str">
        <f>IF(may[[#This Row],[ShiftCounter]]&gt;0, "Running", "Down")</f>
        <v>Running</v>
      </c>
    </row>
    <row r="2918" spans="1:5" x14ac:dyDescent="0.25">
      <c r="A2918" s="10">
        <v>44711</v>
      </c>
      <c r="B2918" s="11" t="s">
        <v>25</v>
      </c>
      <c r="C2918">
        <v>2041</v>
      </c>
      <c r="D2918" t="s">
        <v>8</v>
      </c>
      <c r="E2918" t="str">
        <f>IF(may[[#This Row],[ShiftCounter]]&gt;0, "Running", "Down")</f>
        <v>Running</v>
      </c>
    </row>
    <row r="2919" spans="1:5" x14ac:dyDescent="0.25">
      <c r="A2919" s="10">
        <v>44711</v>
      </c>
      <c r="B2919" s="11" t="s">
        <v>26</v>
      </c>
      <c r="C2919">
        <v>2007</v>
      </c>
      <c r="D2919" t="s">
        <v>6</v>
      </c>
      <c r="E2919" t="str">
        <f>IF(may[[#This Row],[ShiftCounter]]&gt;0, "Running", "Down")</f>
        <v>Running</v>
      </c>
    </row>
    <row r="2920" spans="1:5" x14ac:dyDescent="0.25">
      <c r="A2920" s="10">
        <v>44711</v>
      </c>
      <c r="B2920" s="11" t="s">
        <v>26</v>
      </c>
      <c r="C2920">
        <v>2047</v>
      </c>
      <c r="D2920" t="s">
        <v>7</v>
      </c>
      <c r="E2920" t="str">
        <f>IF(may[[#This Row],[ShiftCounter]]&gt;0, "Running", "Down")</f>
        <v>Running</v>
      </c>
    </row>
    <row r="2921" spans="1:5" x14ac:dyDescent="0.25">
      <c r="A2921" s="10">
        <v>44711</v>
      </c>
      <c r="B2921" s="11" t="s">
        <v>26</v>
      </c>
      <c r="C2921">
        <v>1867</v>
      </c>
      <c r="D2921" t="s">
        <v>8</v>
      </c>
      <c r="E2921" t="str">
        <f>IF(may[[#This Row],[ShiftCounter]]&gt;0, "Running", "Down")</f>
        <v>Running</v>
      </c>
    </row>
    <row r="2922" spans="1:5" x14ac:dyDescent="0.25">
      <c r="A2922" s="10">
        <v>44711</v>
      </c>
      <c r="B2922" s="11" t="s">
        <v>27</v>
      </c>
      <c r="C2922">
        <v>2206</v>
      </c>
      <c r="D2922" t="s">
        <v>6</v>
      </c>
      <c r="E2922" t="str">
        <f>IF(may[[#This Row],[ShiftCounter]]&gt;0, "Running", "Down")</f>
        <v>Running</v>
      </c>
    </row>
    <row r="2923" spans="1:5" x14ac:dyDescent="0.25">
      <c r="A2923" s="10">
        <v>44711</v>
      </c>
      <c r="B2923" s="11" t="s">
        <v>27</v>
      </c>
      <c r="C2923">
        <v>2245</v>
      </c>
      <c r="D2923" t="s">
        <v>7</v>
      </c>
      <c r="E2923" t="str">
        <f>IF(may[[#This Row],[ShiftCounter]]&gt;0, "Running", "Down")</f>
        <v>Running</v>
      </c>
    </row>
    <row r="2924" spans="1:5" x14ac:dyDescent="0.25">
      <c r="A2924" s="10">
        <v>44711</v>
      </c>
      <c r="B2924" s="11" t="s">
        <v>27</v>
      </c>
      <c r="C2924">
        <v>2057</v>
      </c>
      <c r="D2924" t="s">
        <v>8</v>
      </c>
      <c r="E2924" t="str">
        <f>IF(may[[#This Row],[ShiftCounter]]&gt;0, "Running", "Down")</f>
        <v>Running</v>
      </c>
    </row>
    <row r="2925" spans="1:5" x14ac:dyDescent="0.25">
      <c r="A2925" s="10">
        <v>44711</v>
      </c>
      <c r="B2925" s="11" t="s">
        <v>28</v>
      </c>
      <c r="C2925">
        <v>2159</v>
      </c>
      <c r="D2925" t="s">
        <v>6</v>
      </c>
      <c r="E2925" t="str">
        <f>IF(may[[#This Row],[ShiftCounter]]&gt;0, "Running", "Down")</f>
        <v>Running</v>
      </c>
    </row>
    <row r="2926" spans="1:5" x14ac:dyDescent="0.25">
      <c r="A2926" s="10">
        <v>44711</v>
      </c>
      <c r="B2926" s="11" t="s">
        <v>28</v>
      </c>
      <c r="C2926">
        <v>2162</v>
      </c>
      <c r="D2926" t="s">
        <v>7</v>
      </c>
      <c r="E2926" t="str">
        <f>IF(may[[#This Row],[ShiftCounter]]&gt;0, "Running", "Down")</f>
        <v>Running</v>
      </c>
    </row>
    <row r="2927" spans="1:5" x14ac:dyDescent="0.25">
      <c r="A2927" s="10">
        <v>44711</v>
      </c>
      <c r="B2927" s="11" t="s">
        <v>28</v>
      </c>
      <c r="C2927">
        <v>1983</v>
      </c>
      <c r="D2927" t="s">
        <v>8</v>
      </c>
      <c r="E2927" t="str">
        <f>IF(may[[#This Row],[ShiftCounter]]&gt;0, "Running", "Down")</f>
        <v>Running</v>
      </c>
    </row>
    <row r="2928" spans="1:5" x14ac:dyDescent="0.25">
      <c r="A2928" s="10">
        <v>44711</v>
      </c>
      <c r="B2928" s="11" t="s">
        <v>29</v>
      </c>
      <c r="C2928">
        <v>1989</v>
      </c>
      <c r="D2928" t="s">
        <v>6</v>
      </c>
      <c r="E2928" t="str">
        <f>IF(may[[#This Row],[ShiftCounter]]&gt;0, "Running", "Down")</f>
        <v>Running</v>
      </c>
    </row>
    <row r="2929" spans="1:5" x14ac:dyDescent="0.25">
      <c r="A2929" s="10">
        <v>44711</v>
      </c>
      <c r="B2929" s="11" t="s">
        <v>29</v>
      </c>
      <c r="C2929">
        <v>2014</v>
      </c>
      <c r="D2929" t="s">
        <v>7</v>
      </c>
      <c r="E2929" t="str">
        <f>IF(may[[#This Row],[ShiftCounter]]&gt;0, "Running", "Down")</f>
        <v>Running</v>
      </c>
    </row>
    <row r="2930" spans="1:5" x14ac:dyDescent="0.25">
      <c r="A2930" s="10">
        <v>44711</v>
      </c>
      <c r="B2930" s="11" t="s">
        <v>29</v>
      </c>
      <c r="C2930">
        <v>1824</v>
      </c>
      <c r="D2930" t="s">
        <v>8</v>
      </c>
      <c r="E2930" t="str">
        <f>IF(may[[#This Row],[ShiftCounter]]&gt;0, "Running", "Down")</f>
        <v>Running</v>
      </c>
    </row>
    <row r="2931" spans="1:5" x14ac:dyDescent="0.25">
      <c r="A2931" s="10">
        <v>44711</v>
      </c>
      <c r="B2931" s="11" t="s">
        <v>30</v>
      </c>
      <c r="C2931">
        <v>2818</v>
      </c>
      <c r="D2931" t="s">
        <v>6</v>
      </c>
      <c r="E2931" t="str">
        <f>IF(may[[#This Row],[ShiftCounter]]&gt;0, "Running", "Down")</f>
        <v>Running</v>
      </c>
    </row>
    <row r="2932" spans="1:5" x14ac:dyDescent="0.25">
      <c r="A2932" s="10">
        <v>44711</v>
      </c>
      <c r="B2932" s="11" t="s">
        <v>30</v>
      </c>
      <c r="C2932">
        <v>2188</v>
      </c>
      <c r="D2932" t="s">
        <v>7</v>
      </c>
      <c r="E2932" t="str">
        <f>IF(may[[#This Row],[ShiftCounter]]&gt;0, "Running", "Down")</f>
        <v>Running</v>
      </c>
    </row>
    <row r="2933" spans="1:5" x14ac:dyDescent="0.25">
      <c r="A2933" s="10">
        <v>44711</v>
      </c>
      <c r="B2933" s="11" t="s">
        <v>30</v>
      </c>
      <c r="C2933">
        <v>1949</v>
      </c>
      <c r="D2933" t="s">
        <v>8</v>
      </c>
      <c r="E2933" t="str">
        <f>IF(may[[#This Row],[ShiftCounter]]&gt;0, "Running", "Down")</f>
        <v>Running</v>
      </c>
    </row>
    <row r="2934" spans="1:5" x14ac:dyDescent="0.25">
      <c r="A2934" s="10">
        <v>44711</v>
      </c>
      <c r="B2934" s="11" t="s">
        <v>31</v>
      </c>
      <c r="C2934">
        <v>2041</v>
      </c>
      <c r="D2934" t="s">
        <v>6</v>
      </c>
      <c r="E2934" t="str">
        <f>IF(may[[#This Row],[ShiftCounter]]&gt;0, "Running", "Down")</f>
        <v>Running</v>
      </c>
    </row>
    <row r="2935" spans="1:5" x14ac:dyDescent="0.25">
      <c r="A2935" s="10">
        <v>44711</v>
      </c>
      <c r="B2935" s="11" t="s">
        <v>31</v>
      </c>
      <c r="C2935">
        <v>2239</v>
      </c>
      <c r="D2935" t="s">
        <v>7</v>
      </c>
      <c r="E2935" t="str">
        <f>IF(may[[#This Row],[ShiftCounter]]&gt;0, "Running", "Down")</f>
        <v>Running</v>
      </c>
    </row>
    <row r="2936" spans="1:5" x14ac:dyDescent="0.25">
      <c r="A2936" s="10">
        <v>44711</v>
      </c>
      <c r="B2936" s="11" t="s">
        <v>31</v>
      </c>
      <c r="C2936">
        <v>2012</v>
      </c>
      <c r="D2936" t="s">
        <v>8</v>
      </c>
      <c r="E2936" t="str">
        <f>IF(may[[#This Row],[ShiftCounter]]&gt;0, "Running", "Down")</f>
        <v>Running</v>
      </c>
    </row>
    <row r="2937" spans="1:5" x14ac:dyDescent="0.25">
      <c r="A2937" s="10">
        <v>44711</v>
      </c>
      <c r="B2937" s="11" t="s">
        <v>32</v>
      </c>
      <c r="C2937">
        <v>2227</v>
      </c>
      <c r="D2937" t="s">
        <v>6</v>
      </c>
      <c r="E2937" t="str">
        <f>IF(may[[#This Row],[ShiftCounter]]&gt;0, "Running", "Down")</f>
        <v>Running</v>
      </c>
    </row>
    <row r="2938" spans="1:5" x14ac:dyDescent="0.25">
      <c r="A2938" s="10">
        <v>44711</v>
      </c>
      <c r="B2938" s="11" t="s">
        <v>32</v>
      </c>
      <c r="C2938">
        <v>2176</v>
      </c>
      <c r="D2938" t="s">
        <v>7</v>
      </c>
      <c r="E2938" t="str">
        <f>IF(may[[#This Row],[ShiftCounter]]&gt;0, "Running", "Down")</f>
        <v>Running</v>
      </c>
    </row>
    <row r="2939" spans="1:5" x14ac:dyDescent="0.25">
      <c r="A2939" s="10">
        <v>44711</v>
      </c>
      <c r="B2939" s="11" t="s">
        <v>32</v>
      </c>
      <c r="C2939">
        <v>2040</v>
      </c>
      <c r="D2939" t="s">
        <v>8</v>
      </c>
      <c r="E2939" t="str">
        <f>IF(may[[#This Row],[ShiftCounter]]&gt;0, "Running", "Down")</f>
        <v>Running</v>
      </c>
    </row>
    <row r="2940" spans="1:5" x14ac:dyDescent="0.25">
      <c r="A2940" s="10">
        <v>44711</v>
      </c>
      <c r="B2940" s="11" t="s">
        <v>33</v>
      </c>
      <c r="C2940">
        <v>2484</v>
      </c>
      <c r="D2940" t="s">
        <v>6</v>
      </c>
      <c r="E2940" t="str">
        <f>IF(may[[#This Row],[ShiftCounter]]&gt;0, "Running", "Down")</f>
        <v>Running</v>
      </c>
    </row>
    <row r="2941" spans="1:5" x14ac:dyDescent="0.25">
      <c r="A2941" s="10">
        <v>44711</v>
      </c>
      <c r="B2941" s="11" t="s">
        <v>33</v>
      </c>
      <c r="C2941">
        <v>2506</v>
      </c>
      <c r="D2941" t="s">
        <v>7</v>
      </c>
      <c r="E2941" t="str">
        <f>IF(may[[#This Row],[ShiftCounter]]&gt;0, "Running", "Down")</f>
        <v>Running</v>
      </c>
    </row>
    <row r="2942" spans="1:5" x14ac:dyDescent="0.25">
      <c r="A2942" s="10">
        <v>44711</v>
      </c>
      <c r="B2942" s="11" t="s">
        <v>33</v>
      </c>
      <c r="C2942">
        <v>2253</v>
      </c>
      <c r="D2942" t="s">
        <v>8</v>
      </c>
      <c r="E2942" t="str">
        <f>IF(may[[#This Row],[ShiftCounter]]&gt;0, "Running", "Down")</f>
        <v>Running</v>
      </c>
    </row>
    <row r="2943" spans="1:5" x14ac:dyDescent="0.25">
      <c r="A2943" s="10">
        <v>44711</v>
      </c>
      <c r="B2943" s="11" t="s">
        <v>35</v>
      </c>
      <c r="C2943">
        <v>2220</v>
      </c>
      <c r="D2943" t="s">
        <v>6</v>
      </c>
      <c r="E2943" t="str">
        <f>IF(may[[#This Row],[ShiftCounter]]&gt;0, "Running", "Down")</f>
        <v>Running</v>
      </c>
    </row>
    <row r="2944" spans="1:5" x14ac:dyDescent="0.25">
      <c r="A2944" s="10">
        <v>44711</v>
      </c>
      <c r="B2944" s="11" t="s">
        <v>35</v>
      </c>
      <c r="C2944">
        <v>2243</v>
      </c>
      <c r="D2944" t="s">
        <v>7</v>
      </c>
      <c r="E2944" t="str">
        <f>IF(may[[#This Row],[ShiftCounter]]&gt;0, "Running", "Down")</f>
        <v>Running</v>
      </c>
    </row>
    <row r="2945" spans="1:5" x14ac:dyDescent="0.25">
      <c r="A2945" s="10">
        <v>44711</v>
      </c>
      <c r="B2945" s="11" t="s">
        <v>35</v>
      </c>
      <c r="C2945">
        <v>2021</v>
      </c>
      <c r="D2945" t="s">
        <v>8</v>
      </c>
      <c r="E2945" t="str">
        <f>IF(may[[#This Row],[ShiftCounter]]&gt;0, "Running", "Down")</f>
        <v>Running</v>
      </c>
    </row>
    <row r="2946" spans="1:5" x14ac:dyDescent="0.25">
      <c r="A2946" s="10">
        <v>44711</v>
      </c>
      <c r="B2946" s="11" t="s">
        <v>34</v>
      </c>
      <c r="C2946">
        <v>2032</v>
      </c>
      <c r="D2946" t="s">
        <v>6</v>
      </c>
      <c r="E2946" t="str">
        <f>IF(may[[#This Row],[ShiftCounter]]&gt;0, "Running", "Down")</f>
        <v>Running</v>
      </c>
    </row>
    <row r="2947" spans="1:5" x14ac:dyDescent="0.25">
      <c r="A2947" s="10">
        <v>44711</v>
      </c>
      <c r="B2947" s="11" t="s">
        <v>34</v>
      </c>
      <c r="C2947">
        <v>2039</v>
      </c>
      <c r="D2947" t="s">
        <v>7</v>
      </c>
      <c r="E2947" t="str">
        <f>IF(may[[#This Row],[ShiftCounter]]&gt;0, "Running", "Down")</f>
        <v>Running</v>
      </c>
    </row>
    <row r="2948" spans="1:5" x14ac:dyDescent="0.25">
      <c r="A2948" s="10">
        <v>44711</v>
      </c>
      <c r="B2948" s="11" t="s">
        <v>34</v>
      </c>
      <c r="C2948">
        <v>1844</v>
      </c>
      <c r="D2948" t="s">
        <v>8</v>
      </c>
      <c r="E2948" t="str">
        <f>IF(may[[#This Row],[ShiftCounter]]&gt;0, "Running", "Down")</f>
        <v>Running</v>
      </c>
    </row>
    <row r="2949" spans="1:5" x14ac:dyDescent="0.25">
      <c r="A2949" s="10">
        <v>44711</v>
      </c>
      <c r="B2949" s="11" t="s">
        <v>36</v>
      </c>
      <c r="C2949">
        <v>2331</v>
      </c>
      <c r="D2949" t="s">
        <v>6</v>
      </c>
      <c r="E2949" t="str">
        <f>IF(may[[#This Row],[ShiftCounter]]&gt;0, "Running", "Down")</f>
        <v>Running</v>
      </c>
    </row>
    <row r="2950" spans="1:5" x14ac:dyDescent="0.25">
      <c r="A2950" s="10">
        <v>44711</v>
      </c>
      <c r="B2950" s="11" t="s">
        <v>36</v>
      </c>
      <c r="C2950">
        <v>2421</v>
      </c>
      <c r="D2950" t="s">
        <v>7</v>
      </c>
      <c r="E2950" t="str">
        <f>IF(may[[#This Row],[ShiftCounter]]&gt;0, "Running", "Down")</f>
        <v>Running</v>
      </c>
    </row>
    <row r="2951" spans="1:5" x14ac:dyDescent="0.25">
      <c r="A2951" s="10">
        <v>44711</v>
      </c>
      <c r="B2951" s="11" t="s">
        <v>36</v>
      </c>
      <c r="C2951">
        <v>2170</v>
      </c>
      <c r="D2951" t="s">
        <v>8</v>
      </c>
      <c r="E2951" t="str">
        <f>IF(may[[#This Row],[ShiftCounter]]&gt;0, "Running", "Down")</f>
        <v>Running</v>
      </c>
    </row>
    <row r="2952" spans="1:5" x14ac:dyDescent="0.25">
      <c r="A2952" s="10">
        <v>44711</v>
      </c>
      <c r="B2952" s="11" t="s">
        <v>37</v>
      </c>
      <c r="C2952">
        <v>2341</v>
      </c>
      <c r="D2952" t="s">
        <v>6</v>
      </c>
      <c r="E2952" t="str">
        <f>IF(may[[#This Row],[ShiftCounter]]&gt;0, "Running", "Down")</f>
        <v>Running</v>
      </c>
    </row>
    <row r="2953" spans="1:5" x14ac:dyDescent="0.25">
      <c r="A2953" s="10">
        <v>44711</v>
      </c>
      <c r="B2953" s="11" t="s">
        <v>37</v>
      </c>
      <c r="C2953">
        <v>2243</v>
      </c>
      <c r="D2953" t="s">
        <v>7</v>
      </c>
      <c r="E2953" t="str">
        <f>IF(may[[#This Row],[ShiftCounter]]&gt;0, "Running", "Down")</f>
        <v>Running</v>
      </c>
    </row>
    <row r="2954" spans="1:5" x14ac:dyDescent="0.25">
      <c r="A2954" s="10">
        <v>44711</v>
      </c>
      <c r="B2954" s="11" t="s">
        <v>37</v>
      </c>
      <c r="C2954">
        <v>2093</v>
      </c>
      <c r="D2954" t="s">
        <v>8</v>
      </c>
      <c r="E2954" t="str">
        <f>IF(may[[#This Row],[ShiftCounter]]&gt;0, "Running", "Down")</f>
        <v>Running</v>
      </c>
    </row>
    <row r="2955" spans="1:5" x14ac:dyDescent="0.25">
      <c r="A2955" s="10">
        <v>44712</v>
      </c>
      <c r="B2955" s="11" t="s">
        <v>135</v>
      </c>
      <c r="C2955">
        <v>0</v>
      </c>
      <c r="D2955" t="s">
        <v>6</v>
      </c>
      <c r="E2955" t="str">
        <f>IF(may[[#This Row],[ShiftCounter]]&gt;0, "Running", "Down")</f>
        <v>Down</v>
      </c>
    </row>
    <row r="2956" spans="1:5" x14ac:dyDescent="0.25">
      <c r="A2956" s="10">
        <v>44712</v>
      </c>
      <c r="B2956" s="11" t="s">
        <v>135</v>
      </c>
      <c r="C2956">
        <v>1795</v>
      </c>
      <c r="D2956" t="s">
        <v>7</v>
      </c>
      <c r="E2956" t="str">
        <f>IF(may[[#This Row],[ShiftCounter]]&gt;0, "Running", "Down")</f>
        <v>Running</v>
      </c>
    </row>
    <row r="2957" spans="1:5" x14ac:dyDescent="0.25">
      <c r="A2957" s="10">
        <v>44712</v>
      </c>
      <c r="B2957" s="11" t="s">
        <v>135</v>
      </c>
      <c r="C2957">
        <v>1805</v>
      </c>
      <c r="D2957" t="s">
        <v>8</v>
      </c>
      <c r="E2957" t="str">
        <f>IF(may[[#This Row],[ShiftCounter]]&gt;0, "Running", "Down")</f>
        <v>Running</v>
      </c>
    </row>
    <row r="2958" spans="1:5" x14ac:dyDescent="0.25">
      <c r="A2958" s="10">
        <v>44712</v>
      </c>
      <c r="B2958" s="11" t="s">
        <v>39</v>
      </c>
      <c r="C2958">
        <v>1572</v>
      </c>
      <c r="D2958" t="s">
        <v>6</v>
      </c>
      <c r="E2958" t="str">
        <f>IF(may[[#This Row],[ShiftCounter]]&gt;0, "Running", "Down")</f>
        <v>Running</v>
      </c>
    </row>
    <row r="2959" spans="1:5" x14ac:dyDescent="0.25">
      <c r="A2959" s="10">
        <v>44712</v>
      </c>
      <c r="B2959" s="11" t="s">
        <v>39</v>
      </c>
      <c r="C2959">
        <v>1785</v>
      </c>
      <c r="D2959" t="s">
        <v>7</v>
      </c>
      <c r="E2959" t="str">
        <f>IF(may[[#This Row],[ShiftCounter]]&gt;0, "Running", "Down")</f>
        <v>Running</v>
      </c>
    </row>
    <row r="2960" spans="1:5" x14ac:dyDescent="0.25">
      <c r="A2960" s="10">
        <v>44712</v>
      </c>
      <c r="B2960" s="11" t="s">
        <v>39</v>
      </c>
      <c r="C2960">
        <v>1883</v>
      </c>
      <c r="D2960" t="s">
        <v>8</v>
      </c>
      <c r="E2960" t="str">
        <f>IF(may[[#This Row],[ShiftCounter]]&gt;0, "Running", "Down")</f>
        <v>Running</v>
      </c>
    </row>
    <row r="2961" spans="1:5" x14ac:dyDescent="0.25">
      <c r="A2961" s="10">
        <v>44712</v>
      </c>
      <c r="B2961" s="11" t="s">
        <v>40</v>
      </c>
      <c r="C2961">
        <v>1643</v>
      </c>
      <c r="D2961" t="s">
        <v>6</v>
      </c>
      <c r="E2961" t="str">
        <f>IF(may[[#This Row],[ShiftCounter]]&gt;0, "Running", "Down")</f>
        <v>Running</v>
      </c>
    </row>
    <row r="2962" spans="1:5" x14ac:dyDescent="0.25">
      <c r="A2962" s="10">
        <v>44712</v>
      </c>
      <c r="B2962" s="11" t="s">
        <v>40</v>
      </c>
      <c r="C2962">
        <v>362</v>
      </c>
      <c r="D2962" t="s">
        <v>7</v>
      </c>
      <c r="E2962" t="str">
        <f>IF(may[[#This Row],[ShiftCounter]]&gt;0, "Running", "Down")</f>
        <v>Running</v>
      </c>
    </row>
    <row r="2963" spans="1:5" x14ac:dyDescent="0.25">
      <c r="A2963" s="10">
        <v>44712</v>
      </c>
      <c r="B2963" s="11" t="s">
        <v>40</v>
      </c>
      <c r="C2963">
        <v>0</v>
      </c>
      <c r="D2963" t="s">
        <v>8</v>
      </c>
      <c r="E2963" t="str">
        <f>IF(may[[#This Row],[ShiftCounter]]&gt;0, "Running", "Down")</f>
        <v>Down</v>
      </c>
    </row>
    <row r="2964" spans="1:5" x14ac:dyDescent="0.25">
      <c r="A2964" s="10">
        <v>44712</v>
      </c>
      <c r="B2964" s="11" t="s">
        <v>41</v>
      </c>
      <c r="C2964">
        <v>2330</v>
      </c>
      <c r="D2964" t="s">
        <v>6</v>
      </c>
      <c r="E2964" t="str">
        <f>IF(may[[#This Row],[ShiftCounter]]&gt;0, "Running", "Down")</f>
        <v>Running</v>
      </c>
    </row>
    <row r="2965" spans="1:5" x14ac:dyDescent="0.25">
      <c r="A2965" s="10">
        <v>44712</v>
      </c>
      <c r="B2965" s="11" t="s">
        <v>41</v>
      </c>
      <c r="C2965">
        <v>2345</v>
      </c>
      <c r="D2965" t="s">
        <v>7</v>
      </c>
      <c r="E2965" t="str">
        <f>IF(may[[#This Row],[ShiftCounter]]&gt;0, "Running", "Down")</f>
        <v>Running</v>
      </c>
    </row>
    <row r="2966" spans="1:5" x14ac:dyDescent="0.25">
      <c r="A2966" s="10">
        <v>44712</v>
      </c>
      <c r="B2966" s="11" t="s">
        <v>41</v>
      </c>
      <c r="C2966">
        <v>2057</v>
      </c>
      <c r="D2966" t="s">
        <v>8</v>
      </c>
      <c r="E2966" t="str">
        <f>IF(may[[#This Row],[ShiftCounter]]&gt;0, "Running", "Down")</f>
        <v>Running</v>
      </c>
    </row>
    <row r="2967" spans="1:5" x14ac:dyDescent="0.25">
      <c r="A2967" s="10">
        <v>44712</v>
      </c>
      <c r="B2967" s="11" t="s">
        <v>5</v>
      </c>
      <c r="C2967">
        <v>2265</v>
      </c>
      <c r="D2967" t="s">
        <v>6</v>
      </c>
      <c r="E2967" t="str">
        <f>IF(may[[#This Row],[ShiftCounter]]&gt;0, "Running", "Down")</f>
        <v>Running</v>
      </c>
    </row>
    <row r="2968" spans="1:5" x14ac:dyDescent="0.25">
      <c r="A2968" s="10">
        <v>44712</v>
      </c>
      <c r="B2968" s="11" t="s">
        <v>5</v>
      </c>
      <c r="C2968">
        <v>2247</v>
      </c>
      <c r="D2968" t="s">
        <v>7</v>
      </c>
      <c r="E2968" t="str">
        <f>IF(may[[#This Row],[ShiftCounter]]&gt;0, "Running", "Down")</f>
        <v>Running</v>
      </c>
    </row>
    <row r="2969" spans="1:5" x14ac:dyDescent="0.25">
      <c r="A2969" s="10">
        <v>44712</v>
      </c>
      <c r="B2969" s="11" t="s">
        <v>5</v>
      </c>
      <c r="C2969">
        <v>2042</v>
      </c>
      <c r="D2969" t="s">
        <v>8</v>
      </c>
      <c r="E2969" t="str">
        <f>IF(may[[#This Row],[ShiftCounter]]&gt;0, "Running", "Down")</f>
        <v>Running</v>
      </c>
    </row>
    <row r="2970" spans="1:5" x14ac:dyDescent="0.25">
      <c r="A2970" s="10">
        <v>44712</v>
      </c>
      <c r="B2970" s="11" t="s">
        <v>9</v>
      </c>
      <c r="C2970">
        <v>2323</v>
      </c>
      <c r="D2970" t="s">
        <v>6</v>
      </c>
      <c r="E2970" t="str">
        <f>IF(may[[#This Row],[ShiftCounter]]&gt;0, "Running", "Down")</f>
        <v>Running</v>
      </c>
    </row>
    <row r="2971" spans="1:5" x14ac:dyDescent="0.25">
      <c r="A2971" s="10">
        <v>44712</v>
      </c>
      <c r="B2971" s="11" t="s">
        <v>9</v>
      </c>
      <c r="C2971">
        <v>2347</v>
      </c>
      <c r="D2971" t="s">
        <v>7</v>
      </c>
      <c r="E2971" t="str">
        <f>IF(may[[#This Row],[ShiftCounter]]&gt;0, "Running", "Down")</f>
        <v>Running</v>
      </c>
    </row>
    <row r="2972" spans="1:5" x14ac:dyDescent="0.25">
      <c r="A2972" s="10">
        <v>44712</v>
      </c>
      <c r="B2972" s="11" t="s">
        <v>9</v>
      </c>
      <c r="C2972">
        <v>2253</v>
      </c>
      <c r="D2972" t="s">
        <v>8</v>
      </c>
      <c r="E2972" t="str">
        <f>IF(may[[#This Row],[ShiftCounter]]&gt;0, "Running", "Down")</f>
        <v>Running</v>
      </c>
    </row>
    <row r="2973" spans="1:5" x14ac:dyDescent="0.25">
      <c r="A2973" s="10">
        <v>44712</v>
      </c>
      <c r="B2973" s="11" t="s">
        <v>10</v>
      </c>
      <c r="C2973">
        <v>2352</v>
      </c>
      <c r="D2973" t="s">
        <v>6</v>
      </c>
      <c r="E2973" t="str">
        <f>IF(may[[#This Row],[ShiftCounter]]&gt;0, "Running", "Down")</f>
        <v>Running</v>
      </c>
    </row>
    <row r="2974" spans="1:5" x14ac:dyDescent="0.25">
      <c r="A2974" s="10">
        <v>44712</v>
      </c>
      <c r="B2974" s="11" t="s">
        <v>10</v>
      </c>
      <c r="C2974">
        <v>2374</v>
      </c>
      <c r="D2974" t="s">
        <v>7</v>
      </c>
      <c r="E2974" t="str">
        <f>IF(may[[#This Row],[ShiftCounter]]&gt;0, "Running", "Down")</f>
        <v>Running</v>
      </c>
    </row>
    <row r="2975" spans="1:5" x14ac:dyDescent="0.25">
      <c r="A2975" s="10">
        <v>44712</v>
      </c>
      <c r="B2975" s="11" t="s">
        <v>10</v>
      </c>
      <c r="C2975">
        <v>2057</v>
      </c>
      <c r="D2975" t="s">
        <v>8</v>
      </c>
      <c r="E2975" t="str">
        <f>IF(may[[#This Row],[ShiftCounter]]&gt;0, "Running", "Down")</f>
        <v>Running</v>
      </c>
    </row>
    <row r="2976" spans="1:5" x14ac:dyDescent="0.25">
      <c r="A2976" s="10">
        <v>44712</v>
      </c>
      <c r="B2976" s="11" t="s">
        <v>12</v>
      </c>
      <c r="C2976">
        <v>2354</v>
      </c>
      <c r="D2976" t="s">
        <v>6</v>
      </c>
      <c r="E2976" t="str">
        <f>IF(may[[#This Row],[ShiftCounter]]&gt;0, "Running", "Down")</f>
        <v>Running</v>
      </c>
    </row>
    <row r="2977" spans="1:5" x14ac:dyDescent="0.25">
      <c r="A2977" s="10">
        <v>44712</v>
      </c>
      <c r="B2977" s="11" t="s">
        <v>12</v>
      </c>
      <c r="C2977">
        <v>2255</v>
      </c>
      <c r="D2977" t="s">
        <v>7</v>
      </c>
      <c r="E2977" t="str">
        <f>IF(may[[#This Row],[ShiftCounter]]&gt;0, "Running", "Down")</f>
        <v>Running</v>
      </c>
    </row>
    <row r="2978" spans="1:5" x14ac:dyDescent="0.25">
      <c r="A2978" s="10">
        <v>44712</v>
      </c>
      <c r="B2978" s="11" t="s">
        <v>12</v>
      </c>
      <c r="C2978">
        <v>1954</v>
      </c>
      <c r="D2978" t="s">
        <v>8</v>
      </c>
      <c r="E2978" t="str">
        <f>IF(may[[#This Row],[ShiftCounter]]&gt;0, "Running", "Down")</f>
        <v>Running</v>
      </c>
    </row>
    <row r="2979" spans="1:5" x14ac:dyDescent="0.25">
      <c r="A2979" s="10">
        <v>44712</v>
      </c>
      <c r="B2979" s="11" t="s">
        <v>105</v>
      </c>
      <c r="C2979">
        <v>2235</v>
      </c>
      <c r="D2979" t="s">
        <v>6</v>
      </c>
      <c r="E2979" t="str">
        <f>IF(may[[#This Row],[ShiftCounter]]&gt;0, "Running", "Down")</f>
        <v>Running</v>
      </c>
    </row>
    <row r="2980" spans="1:5" x14ac:dyDescent="0.25">
      <c r="A2980" s="10">
        <v>44712</v>
      </c>
      <c r="B2980" s="11" t="s">
        <v>105</v>
      </c>
      <c r="C2980">
        <v>2165</v>
      </c>
      <c r="D2980" t="s">
        <v>7</v>
      </c>
      <c r="E2980" t="str">
        <f>IF(may[[#This Row],[ShiftCounter]]&gt;0, "Running", "Down")</f>
        <v>Running</v>
      </c>
    </row>
    <row r="2981" spans="1:5" x14ac:dyDescent="0.25">
      <c r="A2981" s="10">
        <v>44712</v>
      </c>
      <c r="B2981" s="11" t="s">
        <v>105</v>
      </c>
      <c r="C2981">
        <v>1906</v>
      </c>
      <c r="D2981" t="s">
        <v>8</v>
      </c>
      <c r="E2981" t="str">
        <f>IF(may[[#This Row],[ShiftCounter]]&gt;0, "Running", "Down")</f>
        <v>Running</v>
      </c>
    </row>
    <row r="2982" spans="1:5" x14ac:dyDescent="0.25">
      <c r="A2982" s="10">
        <v>44712</v>
      </c>
      <c r="B2982" s="11" t="s">
        <v>13</v>
      </c>
      <c r="C2982">
        <v>2108</v>
      </c>
      <c r="D2982" t="s">
        <v>6</v>
      </c>
      <c r="E2982" t="str">
        <f>IF(may[[#This Row],[ShiftCounter]]&gt;0, "Running", "Down")</f>
        <v>Running</v>
      </c>
    </row>
    <row r="2983" spans="1:5" x14ac:dyDescent="0.25">
      <c r="A2983" s="10">
        <v>44712</v>
      </c>
      <c r="B2983" s="11" t="s">
        <v>13</v>
      </c>
      <c r="C2983">
        <v>2118</v>
      </c>
      <c r="D2983" t="s">
        <v>7</v>
      </c>
      <c r="E2983" t="str">
        <f>IF(may[[#This Row],[ShiftCounter]]&gt;0, "Running", "Down")</f>
        <v>Running</v>
      </c>
    </row>
    <row r="2984" spans="1:5" x14ac:dyDescent="0.25">
      <c r="A2984" s="10">
        <v>44712</v>
      </c>
      <c r="B2984" s="11" t="s">
        <v>13</v>
      </c>
      <c r="C2984">
        <v>1818</v>
      </c>
      <c r="D2984" t="s">
        <v>8</v>
      </c>
      <c r="E2984" t="str">
        <f>IF(may[[#This Row],[ShiftCounter]]&gt;0, "Running", "Down")</f>
        <v>Running</v>
      </c>
    </row>
    <row r="2985" spans="1:5" x14ac:dyDescent="0.25">
      <c r="A2985" s="10">
        <v>44712</v>
      </c>
      <c r="B2985" s="11" t="s">
        <v>101</v>
      </c>
      <c r="C2985">
        <v>1840</v>
      </c>
      <c r="D2985" t="s">
        <v>6</v>
      </c>
      <c r="E2985" t="str">
        <f>IF(may[[#This Row],[ShiftCounter]]&gt;0, "Running", "Down")</f>
        <v>Running</v>
      </c>
    </row>
    <row r="2986" spans="1:5" x14ac:dyDescent="0.25">
      <c r="A2986" s="10">
        <v>44712</v>
      </c>
      <c r="B2986" s="11" t="s">
        <v>101</v>
      </c>
      <c r="C2986">
        <v>2052</v>
      </c>
      <c r="D2986" t="s">
        <v>7</v>
      </c>
      <c r="E2986" t="str">
        <f>IF(may[[#This Row],[ShiftCounter]]&gt;0, "Running", "Down")</f>
        <v>Running</v>
      </c>
    </row>
    <row r="2987" spans="1:5" x14ac:dyDescent="0.25">
      <c r="A2987" s="10">
        <v>44712</v>
      </c>
      <c r="B2987" s="11" t="s">
        <v>101</v>
      </c>
      <c r="C2987">
        <v>1750</v>
      </c>
      <c r="D2987" t="s">
        <v>8</v>
      </c>
      <c r="E2987" t="str">
        <f>IF(may[[#This Row],[ShiftCounter]]&gt;0, "Running", "Down")</f>
        <v>Running</v>
      </c>
    </row>
    <row r="2988" spans="1:5" x14ac:dyDescent="0.25">
      <c r="A2988" s="10">
        <v>44712</v>
      </c>
      <c r="B2988" s="11" t="s">
        <v>14</v>
      </c>
      <c r="C2988">
        <v>1789</v>
      </c>
      <c r="D2988" t="s">
        <v>6</v>
      </c>
      <c r="E2988" t="str">
        <f>IF(may[[#This Row],[ShiftCounter]]&gt;0, "Running", "Down")</f>
        <v>Running</v>
      </c>
    </row>
    <row r="2989" spans="1:5" x14ac:dyDescent="0.25">
      <c r="A2989" s="10">
        <v>44712</v>
      </c>
      <c r="B2989" s="11" t="s">
        <v>14</v>
      </c>
      <c r="C2989">
        <v>1830</v>
      </c>
      <c r="D2989" t="s">
        <v>7</v>
      </c>
      <c r="E2989" t="str">
        <f>IF(may[[#This Row],[ShiftCounter]]&gt;0, "Running", "Down")</f>
        <v>Running</v>
      </c>
    </row>
    <row r="2990" spans="1:5" x14ac:dyDescent="0.25">
      <c r="A2990" s="10">
        <v>44712</v>
      </c>
      <c r="B2990" s="11" t="s">
        <v>14</v>
      </c>
      <c r="C2990">
        <v>1550</v>
      </c>
      <c r="D2990" t="s">
        <v>8</v>
      </c>
      <c r="E2990" t="str">
        <f>IF(may[[#This Row],[ShiftCounter]]&gt;0, "Running", "Down")</f>
        <v>Running</v>
      </c>
    </row>
    <row r="2991" spans="1:5" x14ac:dyDescent="0.25">
      <c r="A2991" s="10">
        <v>44712</v>
      </c>
      <c r="B2991" s="11" t="s">
        <v>15</v>
      </c>
      <c r="C2991">
        <v>500</v>
      </c>
      <c r="D2991" t="s">
        <v>6</v>
      </c>
      <c r="E2991" t="str">
        <f>IF(may[[#This Row],[ShiftCounter]]&gt;0, "Running", "Down")</f>
        <v>Running</v>
      </c>
    </row>
    <row r="2992" spans="1:5" x14ac:dyDescent="0.25">
      <c r="A2992" s="10">
        <v>44712</v>
      </c>
      <c r="B2992" s="11" t="s">
        <v>15</v>
      </c>
      <c r="C2992">
        <v>2115</v>
      </c>
      <c r="D2992" t="s">
        <v>7</v>
      </c>
      <c r="E2992" t="str">
        <f>IF(may[[#This Row],[ShiftCounter]]&gt;0, "Running", "Down")</f>
        <v>Running</v>
      </c>
    </row>
    <row r="2993" spans="1:5" x14ac:dyDescent="0.25">
      <c r="A2993" s="10">
        <v>44712</v>
      </c>
      <c r="B2993" s="11" t="s">
        <v>15</v>
      </c>
      <c r="C2993">
        <v>1800</v>
      </c>
      <c r="D2993" t="s">
        <v>8</v>
      </c>
      <c r="E2993" t="str">
        <f>IF(may[[#This Row],[ShiftCounter]]&gt;0, "Running", "Down")</f>
        <v>Running</v>
      </c>
    </row>
    <row r="2994" spans="1:5" x14ac:dyDescent="0.25">
      <c r="A2994" s="10">
        <v>44712</v>
      </c>
      <c r="B2994" s="11" t="s">
        <v>16</v>
      </c>
      <c r="C2994">
        <v>1789</v>
      </c>
      <c r="D2994" t="s">
        <v>6</v>
      </c>
      <c r="E2994" t="str">
        <f>IF(may[[#This Row],[ShiftCounter]]&gt;0, "Running", "Down")</f>
        <v>Running</v>
      </c>
    </row>
    <row r="2995" spans="1:5" x14ac:dyDescent="0.25">
      <c r="A2995" s="10">
        <v>44712</v>
      </c>
      <c r="B2995" s="11" t="s">
        <v>16</v>
      </c>
      <c r="C2995">
        <v>2216</v>
      </c>
      <c r="D2995" t="s">
        <v>7</v>
      </c>
      <c r="E2995" t="str">
        <f>IF(may[[#This Row],[ShiftCounter]]&gt;0, "Running", "Down")</f>
        <v>Running</v>
      </c>
    </row>
    <row r="2996" spans="1:5" x14ac:dyDescent="0.25">
      <c r="A2996" s="10">
        <v>44712</v>
      </c>
      <c r="B2996" s="11" t="s">
        <v>16</v>
      </c>
      <c r="C2996">
        <v>1971</v>
      </c>
      <c r="D2996" t="s">
        <v>8</v>
      </c>
      <c r="E2996" t="str">
        <f>IF(may[[#This Row],[ShiftCounter]]&gt;0, "Running", "Down")</f>
        <v>Running</v>
      </c>
    </row>
    <row r="2997" spans="1:5" x14ac:dyDescent="0.25">
      <c r="A2997" s="10">
        <v>44712</v>
      </c>
      <c r="B2997" s="11" t="s">
        <v>17</v>
      </c>
      <c r="C2997">
        <v>2327</v>
      </c>
      <c r="D2997" t="s">
        <v>6</v>
      </c>
      <c r="E2997" t="str">
        <f>IF(may[[#This Row],[ShiftCounter]]&gt;0, "Running", "Down")</f>
        <v>Running</v>
      </c>
    </row>
    <row r="2998" spans="1:5" x14ac:dyDescent="0.25">
      <c r="A2998" s="10">
        <v>44712</v>
      </c>
      <c r="B2998" s="11" t="s">
        <v>17</v>
      </c>
      <c r="C2998">
        <v>2415</v>
      </c>
      <c r="D2998" t="s">
        <v>7</v>
      </c>
      <c r="E2998" t="str">
        <f>IF(may[[#This Row],[ShiftCounter]]&gt;0, "Running", "Down")</f>
        <v>Running</v>
      </c>
    </row>
    <row r="2999" spans="1:5" x14ac:dyDescent="0.25">
      <c r="A2999" s="10">
        <v>44712</v>
      </c>
      <c r="B2999" s="11" t="s">
        <v>17</v>
      </c>
      <c r="C2999">
        <v>2096</v>
      </c>
      <c r="D2999" t="s">
        <v>8</v>
      </c>
      <c r="E2999" t="str">
        <f>IF(may[[#This Row],[ShiftCounter]]&gt;0, "Running", "Down")</f>
        <v>Running</v>
      </c>
    </row>
    <row r="3000" spans="1:5" x14ac:dyDescent="0.25">
      <c r="A3000" s="10">
        <v>44712</v>
      </c>
      <c r="B3000" s="11" t="s">
        <v>19</v>
      </c>
      <c r="C3000">
        <v>2616</v>
      </c>
      <c r="D3000" t="s">
        <v>6</v>
      </c>
      <c r="E3000" t="str">
        <f>IF(may[[#This Row],[ShiftCounter]]&gt;0, "Running", "Down")</f>
        <v>Running</v>
      </c>
    </row>
    <row r="3001" spans="1:5" x14ac:dyDescent="0.25">
      <c r="A3001" s="10">
        <v>44712</v>
      </c>
      <c r="B3001" s="11" t="s">
        <v>19</v>
      </c>
      <c r="C3001">
        <v>2210</v>
      </c>
      <c r="D3001" t="s">
        <v>7</v>
      </c>
      <c r="E3001" t="str">
        <f>IF(may[[#This Row],[ShiftCounter]]&gt;0, "Running", "Down")</f>
        <v>Running</v>
      </c>
    </row>
    <row r="3002" spans="1:5" x14ac:dyDescent="0.25">
      <c r="A3002" s="10">
        <v>44712</v>
      </c>
      <c r="B3002" s="11" t="s">
        <v>19</v>
      </c>
      <c r="C3002">
        <v>1884</v>
      </c>
      <c r="D3002" t="s">
        <v>8</v>
      </c>
      <c r="E3002" t="str">
        <f>IF(may[[#This Row],[ShiftCounter]]&gt;0, "Running", "Down")</f>
        <v>Running</v>
      </c>
    </row>
    <row r="3003" spans="1:5" x14ac:dyDescent="0.25">
      <c r="A3003" s="10">
        <v>44712</v>
      </c>
      <c r="B3003" s="11" t="s">
        <v>18</v>
      </c>
      <c r="C3003">
        <v>2358</v>
      </c>
      <c r="D3003" t="s">
        <v>6</v>
      </c>
      <c r="E3003" t="str">
        <f>IF(may[[#This Row],[ShiftCounter]]&gt;0, "Running", "Down")</f>
        <v>Running</v>
      </c>
    </row>
    <row r="3004" spans="1:5" x14ac:dyDescent="0.25">
      <c r="A3004" s="10">
        <v>44712</v>
      </c>
      <c r="B3004" s="11" t="s">
        <v>18</v>
      </c>
      <c r="C3004">
        <v>2445</v>
      </c>
      <c r="D3004" t="s">
        <v>7</v>
      </c>
      <c r="E3004" t="str">
        <f>IF(may[[#This Row],[ShiftCounter]]&gt;0, "Running", "Down")</f>
        <v>Running</v>
      </c>
    </row>
    <row r="3005" spans="1:5" x14ac:dyDescent="0.25">
      <c r="A3005" s="10">
        <v>44712</v>
      </c>
      <c r="B3005" s="11" t="s">
        <v>18</v>
      </c>
      <c r="C3005">
        <v>2248</v>
      </c>
      <c r="D3005" t="s">
        <v>8</v>
      </c>
      <c r="E3005" t="str">
        <f>IF(may[[#This Row],[ShiftCounter]]&gt;0, "Running", "Down")</f>
        <v>Running</v>
      </c>
    </row>
    <row r="3006" spans="1:5" x14ac:dyDescent="0.25">
      <c r="A3006" s="10">
        <v>44712</v>
      </c>
      <c r="B3006" s="11" t="s">
        <v>38</v>
      </c>
      <c r="C3006">
        <v>2018</v>
      </c>
      <c r="D3006" t="s">
        <v>6</v>
      </c>
      <c r="E3006" t="str">
        <f>IF(may[[#This Row],[ShiftCounter]]&gt;0, "Running", "Down")</f>
        <v>Running</v>
      </c>
    </row>
    <row r="3007" spans="1:5" x14ac:dyDescent="0.25">
      <c r="A3007" s="10">
        <v>44712</v>
      </c>
      <c r="B3007" s="11" t="s">
        <v>38</v>
      </c>
      <c r="C3007">
        <v>2333</v>
      </c>
      <c r="D3007" t="s">
        <v>7</v>
      </c>
      <c r="E3007" t="str">
        <f>IF(may[[#This Row],[ShiftCounter]]&gt;0, "Running", "Down")</f>
        <v>Running</v>
      </c>
    </row>
    <row r="3008" spans="1:5" x14ac:dyDescent="0.25">
      <c r="A3008" s="10">
        <v>44712</v>
      </c>
      <c r="B3008" s="11" t="s">
        <v>38</v>
      </c>
      <c r="C3008">
        <v>2160</v>
      </c>
      <c r="D3008" t="s">
        <v>8</v>
      </c>
      <c r="E3008" t="str">
        <f>IF(may[[#This Row],[ShiftCounter]]&gt;0, "Running", "Down")</f>
        <v>Running</v>
      </c>
    </row>
    <row r="3009" spans="1:5" x14ac:dyDescent="0.25">
      <c r="A3009" s="10">
        <v>44712</v>
      </c>
      <c r="B3009" s="11" t="s">
        <v>20</v>
      </c>
      <c r="C3009">
        <v>2345</v>
      </c>
      <c r="D3009" t="s">
        <v>6</v>
      </c>
      <c r="E3009" t="str">
        <f>IF(may[[#This Row],[ShiftCounter]]&gt;0, "Running", "Down")</f>
        <v>Running</v>
      </c>
    </row>
    <row r="3010" spans="1:5" x14ac:dyDescent="0.25">
      <c r="A3010" s="10">
        <v>44712</v>
      </c>
      <c r="B3010" s="11" t="s">
        <v>20</v>
      </c>
      <c r="C3010">
        <v>2299</v>
      </c>
      <c r="D3010" t="s">
        <v>7</v>
      </c>
      <c r="E3010" t="str">
        <f>IF(may[[#This Row],[ShiftCounter]]&gt;0, "Running", "Down")</f>
        <v>Running</v>
      </c>
    </row>
    <row r="3011" spans="1:5" x14ac:dyDescent="0.25">
      <c r="A3011" s="10">
        <v>44712</v>
      </c>
      <c r="B3011" s="11" t="s">
        <v>20</v>
      </c>
      <c r="C3011">
        <v>2165</v>
      </c>
      <c r="D3011" t="s">
        <v>8</v>
      </c>
      <c r="E3011" t="str">
        <f>IF(may[[#This Row],[ShiftCounter]]&gt;0, "Running", "Down")</f>
        <v>Running</v>
      </c>
    </row>
    <row r="3012" spans="1:5" x14ac:dyDescent="0.25">
      <c r="A3012" s="10">
        <v>44712</v>
      </c>
      <c r="B3012" s="11" t="s">
        <v>21</v>
      </c>
      <c r="C3012">
        <v>2113</v>
      </c>
      <c r="D3012" t="s">
        <v>6</v>
      </c>
      <c r="E3012" t="str">
        <f>IF(may[[#This Row],[ShiftCounter]]&gt;0, "Running", "Down")</f>
        <v>Running</v>
      </c>
    </row>
    <row r="3013" spans="1:5" x14ac:dyDescent="0.25">
      <c r="A3013" s="10">
        <v>44712</v>
      </c>
      <c r="B3013" s="11" t="s">
        <v>21</v>
      </c>
      <c r="C3013">
        <v>2081</v>
      </c>
      <c r="D3013" t="s">
        <v>7</v>
      </c>
      <c r="E3013" t="str">
        <f>IF(may[[#This Row],[ShiftCounter]]&gt;0, "Running", "Down")</f>
        <v>Running</v>
      </c>
    </row>
    <row r="3014" spans="1:5" x14ac:dyDescent="0.25">
      <c r="A3014" s="10">
        <v>44712</v>
      </c>
      <c r="B3014" s="11" t="s">
        <v>21</v>
      </c>
      <c r="C3014">
        <v>1929</v>
      </c>
      <c r="D3014" t="s">
        <v>8</v>
      </c>
      <c r="E3014" t="str">
        <f>IF(may[[#This Row],[ShiftCounter]]&gt;0, "Running", "Down")</f>
        <v>Running</v>
      </c>
    </row>
    <row r="3015" spans="1:5" x14ac:dyDescent="0.25">
      <c r="A3015" s="10">
        <v>44712</v>
      </c>
      <c r="B3015" s="11" t="s">
        <v>22</v>
      </c>
      <c r="C3015">
        <v>2175</v>
      </c>
      <c r="D3015" t="s">
        <v>6</v>
      </c>
      <c r="E3015" t="str">
        <f>IF(may[[#This Row],[ShiftCounter]]&gt;0, "Running", "Down")</f>
        <v>Running</v>
      </c>
    </row>
    <row r="3016" spans="1:5" x14ac:dyDescent="0.25">
      <c r="A3016" s="10">
        <v>44712</v>
      </c>
      <c r="B3016" s="11" t="s">
        <v>22</v>
      </c>
      <c r="C3016">
        <v>2190</v>
      </c>
      <c r="D3016" t="s">
        <v>7</v>
      </c>
      <c r="E3016" t="str">
        <f>IF(may[[#This Row],[ShiftCounter]]&gt;0, "Running", "Down")</f>
        <v>Running</v>
      </c>
    </row>
    <row r="3017" spans="1:5" x14ac:dyDescent="0.25">
      <c r="A3017" s="10">
        <v>44712</v>
      </c>
      <c r="B3017" s="11" t="s">
        <v>22</v>
      </c>
      <c r="C3017">
        <v>2069</v>
      </c>
      <c r="D3017" t="s">
        <v>8</v>
      </c>
      <c r="E3017" t="str">
        <f>IF(may[[#This Row],[ShiftCounter]]&gt;0, "Running", "Down")</f>
        <v>Running</v>
      </c>
    </row>
    <row r="3018" spans="1:5" x14ac:dyDescent="0.25">
      <c r="A3018" s="10">
        <v>44712</v>
      </c>
      <c r="B3018" s="11" t="s">
        <v>23</v>
      </c>
      <c r="C3018">
        <v>2015</v>
      </c>
      <c r="D3018" t="s">
        <v>6</v>
      </c>
      <c r="E3018" t="str">
        <f>IF(may[[#This Row],[ShiftCounter]]&gt;0, "Running", "Down")</f>
        <v>Running</v>
      </c>
    </row>
    <row r="3019" spans="1:5" x14ac:dyDescent="0.25">
      <c r="A3019" s="10">
        <v>44712</v>
      </c>
      <c r="B3019" s="11" t="s">
        <v>23</v>
      </c>
      <c r="C3019">
        <v>2219</v>
      </c>
      <c r="D3019" t="s">
        <v>7</v>
      </c>
      <c r="E3019" t="str">
        <f>IF(may[[#This Row],[ShiftCounter]]&gt;0, "Running", "Down")</f>
        <v>Running</v>
      </c>
    </row>
    <row r="3020" spans="1:5" x14ac:dyDescent="0.25">
      <c r="A3020" s="10">
        <v>44712</v>
      </c>
      <c r="B3020" s="11" t="s">
        <v>23</v>
      </c>
      <c r="C3020">
        <v>2080</v>
      </c>
      <c r="D3020" t="s">
        <v>8</v>
      </c>
      <c r="E3020" t="str">
        <f>IF(may[[#This Row],[ShiftCounter]]&gt;0, "Running", "Down")</f>
        <v>Running</v>
      </c>
    </row>
    <row r="3021" spans="1:5" x14ac:dyDescent="0.25">
      <c r="A3021" s="10">
        <v>44712</v>
      </c>
      <c r="B3021" s="11" t="s">
        <v>24</v>
      </c>
      <c r="C3021">
        <v>2053</v>
      </c>
      <c r="D3021" t="s">
        <v>6</v>
      </c>
      <c r="E3021" t="str">
        <f>IF(may[[#This Row],[ShiftCounter]]&gt;0, "Running", "Down")</f>
        <v>Running</v>
      </c>
    </row>
    <row r="3022" spans="1:5" x14ac:dyDescent="0.25">
      <c r="A3022" s="10">
        <v>44712</v>
      </c>
      <c r="B3022" s="11" t="s">
        <v>24</v>
      </c>
      <c r="C3022">
        <v>2165</v>
      </c>
      <c r="D3022" t="s">
        <v>7</v>
      </c>
      <c r="E3022" t="str">
        <f>IF(may[[#This Row],[ShiftCounter]]&gt;0, "Running", "Down")</f>
        <v>Running</v>
      </c>
    </row>
    <row r="3023" spans="1:5" x14ac:dyDescent="0.25">
      <c r="A3023" s="10">
        <v>44712</v>
      </c>
      <c r="B3023" s="11" t="s">
        <v>24</v>
      </c>
      <c r="C3023">
        <v>1857</v>
      </c>
      <c r="D3023" t="s">
        <v>8</v>
      </c>
      <c r="E3023" t="str">
        <f>IF(may[[#This Row],[ShiftCounter]]&gt;0, "Running", "Down")</f>
        <v>Running</v>
      </c>
    </row>
    <row r="3024" spans="1:5" x14ac:dyDescent="0.25">
      <c r="A3024" s="10">
        <v>44712</v>
      </c>
      <c r="B3024" s="11" t="s">
        <v>25</v>
      </c>
      <c r="C3024">
        <v>1357</v>
      </c>
      <c r="D3024" t="s">
        <v>6</v>
      </c>
      <c r="E3024" t="str">
        <f>IF(may[[#This Row],[ShiftCounter]]&gt;0, "Running", "Down")</f>
        <v>Running</v>
      </c>
    </row>
    <row r="3025" spans="1:5" x14ac:dyDescent="0.25">
      <c r="A3025" s="10">
        <v>44712</v>
      </c>
      <c r="B3025" s="11" t="s">
        <v>25</v>
      </c>
      <c r="C3025">
        <v>2148</v>
      </c>
      <c r="D3025" t="s">
        <v>7</v>
      </c>
      <c r="E3025" t="str">
        <f>IF(may[[#This Row],[ShiftCounter]]&gt;0, "Running", "Down")</f>
        <v>Running</v>
      </c>
    </row>
    <row r="3026" spans="1:5" x14ac:dyDescent="0.25">
      <c r="A3026" s="10">
        <v>44712</v>
      </c>
      <c r="B3026" s="11" t="s">
        <v>25</v>
      </c>
      <c r="C3026">
        <v>2001</v>
      </c>
      <c r="D3026" t="s">
        <v>8</v>
      </c>
      <c r="E3026" t="str">
        <f>IF(may[[#This Row],[ShiftCounter]]&gt;0, "Running", "Down")</f>
        <v>Running</v>
      </c>
    </row>
    <row r="3027" spans="1:5" x14ac:dyDescent="0.25">
      <c r="A3027" s="10">
        <v>44712</v>
      </c>
      <c r="B3027" s="11" t="s">
        <v>27</v>
      </c>
      <c r="C3027">
        <v>1948</v>
      </c>
      <c r="D3027" t="s">
        <v>6</v>
      </c>
      <c r="E3027" t="str">
        <f>IF(may[[#This Row],[ShiftCounter]]&gt;0, "Running", "Down")</f>
        <v>Running</v>
      </c>
    </row>
    <row r="3028" spans="1:5" x14ac:dyDescent="0.25">
      <c r="A3028" s="10">
        <v>44712</v>
      </c>
      <c r="B3028" s="11" t="s">
        <v>27</v>
      </c>
      <c r="C3028">
        <v>2069</v>
      </c>
      <c r="D3028" t="s">
        <v>7</v>
      </c>
      <c r="E3028" t="str">
        <f>IF(may[[#This Row],[ShiftCounter]]&gt;0, "Running", "Down")</f>
        <v>Running</v>
      </c>
    </row>
    <row r="3029" spans="1:5" x14ac:dyDescent="0.25">
      <c r="A3029" s="10">
        <v>44712</v>
      </c>
      <c r="B3029" s="11" t="s">
        <v>27</v>
      </c>
      <c r="C3029">
        <v>2021</v>
      </c>
      <c r="D3029" t="s">
        <v>8</v>
      </c>
      <c r="E3029" t="str">
        <f>IF(may[[#This Row],[ShiftCounter]]&gt;0, "Running", "Down")</f>
        <v>Running</v>
      </c>
    </row>
    <row r="3030" spans="1:5" x14ac:dyDescent="0.25">
      <c r="A3030" s="10">
        <v>44712</v>
      </c>
      <c r="B3030" s="11" t="s">
        <v>26</v>
      </c>
      <c r="C3030">
        <v>2130</v>
      </c>
      <c r="D3030" t="s">
        <v>6</v>
      </c>
      <c r="E3030" t="str">
        <f>IF(may[[#This Row],[ShiftCounter]]&gt;0, "Running", "Down")</f>
        <v>Running</v>
      </c>
    </row>
    <row r="3031" spans="1:5" x14ac:dyDescent="0.25">
      <c r="A3031" s="10">
        <v>44712</v>
      </c>
      <c r="B3031" s="11" t="s">
        <v>26</v>
      </c>
      <c r="C3031">
        <v>2073</v>
      </c>
      <c r="D3031" t="s">
        <v>7</v>
      </c>
      <c r="E3031" t="str">
        <f>IF(may[[#This Row],[ShiftCounter]]&gt;0, "Running", "Down")</f>
        <v>Running</v>
      </c>
    </row>
    <row r="3032" spans="1:5" x14ac:dyDescent="0.25">
      <c r="A3032" s="10">
        <v>44712</v>
      </c>
      <c r="B3032" s="11" t="s">
        <v>26</v>
      </c>
      <c r="C3032">
        <v>1751</v>
      </c>
      <c r="D3032" t="s">
        <v>8</v>
      </c>
      <c r="E3032" t="str">
        <f>IF(may[[#This Row],[ShiftCounter]]&gt;0, "Running", "Down")</f>
        <v>Running</v>
      </c>
    </row>
    <row r="3033" spans="1:5" x14ac:dyDescent="0.25">
      <c r="A3033" s="10">
        <v>44712</v>
      </c>
      <c r="B3033" s="11" t="s">
        <v>28</v>
      </c>
      <c r="C3033">
        <v>2283</v>
      </c>
      <c r="D3033" t="s">
        <v>6</v>
      </c>
      <c r="E3033" t="str">
        <f>IF(may[[#This Row],[ShiftCounter]]&gt;0, "Running", "Down")</f>
        <v>Running</v>
      </c>
    </row>
    <row r="3034" spans="1:5" x14ac:dyDescent="0.25">
      <c r="A3034" s="10">
        <v>44712</v>
      </c>
      <c r="B3034" s="11" t="s">
        <v>28</v>
      </c>
      <c r="C3034">
        <v>2185</v>
      </c>
      <c r="D3034" t="s">
        <v>7</v>
      </c>
      <c r="E3034" t="str">
        <f>IF(may[[#This Row],[ShiftCounter]]&gt;0, "Running", "Down")</f>
        <v>Running</v>
      </c>
    </row>
    <row r="3035" spans="1:5" x14ac:dyDescent="0.25">
      <c r="A3035" s="10">
        <v>44712</v>
      </c>
      <c r="B3035" s="11" t="s">
        <v>28</v>
      </c>
      <c r="C3035">
        <v>1882</v>
      </c>
      <c r="D3035" t="s">
        <v>8</v>
      </c>
      <c r="E3035" t="str">
        <f>IF(may[[#This Row],[ShiftCounter]]&gt;0, "Running", "Down")</f>
        <v>Running</v>
      </c>
    </row>
    <row r="3036" spans="1:5" x14ac:dyDescent="0.25">
      <c r="A3036" s="10">
        <v>44712</v>
      </c>
      <c r="B3036" s="11" t="s">
        <v>29</v>
      </c>
      <c r="C3036">
        <v>2105</v>
      </c>
      <c r="D3036" t="s">
        <v>6</v>
      </c>
      <c r="E3036" t="str">
        <f>IF(may[[#This Row],[ShiftCounter]]&gt;0, "Running", "Down")</f>
        <v>Running</v>
      </c>
    </row>
    <row r="3037" spans="1:5" x14ac:dyDescent="0.25">
      <c r="A3037" s="10">
        <v>44712</v>
      </c>
      <c r="B3037" s="11" t="s">
        <v>29</v>
      </c>
      <c r="C3037">
        <v>2037</v>
      </c>
      <c r="D3037" t="s">
        <v>7</v>
      </c>
      <c r="E3037" t="str">
        <f>IF(may[[#This Row],[ShiftCounter]]&gt;0, "Running", "Down")</f>
        <v>Running</v>
      </c>
    </row>
    <row r="3038" spans="1:5" x14ac:dyDescent="0.25">
      <c r="A3038" s="10">
        <v>44712</v>
      </c>
      <c r="B3038" s="11" t="s">
        <v>29</v>
      </c>
      <c r="C3038">
        <v>1893</v>
      </c>
      <c r="D3038" t="s">
        <v>8</v>
      </c>
      <c r="E3038" t="str">
        <f>IF(may[[#This Row],[ShiftCounter]]&gt;0, "Running", "Down")</f>
        <v>Running</v>
      </c>
    </row>
    <row r="3039" spans="1:5" x14ac:dyDescent="0.25">
      <c r="A3039" s="10">
        <v>44712</v>
      </c>
      <c r="B3039" s="11" t="s">
        <v>30</v>
      </c>
      <c r="C3039">
        <v>2000</v>
      </c>
      <c r="D3039" t="s">
        <v>6</v>
      </c>
      <c r="E3039" t="str">
        <f>IF(may[[#This Row],[ShiftCounter]]&gt;0, "Running", "Down")</f>
        <v>Running</v>
      </c>
    </row>
    <row r="3040" spans="1:5" x14ac:dyDescent="0.25">
      <c r="A3040" s="10">
        <v>44712</v>
      </c>
      <c r="B3040" s="11" t="s">
        <v>30</v>
      </c>
      <c r="C3040">
        <v>2221</v>
      </c>
      <c r="D3040" t="s">
        <v>7</v>
      </c>
      <c r="E3040" t="str">
        <f>IF(may[[#This Row],[ShiftCounter]]&gt;0, "Running", "Down")</f>
        <v>Running</v>
      </c>
    </row>
    <row r="3041" spans="1:5" x14ac:dyDescent="0.25">
      <c r="A3041" s="10">
        <v>44712</v>
      </c>
      <c r="B3041" s="11" t="s">
        <v>30</v>
      </c>
      <c r="C3041">
        <v>2203</v>
      </c>
      <c r="D3041" t="s">
        <v>8</v>
      </c>
      <c r="E3041" t="str">
        <f>IF(may[[#This Row],[ShiftCounter]]&gt;0, "Running", "Down")</f>
        <v>Running</v>
      </c>
    </row>
    <row r="3042" spans="1:5" x14ac:dyDescent="0.25">
      <c r="A3042" s="10">
        <v>44712</v>
      </c>
      <c r="B3042" s="11" t="s">
        <v>31</v>
      </c>
      <c r="C3042">
        <v>1714</v>
      </c>
      <c r="D3042" t="s">
        <v>6</v>
      </c>
      <c r="E3042" t="str">
        <f>IF(may[[#This Row],[ShiftCounter]]&gt;0, "Running", "Down")</f>
        <v>Running</v>
      </c>
    </row>
    <row r="3043" spans="1:5" x14ac:dyDescent="0.25">
      <c r="A3043" s="10">
        <v>44712</v>
      </c>
      <c r="B3043" s="11" t="s">
        <v>31</v>
      </c>
      <c r="C3043">
        <v>2055</v>
      </c>
      <c r="D3043" t="s">
        <v>7</v>
      </c>
      <c r="E3043" t="str">
        <f>IF(may[[#This Row],[ShiftCounter]]&gt;0, "Running", "Down")</f>
        <v>Running</v>
      </c>
    </row>
    <row r="3044" spans="1:5" x14ac:dyDescent="0.25">
      <c r="A3044" s="10">
        <v>44712</v>
      </c>
      <c r="B3044" s="11" t="s">
        <v>31</v>
      </c>
      <c r="C3044">
        <v>2048</v>
      </c>
      <c r="D3044" t="s">
        <v>8</v>
      </c>
      <c r="E3044" t="str">
        <f>IF(may[[#This Row],[ShiftCounter]]&gt;0, "Running", "Down")</f>
        <v>Running</v>
      </c>
    </row>
    <row r="3045" spans="1:5" x14ac:dyDescent="0.25">
      <c r="A3045" s="10">
        <v>44712</v>
      </c>
      <c r="B3045" s="11" t="s">
        <v>32</v>
      </c>
      <c r="C3045">
        <v>2165</v>
      </c>
      <c r="D3045" t="s">
        <v>6</v>
      </c>
      <c r="E3045" t="str">
        <f>IF(may[[#This Row],[ShiftCounter]]&gt;0, "Running", "Down")</f>
        <v>Running</v>
      </c>
    </row>
    <row r="3046" spans="1:5" x14ac:dyDescent="0.25">
      <c r="A3046" s="10">
        <v>44712</v>
      </c>
      <c r="B3046" s="11" t="s">
        <v>32</v>
      </c>
      <c r="C3046">
        <v>2201</v>
      </c>
      <c r="D3046" t="s">
        <v>7</v>
      </c>
      <c r="E3046" t="str">
        <f>IF(may[[#This Row],[ShiftCounter]]&gt;0, "Running", "Down")</f>
        <v>Running</v>
      </c>
    </row>
    <row r="3047" spans="1:5" x14ac:dyDescent="0.25">
      <c r="A3047" s="10">
        <v>44712</v>
      </c>
      <c r="B3047" s="11" t="s">
        <v>32</v>
      </c>
      <c r="C3047">
        <v>2126</v>
      </c>
      <c r="D3047" t="s">
        <v>8</v>
      </c>
      <c r="E3047" t="str">
        <f>IF(may[[#This Row],[ShiftCounter]]&gt;0, "Running", "Down")</f>
        <v>Running</v>
      </c>
    </row>
    <row r="3048" spans="1:5" x14ac:dyDescent="0.25">
      <c r="A3048" s="10">
        <v>44712</v>
      </c>
      <c r="B3048" s="11" t="s">
        <v>67</v>
      </c>
      <c r="C3048">
        <v>743</v>
      </c>
      <c r="D3048" t="s">
        <v>6</v>
      </c>
      <c r="E3048" t="str">
        <f>IF(may[[#This Row],[ShiftCounter]]&gt;0, "Running", "Down")</f>
        <v>Running</v>
      </c>
    </row>
    <row r="3049" spans="1:5" x14ac:dyDescent="0.25">
      <c r="A3049" s="10">
        <v>44712</v>
      </c>
      <c r="B3049" s="11" t="s">
        <v>67</v>
      </c>
      <c r="C3049">
        <v>2133</v>
      </c>
      <c r="D3049" t="s">
        <v>7</v>
      </c>
      <c r="E3049" t="str">
        <f>IF(may[[#This Row],[ShiftCounter]]&gt;0, "Running", "Down")</f>
        <v>Running</v>
      </c>
    </row>
    <row r="3050" spans="1:5" x14ac:dyDescent="0.25">
      <c r="A3050" s="10">
        <v>44712</v>
      </c>
      <c r="B3050" s="11" t="s">
        <v>67</v>
      </c>
      <c r="C3050">
        <v>1993</v>
      </c>
      <c r="D3050" t="s">
        <v>8</v>
      </c>
      <c r="E3050" t="str">
        <f>IF(may[[#This Row],[ShiftCounter]]&gt;0, "Running", "Down")</f>
        <v>Running</v>
      </c>
    </row>
    <row r="3051" spans="1:5" x14ac:dyDescent="0.25">
      <c r="A3051" s="10">
        <v>44712</v>
      </c>
      <c r="B3051" s="11" t="s">
        <v>33</v>
      </c>
      <c r="C3051">
        <v>2404</v>
      </c>
      <c r="D3051" t="s">
        <v>6</v>
      </c>
      <c r="E3051" t="str">
        <f>IF(may[[#This Row],[ShiftCounter]]&gt;0, "Running", "Down")</f>
        <v>Running</v>
      </c>
    </row>
    <row r="3052" spans="1:5" x14ac:dyDescent="0.25">
      <c r="A3052" s="10">
        <v>44712</v>
      </c>
      <c r="B3052" s="11" t="s">
        <v>33</v>
      </c>
      <c r="C3052">
        <v>2451</v>
      </c>
      <c r="D3052" t="s">
        <v>7</v>
      </c>
      <c r="E3052" t="str">
        <f>IF(may[[#This Row],[ShiftCounter]]&gt;0, "Running", "Down")</f>
        <v>Running</v>
      </c>
    </row>
    <row r="3053" spans="1:5" x14ac:dyDescent="0.25">
      <c r="A3053" s="10">
        <v>44712</v>
      </c>
      <c r="B3053" s="11" t="s">
        <v>33</v>
      </c>
      <c r="C3053">
        <v>2361</v>
      </c>
      <c r="D3053" t="s">
        <v>8</v>
      </c>
      <c r="E3053" t="str">
        <f>IF(may[[#This Row],[ShiftCounter]]&gt;0, "Running", "Down")</f>
        <v>Running</v>
      </c>
    </row>
    <row r="3054" spans="1:5" x14ac:dyDescent="0.25">
      <c r="A3054" s="10">
        <v>44712</v>
      </c>
      <c r="B3054" s="11" t="s">
        <v>34</v>
      </c>
      <c r="C3054">
        <v>1986</v>
      </c>
      <c r="D3054" t="s">
        <v>6</v>
      </c>
      <c r="E3054" t="str">
        <f>IF(may[[#This Row],[ShiftCounter]]&gt;0, "Running", "Down")</f>
        <v>Running</v>
      </c>
    </row>
    <row r="3055" spans="1:5" x14ac:dyDescent="0.25">
      <c r="A3055" s="10">
        <v>44712</v>
      </c>
      <c r="B3055" s="11" t="s">
        <v>34</v>
      </c>
      <c r="C3055">
        <v>2026</v>
      </c>
      <c r="D3055" t="s">
        <v>7</v>
      </c>
      <c r="E3055" t="str">
        <f>IF(may[[#This Row],[ShiftCounter]]&gt;0, "Running", "Down")</f>
        <v>Running</v>
      </c>
    </row>
    <row r="3056" spans="1:5" x14ac:dyDescent="0.25">
      <c r="A3056" s="10">
        <v>44712</v>
      </c>
      <c r="B3056" s="11" t="s">
        <v>34</v>
      </c>
      <c r="C3056">
        <v>1836</v>
      </c>
      <c r="D3056" t="s">
        <v>8</v>
      </c>
      <c r="E3056" t="str">
        <f>IF(may[[#This Row],[ShiftCounter]]&gt;0, "Running", "Down")</f>
        <v>Running</v>
      </c>
    </row>
    <row r="3057" spans="1:5" x14ac:dyDescent="0.25">
      <c r="A3057" s="10">
        <v>44712</v>
      </c>
      <c r="B3057" s="11" t="s">
        <v>35</v>
      </c>
      <c r="C3057">
        <v>2094</v>
      </c>
      <c r="D3057" t="s">
        <v>6</v>
      </c>
      <c r="E3057" t="str">
        <f>IF(may[[#This Row],[ShiftCounter]]&gt;0, "Running", "Down")</f>
        <v>Running</v>
      </c>
    </row>
    <row r="3058" spans="1:5" x14ac:dyDescent="0.25">
      <c r="A3058" s="10">
        <v>44712</v>
      </c>
      <c r="B3058" s="11" t="s">
        <v>35</v>
      </c>
      <c r="C3058">
        <v>2143</v>
      </c>
      <c r="D3058" t="s">
        <v>7</v>
      </c>
      <c r="E3058" t="str">
        <f>IF(may[[#This Row],[ShiftCounter]]&gt;0, "Running", "Down")</f>
        <v>Running</v>
      </c>
    </row>
    <row r="3059" spans="1:5" x14ac:dyDescent="0.25">
      <c r="A3059" s="10">
        <v>44712</v>
      </c>
      <c r="B3059" s="11" t="s">
        <v>35</v>
      </c>
      <c r="C3059">
        <v>1967</v>
      </c>
      <c r="D3059" t="s">
        <v>8</v>
      </c>
      <c r="E3059" t="str">
        <f>IF(may[[#This Row],[ShiftCounter]]&gt;0, "Running", "Down")</f>
        <v>Running</v>
      </c>
    </row>
    <row r="3060" spans="1:5" x14ac:dyDescent="0.25">
      <c r="A3060" s="10">
        <v>44712</v>
      </c>
      <c r="B3060" s="11" t="s">
        <v>36</v>
      </c>
      <c r="C3060">
        <v>2303</v>
      </c>
      <c r="D3060" t="s">
        <v>6</v>
      </c>
      <c r="E3060" t="str">
        <f>IF(may[[#This Row],[ShiftCounter]]&gt;0, "Running", "Down")</f>
        <v>Running</v>
      </c>
    </row>
    <row r="3061" spans="1:5" x14ac:dyDescent="0.25">
      <c r="A3061" s="10">
        <v>44712</v>
      </c>
      <c r="B3061" s="11" t="s">
        <v>36</v>
      </c>
      <c r="C3061">
        <v>2300</v>
      </c>
      <c r="D3061" t="s">
        <v>7</v>
      </c>
      <c r="E3061" t="str">
        <f>IF(may[[#This Row],[ShiftCounter]]&gt;0, "Running", "Down")</f>
        <v>Running</v>
      </c>
    </row>
    <row r="3062" spans="1:5" x14ac:dyDescent="0.25">
      <c r="A3062" s="10">
        <v>44712</v>
      </c>
      <c r="B3062" s="11" t="s">
        <v>36</v>
      </c>
      <c r="C3062">
        <v>2147</v>
      </c>
      <c r="D3062" t="s">
        <v>8</v>
      </c>
      <c r="E3062" t="str">
        <f>IF(may[[#This Row],[ShiftCounter]]&gt;0, "Running", "Down")</f>
        <v>Running</v>
      </c>
    </row>
    <row r="3063" spans="1:5" x14ac:dyDescent="0.25">
      <c r="A3063" s="10">
        <v>44712</v>
      </c>
      <c r="B3063" s="11" t="s">
        <v>37</v>
      </c>
      <c r="C3063">
        <v>2017</v>
      </c>
      <c r="D3063" t="s">
        <v>6</v>
      </c>
      <c r="E3063" t="str">
        <f>IF(may[[#This Row],[ShiftCounter]]&gt;0, "Running", "Down")</f>
        <v>Running</v>
      </c>
    </row>
    <row r="3064" spans="1:5" x14ac:dyDescent="0.25">
      <c r="A3064" s="10">
        <v>44712</v>
      </c>
      <c r="B3064" s="11" t="s">
        <v>37</v>
      </c>
      <c r="C3064">
        <v>2203</v>
      </c>
      <c r="D3064" t="s">
        <v>7</v>
      </c>
      <c r="E3064" t="str">
        <f>IF(may[[#This Row],[ShiftCounter]]&gt;0, "Running", "Down")</f>
        <v>Running</v>
      </c>
    </row>
    <row r="3065" spans="1:5" x14ac:dyDescent="0.25">
      <c r="A3065" s="10">
        <v>44712</v>
      </c>
      <c r="B3065" s="11" t="s">
        <v>37</v>
      </c>
      <c r="C3065">
        <v>2098</v>
      </c>
      <c r="D3065" t="s">
        <v>8</v>
      </c>
      <c r="E3065" t="str">
        <f>IF(may[[#This Row],[ShiftCounter]]&gt;0, "Running", "Down")</f>
        <v>Running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98"/>
  <sheetViews>
    <sheetView topLeftCell="A2078" zoomScaleNormal="100" workbookViewId="0">
      <selection activeCell="C2082" sqref="C2082"/>
    </sheetView>
  </sheetViews>
  <sheetFormatPr defaultRowHeight="15" x14ac:dyDescent="0.25"/>
  <cols>
    <col min="1" max="1" width="17" customWidth="1"/>
    <col min="2" max="2" width="19.140625" customWidth="1"/>
    <col min="3" max="3" width="14.42578125" customWidth="1"/>
    <col min="4" max="4" width="9.85546875" customWidth="1"/>
    <col min="5" max="5" width="12.28515625" customWidth="1"/>
    <col min="7" max="7" width="9.1406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8">
        <v>44713</v>
      </c>
      <c r="B2" t="s">
        <v>135</v>
      </c>
      <c r="C2">
        <v>1785</v>
      </c>
      <c r="D2" t="s">
        <v>6</v>
      </c>
      <c r="E2" t="str">
        <f>IF(june[[#This Row],[ShiftCounter]]&gt;0, "Running", "Down")</f>
        <v>Running</v>
      </c>
    </row>
    <row r="3" spans="1:5" x14ac:dyDescent="0.25">
      <c r="A3" s="8">
        <v>44713</v>
      </c>
      <c r="B3" t="s">
        <v>135</v>
      </c>
      <c r="C3">
        <v>1934</v>
      </c>
      <c r="D3" t="s">
        <v>7</v>
      </c>
      <c r="E3" t="str">
        <f>IF(june[[#This Row],[ShiftCounter]]&gt;0, "Running", "Down")</f>
        <v>Running</v>
      </c>
    </row>
    <row r="4" spans="1:5" x14ac:dyDescent="0.25">
      <c r="A4" s="8">
        <v>44713</v>
      </c>
      <c r="B4" t="s">
        <v>135</v>
      </c>
      <c r="C4">
        <v>1811</v>
      </c>
      <c r="D4" t="s">
        <v>8</v>
      </c>
      <c r="E4" t="str">
        <f>IF(june[[#This Row],[ShiftCounter]]&gt;0, "Running", "Down")</f>
        <v>Running</v>
      </c>
    </row>
    <row r="5" spans="1:5" x14ac:dyDescent="0.25">
      <c r="A5" s="8">
        <v>44713</v>
      </c>
      <c r="B5" t="s">
        <v>40</v>
      </c>
      <c r="C5">
        <v>0</v>
      </c>
      <c r="D5" t="s">
        <v>6</v>
      </c>
      <c r="E5" t="str">
        <f>IF(june[[#This Row],[ShiftCounter]]&gt;0, "Running", "Down")</f>
        <v>Down</v>
      </c>
    </row>
    <row r="6" spans="1:5" x14ac:dyDescent="0.25">
      <c r="A6" s="8">
        <v>44713</v>
      </c>
      <c r="B6" t="s">
        <v>40</v>
      </c>
      <c r="C6">
        <v>2401</v>
      </c>
      <c r="D6" t="s">
        <v>7</v>
      </c>
      <c r="E6" t="str">
        <f>IF(june[[#This Row],[ShiftCounter]]&gt;0, "Running", "Down")</f>
        <v>Running</v>
      </c>
    </row>
    <row r="7" spans="1:5" x14ac:dyDescent="0.25">
      <c r="A7" s="8">
        <v>44713</v>
      </c>
      <c r="B7" t="s">
        <v>40</v>
      </c>
      <c r="C7">
        <v>2137</v>
      </c>
      <c r="D7" t="s">
        <v>8</v>
      </c>
      <c r="E7" t="str">
        <f>IF(june[[#This Row],[ShiftCounter]]&gt;0, "Running", "Down")</f>
        <v>Running</v>
      </c>
    </row>
    <row r="8" spans="1:5" x14ac:dyDescent="0.25">
      <c r="A8" s="8">
        <v>44713</v>
      </c>
      <c r="B8" t="s">
        <v>39</v>
      </c>
      <c r="C8">
        <v>1858</v>
      </c>
      <c r="D8" t="s">
        <v>6</v>
      </c>
      <c r="E8" t="str">
        <f>IF(june[[#This Row],[ShiftCounter]]&gt;0, "Running", "Down")</f>
        <v>Running</v>
      </c>
    </row>
    <row r="9" spans="1:5" x14ac:dyDescent="0.25">
      <c r="A9" s="8">
        <v>44713</v>
      </c>
      <c r="B9" t="s">
        <v>39</v>
      </c>
      <c r="C9">
        <v>2015</v>
      </c>
      <c r="D9" t="s">
        <v>7</v>
      </c>
      <c r="E9" t="str">
        <f>IF(june[[#This Row],[ShiftCounter]]&gt;0, "Running", "Down")</f>
        <v>Running</v>
      </c>
    </row>
    <row r="10" spans="1:5" x14ac:dyDescent="0.25">
      <c r="A10" s="8">
        <v>44713</v>
      </c>
      <c r="B10" t="s">
        <v>39</v>
      </c>
      <c r="C10">
        <v>1867</v>
      </c>
      <c r="D10" t="s">
        <v>8</v>
      </c>
      <c r="E10" t="str">
        <f>IF(june[[#This Row],[ShiftCounter]]&gt;0, "Running", "Down")</f>
        <v>Running</v>
      </c>
    </row>
    <row r="11" spans="1:5" x14ac:dyDescent="0.25">
      <c r="A11" s="8">
        <v>44713</v>
      </c>
      <c r="B11" t="s">
        <v>41</v>
      </c>
      <c r="C11">
        <v>2339</v>
      </c>
      <c r="D11" t="s">
        <v>6</v>
      </c>
      <c r="E11" t="str">
        <f>IF(june[[#This Row],[ShiftCounter]]&gt;0, "Running", "Down")</f>
        <v>Running</v>
      </c>
    </row>
    <row r="12" spans="1:5" x14ac:dyDescent="0.25">
      <c r="A12" s="8">
        <v>44713</v>
      </c>
      <c r="B12" t="s">
        <v>41</v>
      </c>
      <c r="C12">
        <v>2196</v>
      </c>
      <c r="D12" t="s">
        <v>7</v>
      </c>
      <c r="E12" t="str">
        <f>IF(june[[#This Row],[ShiftCounter]]&gt;0, "Running", "Down")</f>
        <v>Running</v>
      </c>
    </row>
    <row r="13" spans="1:5" x14ac:dyDescent="0.25">
      <c r="A13" s="8">
        <v>44713</v>
      </c>
      <c r="B13" t="s">
        <v>41</v>
      </c>
      <c r="C13">
        <v>2104</v>
      </c>
      <c r="D13" t="s">
        <v>8</v>
      </c>
      <c r="E13" t="str">
        <f>IF(june[[#This Row],[ShiftCounter]]&gt;0, "Running", "Down")</f>
        <v>Running</v>
      </c>
    </row>
    <row r="14" spans="1:5" x14ac:dyDescent="0.25">
      <c r="A14" s="8">
        <v>44713</v>
      </c>
      <c r="B14" t="s">
        <v>5</v>
      </c>
      <c r="C14">
        <v>2288</v>
      </c>
      <c r="D14" t="s">
        <v>6</v>
      </c>
      <c r="E14" t="str">
        <f>IF(june[[#This Row],[ShiftCounter]]&gt;0, "Running", "Down")</f>
        <v>Running</v>
      </c>
    </row>
    <row r="15" spans="1:5" x14ac:dyDescent="0.25">
      <c r="A15" s="8">
        <v>44713</v>
      </c>
      <c r="B15" t="s">
        <v>5</v>
      </c>
      <c r="C15">
        <v>2298</v>
      </c>
      <c r="D15" t="s">
        <v>7</v>
      </c>
      <c r="E15" t="str">
        <f>IF(june[[#This Row],[ShiftCounter]]&gt;0, "Running", "Down")</f>
        <v>Running</v>
      </c>
    </row>
    <row r="16" spans="1:5" x14ac:dyDescent="0.25">
      <c r="A16" s="8">
        <v>44713</v>
      </c>
      <c r="B16" t="s">
        <v>5</v>
      </c>
      <c r="C16">
        <v>2194</v>
      </c>
      <c r="D16" t="s">
        <v>8</v>
      </c>
      <c r="E16" t="str">
        <f>IF(june[[#This Row],[ShiftCounter]]&gt;0, "Running", "Down")</f>
        <v>Running</v>
      </c>
    </row>
    <row r="17" spans="1:5" x14ac:dyDescent="0.25">
      <c r="A17" s="8">
        <v>44713</v>
      </c>
      <c r="B17" t="s">
        <v>9</v>
      </c>
      <c r="C17">
        <v>2136</v>
      </c>
      <c r="D17" t="s">
        <v>6</v>
      </c>
      <c r="E17" t="str">
        <f>IF(june[[#This Row],[ShiftCounter]]&gt;0, "Running", "Down")</f>
        <v>Running</v>
      </c>
    </row>
    <row r="18" spans="1:5" x14ac:dyDescent="0.25">
      <c r="A18" s="8">
        <v>44713</v>
      </c>
      <c r="B18" t="s">
        <v>9</v>
      </c>
      <c r="C18">
        <v>2321</v>
      </c>
      <c r="D18" t="s">
        <v>7</v>
      </c>
      <c r="E18" t="str">
        <f>IF(june[[#This Row],[ShiftCounter]]&gt;0, "Running", "Down")</f>
        <v>Running</v>
      </c>
    </row>
    <row r="19" spans="1:5" x14ac:dyDescent="0.25">
      <c r="A19" s="8">
        <v>44713</v>
      </c>
      <c r="B19" t="s">
        <v>9</v>
      </c>
      <c r="C19">
        <v>2116</v>
      </c>
      <c r="D19" t="s">
        <v>8</v>
      </c>
      <c r="E19" t="str">
        <f>IF(june[[#This Row],[ShiftCounter]]&gt;0, "Running", "Down")</f>
        <v>Running</v>
      </c>
    </row>
    <row r="20" spans="1:5" x14ac:dyDescent="0.25">
      <c r="A20" s="8">
        <v>44713</v>
      </c>
      <c r="B20" t="s">
        <v>10</v>
      </c>
      <c r="C20">
        <v>2353</v>
      </c>
      <c r="D20" t="s">
        <v>6</v>
      </c>
      <c r="E20" t="str">
        <f>IF(june[[#This Row],[ShiftCounter]]&gt;0, "Running", "Down")</f>
        <v>Running</v>
      </c>
    </row>
    <row r="21" spans="1:5" x14ac:dyDescent="0.25">
      <c r="A21" s="8">
        <v>44713</v>
      </c>
      <c r="B21" t="s">
        <v>10</v>
      </c>
      <c r="C21">
        <v>2361</v>
      </c>
      <c r="D21" t="s">
        <v>7</v>
      </c>
      <c r="E21" t="str">
        <f>IF(june[[#This Row],[ShiftCounter]]&gt;0, "Running", "Down")</f>
        <v>Running</v>
      </c>
    </row>
    <row r="22" spans="1:5" x14ac:dyDescent="0.25">
      <c r="A22" s="8">
        <v>44713</v>
      </c>
      <c r="B22" t="s">
        <v>10</v>
      </c>
      <c r="C22">
        <v>2114</v>
      </c>
      <c r="D22" t="s">
        <v>8</v>
      </c>
      <c r="E22" t="str">
        <f>IF(june[[#This Row],[ShiftCounter]]&gt;0, "Running", "Down")</f>
        <v>Running</v>
      </c>
    </row>
    <row r="23" spans="1:5" x14ac:dyDescent="0.25">
      <c r="A23" s="8">
        <v>44713</v>
      </c>
      <c r="B23" t="s">
        <v>12</v>
      </c>
      <c r="C23">
        <v>2166</v>
      </c>
      <c r="D23" t="s">
        <v>6</v>
      </c>
      <c r="E23" t="str">
        <f>IF(june[[#This Row],[ShiftCounter]]&gt;0, "Running", "Down")</f>
        <v>Running</v>
      </c>
    </row>
    <row r="24" spans="1:5" x14ac:dyDescent="0.25">
      <c r="A24" s="8">
        <v>44713</v>
      </c>
      <c r="B24" t="s">
        <v>12</v>
      </c>
      <c r="C24">
        <v>2331</v>
      </c>
      <c r="D24" t="s">
        <v>7</v>
      </c>
      <c r="E24" t="str">
        <f>IF(june[[#This Row],[ShiftCounter]]&gt;0, "Running", "Down")</f>
        <v>Running</v>
      </c>
    </row>
    <row r="25" spans="1:5" x14ac:dyDescent="0.25">
      <c r="A25" s="8">
        <v>44713</v>
      </c>
      <c r="B25" t="s">
        <v>12</v>
      </c>
      <c r="C25">
        <v>2060</v>
      </c>
      <c r="D25" t="s">
        <v>8</v>
      </c>
      <c r="E25" t="str">
        <f>IF(june[[#This Row],[ShiftCounter]]&gt;0, "Running", "Down")</f>
        <v>Running</v>
      </c>
    </row>
    <row r="26" spans="1:5" x14ac:dyDescent="0.25">
      <c r="A26" s="8">
        <v>44713</v>
      </c>
      <c r="B26" t="s">
        <v>105</v>
      </c>
      <c r="C26">
        <v>2302</v>
      </c>
      <c r="D26" t="s">
        <v>6</v>
      </c>
      <c r="E26" t="str">
        <f>IF(june[[#This Row],[ShiftCounter]]&gt;0, "Running", "Down")</f>
        <v>Running</v>
      </c>
    </row>
    <row r="27" spans="1:5" x14ac:dyDescent="0.25">
      <c r="A27" s="8">
        <v>44713</v>
      </c>
      <c r="B27" t="s">
        <v>105</v>
      </c>
      <c r="C27">
        <v>2227</v>
      </c>
      <c r="D27" t="s">
        <v>7</v>
      </c>
      <c r="E27" t="str">
        <f>IF(june[[#This Row],[ShiftCounter]]&gt;0, "Running", "Down")</f>
        <v>Running</v>
      </c>
    </row>
    <row r="28" spans="1:5" x14ac:dyDescent="0.25">
      <c r="A28" s="8">
        <v>44713</v>
      </c>
      <c r="B28" t="s">
        <v>105</v>
      </c>
      <c r="C28">
        <v>1932</v>
      </c>
      <c r="D28" t="s">
        <v>8</v>
      </c>
      <c r="E28" t="str">
        <f>IF(june[[#This Row],[ShiftCounter]]&gt;0, "Running", "Down")</f>
        <v>Running</v>
      </c>
    </row>
    <row r="29" spans="1:5" x14ac:dyDescent="0.25">
      <c r="A29" s="8">
        <v>44713</v>
      </c>
      <c r="B29" t="s">
        <v>13</v>
      </c>
      <c r="C29">
        <v>2162</v>
      </c>
      <c r="D29" t="s">
        <v>6</v>
      </c>
      <c r="E29" t="str">
        <f>IF(june[[#This Row],[ShiftCounter]]&gt;0, "Running", "Down")</f>
        <v>Running</v>
      </c>
    </row>
    <row r="30" spans="1:5" x14ac:dyDescent="0.25">
      <c r="A30" s="8">
        <v>44713</v>
      </c>
      <c r="B30" t="s">
        <v>13</v>
      </c>
      <c r="C30">
        <v>2103</v>
      </c>
      <c r="D30" t="s">
        <v>7</v>
      </c>
      <c r="E30" t="str">
        <f>IF(june[[#This Row],[ShiftCounter]]&gt;0, "Running", "Down")</f>
        <v>Running</v>
      </c>
    </row>
    <row r="31" spans="1:5" x14ac:dyDescent="0.25">
      <c r="A31" s="8">
        <v>44713</v>
      </c>
      <c r="B31" t="s">
        <v>13</v>
      </c>
      <c r="C31">
        <v>1845</v>
      </c>
      <c r="D31" t="s">
        <v>8</v>
      </c>
      <c r="E31" t="str">
        <f>IF(june[[#This Row],[ShiftCounter]]&gt;0, "Running", "Down")</f>
        <v>Running</v>
      </c>
    </row>
    <row r="32" spans="1:5" x14ac:dyDescent="0.25">
      <c r="A32" s="8">
        <v>44713</v>
      </c>
      <c r="B32" t="s">
        <v>101</v>
      </c>
      <c r="C32">
        <v>2102</v>
      </c>
      <c r="D32" t="s">
        <v>6</v>
      </c>
      <c r="E32" t="str">
        <f>IF(june[[#This Row],[ShiftCounter]]&gt;0, "Running", "Down")</f>
        <v>Running</v>
      </c>
    </row>
    <row r="33" spans="1:8" x14ac:dyDescent="0.25">
      <c r="A33" s="8">
        <v>44713</v>
      </c>
      <c r="B33" t="s">
        <v>101</v>
      </c>
      <c r="C33">
        <v>2067</v>
      </c>
      <c r="D33" t="s">
        <v>7</v>
      </c>
      <c r="E33" t="str">
        <f>IF(june[[#This Row],[ShiftCounter]]&gt;0, "Running", "Down")</f>
        <v>Running</v>
      </c>
    </row>
    <row r="34" spans="1:8" x14ac:dyDescent="0.25">
      <c r="A34" s="8">
        <v>44713</v>
      </c>
      <c r="B34" t="s">
        <v>101</v>
      </c>
      <c r="C34">
        <v>1718</v>
      </c>
      <c r="D34" t="s">
        <v>8</v>
      </c>
      <c r="E34" t="str">
        <f>IF(june[[#This Row],[ShiftCounter]]&gt;0, "Running", "Down")</f>
        <v>Running</v>
      </c>
    </row>
    <row r="35" spans="1:8" x14ac:dyDescent="0.25">
      <c r="A35" s="8">
        <v>44713</v>
      </c>
      <c r="B35" t="s">
        <v>14</v>
      </c>
      <c r="C35">
        <v>1861</v>
      </c>
      <c r="D35" t="s">
        <v>6</v>
      </c>
      <c r="E35" t="str">
        <f>IF(june[[#This Row],[ShiftCounter]]&gt;0, "Running", "Down")</f>
        <v>Running</v>
      </c>
    </row>
    <row r="36" spans="1:8" x14ac:dyDescent="0.25">
      <c r="A36" s="8">
        <v>44713</v>
      </c>
      <c r="B36" t="s">
        <v>14</v>
      </c>
      <c r="C36">
        <v>1833</v>
      </c>
      <c r="D36" t="s">
        <v>7</v>
      </c>
      <c r="E36" t="str">
        <f>IF(june[[#This Row],[ShiftCounter]]&gt;0, "Running", "Down")</f>
        <v>Running</v>
      </c>
    </row>
    <row r="37" spans="1:8" x14ac:dyDescent="0.25">
      <c r="A37" s="8">
        <v>44713</v>
      </c>
      <c r="B37" t="s">
        <v>14</v>
      </c>
      <c r="C37">
        <v>1568</v>
      </c>
      <c r="D37" t="s">
        <v>8</v>
      </c>
      <c r="E37" t="str">
        <f>IF(june[[#This Row],[ShiftCounter]]&gt;0, "Running", "Down")</f>
        <v>Running</v>
      </c>
    </row>
    <row r="38" spans="1:8" x14ac:dyDescent="0.25">
      <c r="A38" s="8">
        <v>44713</v>
      </c>
      <c r="B38" t="s">
        <v>15</v>
      </c>
      <c r="C38">
        <v>2151</v>
      </c>
      <c r="D38" t="s">
        <v>6</v>
      </c>
      <c r="E38" t="str">
        <f>IF(june[[#This Row],[ShiftCounter]]&gt;0, "Running", "Down")</f>
        <v>Running</v>
      </c>
    </row>
    <row r="39" spans="1:8" x14ac:dyDescent="0.25">
      <c r="A39" s="8">
        <v>44713</v>
      </c>
      <c r="B39" t="s">
        <v>15</v>
      </c>
      <c r="C39">
        <v>2070</v>
      </c>
      <c r="D39" t="s">
        <v>7</v>
      </c>
      <c r="E39" t="str">
        <f>IF(june[[#This Row],[ShiftCounter]]&gt;0, "Running", "Down")</f>
        <v>Running</v>
      </c>
    </row>
    <row r="40" spans="1:8" x14ac:dyDescent="0.25">
      <c r="A40" s="8">
        <v>44713</v>
      </c>
      <c r="B40" t="s">
        <v>15</v>
      </c>
      <c r="C40">
        <v>1834</v>
      </c>
      <c r="D40" t="s">
        <v>8</v>
      </c>
      <c r="E40" t="str">
        <f>IF(june[[#This Row],[ShiftCounter]]&gt;0, "Running", "Down")</f>
        <v>Running</v>
      </c>
    </row>
    <row r="41" spans="1:8" x14ac:dyDescent="0.25">
      <c r="A41" s="8">
        <v>44713</v>
      </c>
      <c r="B41" t="s">
        <v>16</v>
      </c>
      <c r="C41">
        <v>2203</v>
      </c>
      <c r="D41" t="s">
        <v>6</v>
      </c>
      <c r="E41" t="str">
        <f>IF(june[[#This Row],[ShiftCounter]]&gt;0, "Running", "Down")</f>
        <v>Running</v>
      </c>
    </row>
    <row r="42" spans="1:8" x14ac:dyDescent="0.25">
      <c r="A42" s="8">
        <v>44713</v>
      </c>
      <c r="B42" t="s">
        <v>16</v>
      </c>
      <c r="C42">
        <v>2222</v>
      </c>
      <c r="D42" t="s">
        <v>7</v>
      </c>
      <c r="E42" t="str">
        <f>IF(june[[#This Row],[ShiftCounter]]&gt;0, "Running", "Down")</f>
        <v>Running</v>
      </c>
    </row>
    <row r="43" spans="1:8" x14ac:dyDescent="0.25">
      <c r="A43" s="8">
        <v>44713</v>
      </c>
      <c r="B43" t="s">
        <v>16</v>
      </c>
      <c r="C43">
        <v>2080</v>
      </c>
      <c r="D43" t="s">
        <v>8</v>
      </c>
      <c r="E43" t="str">
        <f>IF(june[[#This Row],[ShiftCounter]]&gt;0, "Running", "Down")</f>
        <v>Running</v>
      </c>
    </row>
    <row r="44" spans="1:8" x14ac:dyDescent="0.25">
      <c r="A44" s="8">
        <v>44713</v>
      </c>
      <c r="B44" t="s">
        <v>17</v>
      </c>
      <c r="C44">
        <v>2332</v>
      </c>
      <c r="D44" t="s">
        <v>6</v>
      </c>
      <c r="E44" t="str">
        <f>IF(june[[#This Row],[ShiftCounter]]&gt;0, "Running", "Down")</f>
        <v>Running</v>
      </c>
    </row>
    <row r="45" spans="1:8" x14ac:dyDescent="0.25">
      <c r="A45" s="8">
        <v>44713</v>
      </c>
      <c r="B45" t="s">
        <v>17</v>
      </c>
      <c r="C45">
        <v>2316</v>
      </c>
      <c r="D45" t="s">
        <v>7</v>
      </c>
      <c r="E45" t="str">
        <f>IF(june[[#This Row],[ShiftCounter]]&gt;0, "Running", "Down")</f>
        <v>Running</v>
      </c>
    </row>
    <row r="46" spans="1:8" x14ac:dyDescent="0.25">
      <c r="A46" s="8">
        <v>44713</v>
      </c>
      <c r="B46" t="s">
        <v>17</v>
      </c>
      <c r="C46">
        <v>2197</v>
      </c>
      <c r="D46" t="s">
        <v>8</v>
      </c>
      <c r="E46" t="str">
        <f>IF(june[[#This Row],[ShiftCounter]]&gt;0, "Running", "Down")</f>
        <v>Running</v>
      </c>
    </row>
    <row r="47" spans="1:8" x14ac:dyDescent="0.25">
      <c r="A47" s="8">
        <v>44713</v>
      </c>
      <c r="B47" t="s">
        <v>19</v>
      </c>
      <c r="C47">
        <v>1788</v>
      </c>
      <c r="D47" t="s">
        <v>6</v>
      </c>
      <c r="E47" t="str">
        <f>IF(june[[#This Row],[ShiftCounter]]&gt;0, "Running", "Down")</f>
        <v>Running</v>
      </c>
      <c r="H47">
        <f>3576/2</f>
        <v>1788</v>
      </c>
    </row>
    <row r="48" spans="1:8" x14ac:dyDescent="0.25">
      <c r="A48" s="8">
        <v>44713</v>
      </c>
      <c r="B48" t="s">
        <v>19</v>
      </c>
      <c r="C48">
        <v>1788</v>
      </c>
      <c r="D48" t="s">
        <v>7</v>
      </c>
      <c r="E48" t="str">
        <f>IF(june[[#This Row],[ShiftCounter]]&gt;0, "Running", "Down")</f>
        <v>Running</v>
      </c>
    </row>
    <row r="49" spans="1:5" x14ac:dyDescent="0.25">
      <c r="A49" s="8">
        <v>44713</v>
      </c>
      <c r="B49" t="s">
        <v>19</v>
      </c>
      <c r="C49">
        <v>1914</v>
      </c>
      <c r="D49" t="s">
        <v>8</v>
      </c>
      <c r="E49" t="str">
        <f>IF(june[[#This Row],[ShiftCounter]]&gt;0, "Running", "Down")</f>
        <v>Running</v>
      </c>
    </row>
    <row r="50" spans="1:5" x14ac:dyDescent="0.25">
      <c r="A50" s="8">
        <v>44713</v>
      </c>
      <c r="B50" t="s">
        <v>18</v>
      </c>
      <c r="C50">
        <v>2313</v>
      </c>
      <c r="D50" t="s">
        <v>6</v>
      </c>
      <c r="E50" t="str">
        <f>IF(june[[#This Row],[ShiftCounter]]&gt;0, "Running", "Down")</f>
        <v>Running</v>
      </c>
    </row>
    <row r="51" spans="1:5" x14ac:dyDescent="0.25">
      <c r="A51" s="8">
        <v>44713</v>
      </c>
      <c r="B51" t="s">
        <v>18</v>
      </c>
      <c r="C51">
        <v>2345</v>
      </c>
      <c r="D51" t="s">
        <v>7</v>
      </c>
      <c r="E51" t="str">
        <f>IF(june[[#This Row],[ShiftCounter]]&gt;0, "Running", "Down")</f>
        <v>Running</v>
      </c>
    </row>
    <row r="52" spans="1:5" x14ac:dyDescent="0.25">
      <c r="A52" s="8">
        <v>44713</v>
      </c>
      <c r="B52" t="s">
        <v>18</v>
      </c>
      <c r="C52">
        <v>2221</v>
      </c>
      <c r="D52" t="s">
        <v>8</v>
      </c>
      <c r="E52" t="str">
        <f>IF(june[[#This Row],[ShiftCounter]]&gt;0, "Running", "Down")</f>
        <v>Running</v>
      </c>
    </row>
    <row r="53" spans="1:5" x14ac:dyDescent="0.25">
      <c r="A53" s="8">
        <v>44713</v>
      </c>
      <c r="B53" t="s">
        <v>38</v>
      </c>
      <c r="C53">
        <v>2097</v>
      </c>
      <c r="D53" t="s">
        <v>6</v>
      </c>
      <c r="E53" t="str">
        <f>IF(june[[#This Row],[ShiftCounter]]&gt;0, "Running", "Down")</f>
        <v>Running</v>
      </c>
    </row>
    <row r="54" spans="1:5" x14ac:dyDescent="0.25">
      <c r="A54" s="8">
        <v>44713</v>
      </c>
      <c r="B54" t="s">
        <v>38</v>
      </c>
      <c r="C54">
        <v>2286</v>
      </c>
      <c r="D54" t="s">
        <v>7</v>
      </c>
      <c r="E54" t="str">
        <f>IF(june[[#This Row],[ShiftCounter]]&gt;0, "Running", "Down")</f>
        <v>Running</v>
      </c>
    </row>
    <row r="55" spans="1:5" x14ac:dyDescent="0.25">
      <c r="A55" s="8">
        <v>44713</v>
      </c>
      <c r="B55" t="s">
        <v>38</v>
      </c>
      <c r="C55">
        <v>2159</v>
      </c>
      <c r="D55" t="s">
        <v>8</v>
      </c>
      <c r="E55" t="str">
        <f>IF(june[[#This Row],[ShiftCounter]]&gt;0, "Running", "Down")</f>
        <v>Running</v>
      </c>
    </row>
    <row r="56" spans="1:5" x14ac:dyDescent="0.25">
      <c r="A56" s="8">
        <v>44713</v>
      </c>
      <c r="B56" t="s">
        <v>20</v>
      </c>
      <c r="C56">
        <v>2241</v>
      </c>
      <c r="D56" t="s">
        <v>6</v>
      </c>
      <c r="E56" t="str">
        <f>IF(june[[#This Row],[ShiftCounter]]&gt;0, "Running", "Down")</f>
        <v>Running</v>
      </c>
    </row>
    <row r="57" spans="1:5" x14ac:dyDescent="0.25">
      <c r="A57" s="8">
        <v>44713</v>
      </c>
      <c r="B57" t="s">
        <v>20</v>
      </c>
      <c r="C57">
        <v>2262</v>
      </c>
      <c r="D57" t="s">
        <v>7</v>
      </c>
      <c r="E57" t="str">
        <f>IF(june[[#This Row],[ShiftCounter]]&gt;0, "Running", "Down")</f>
        <v>Running</v>
      </c>
    </row>
    <row r="58" spans="1:5" x14ac:dyDescent="0.25">
      <c r="A58" s="8">
        <v>44713</v>
      </c>
      <c r="B58" t="s">
        <v>20</v>
      </c>
      <c r="C58">
        <v>2709</v>
      </c>
      <c r="D58" t="s">
        <v>8</v>
      </c>
      <c r="E58" t="str">
        <f>IF(june[[#This Row],[ShiftCounter]]&gt;0, "Running", "Down")</f>
        <v>Running</v>
      </c>
    </row>
    <row r="59" spans="1:5" x14ac:dyDescent="0.25">
      <c r="A59" s="8">
        <v>44713</v>
      </c>
      <c r="B59" t="s">
        <v>21</v>
      </c>
      <c r="C59">
        <v>1983</v>
      </c>
      <c r="D59" t="s">
        <v>6</v>
      </c>
      <c r="E59" t="str">
        <f>IF(june[[#This Row],[ShiftCounter]]&gt;0, "Running", "Down")</f>
        <v>Running</v>
      </c>
    </row>
    <row r="60" spans="1:5" x14ac:dyDescent="0.25">
      <c r="A60" s="8">
        <v>44713</v>
      </c>
      <c r="B60" t="s">
        <v>21</v>
      </c>
      <c r="C60">
        <v>2055</v>
      </c>
      <c r="D60" t="s">
        <v>7</v>
      </c>
      <c r="E60" t="str">
        <f>IF(june[[#This Row],[ShiftCounter]]&gt;0, "Running", "Down")</f>
        <v>Running</v>
      </c>
    </row>
    <row r="61" spans="1:5" x14ac:dyDescent="0.25">
      <c r="A61" s="8">
        <v>44713</v>
      </c>
      <c r="B61" t="s">
        <v>21</v>
      </c>
      <c r="C61">
        <v>1905</v>
      </c>
      <c r="D61" t="s">
        <v>8</v>
      </c>
      <c r="E61" t="str">
        <f>IF(june[[#This Row],[ShiftCounter]]&gt;0, "Running", "Down")</f>
        <v>Running</v>
      </c>
    </row>
    <row r="62" spans="1:5" x14ac:dyDescent="0.25">
      <c r="A62" s="8">
        <v>44713</v>
      </c>
      <c r="B62" t="s">
        <v>22</v>
      </c>
      <c r="C62">
        <v>2168</v>
      </c>
      <c r="D62" t="s">
        <v>6</v>
      </c>
      <c r="E62" t="str">
        <f>IF(june[[#This Row],[ShiftCounter]]&gt;0, "Running", "Down")</f>
        <v>Running</v>
      </c>
    </row>
    <row r="63" spans="1:5" x14ac:dyDescent="0.25">
      <c r="A63" s="8">
        <v>44713</v>
      </c>
      <c r="B63" t="s">
        <v>22</v>
      </c>
      <c r="C63">
        <v>2200</v>
      </c>
      <c r="D63" t="s">
        <v>7</v>
      </c>
      <c r="E63" t="str">
        <f>IF(june[[#This Row],[ShiftCounter]]&gt;0, "Running", "Down")</f>
        <v>Running</v>
      </c>
    </row>
    <row r="64" spans="1:5" x14ac:dyDescent="0.25">
      <c r="A64" s="8">
        <v>44713</v>
      </c>
      <c r="B64" t="s">
        <v>22</v>
      </c>
      <c r="C64">
        <v>2002</v>
      </c>
      <c r="D64" t="s">
        <v>8</v>
      </c>
      <c r="E64" t="str">
        <f>IF(june[[#This Row],[ShiftCounter]]&gt;0, "Running", "Down")</f>
        <v>Running</v>
      </c>
    </row>
    <row r="65" spans="1:8" x14ac:dyDescent="0.25">
      <c r="A65" s="8">
        <v>44713</v>
      </c>
      <c r="B65" t="s">
        <v>23</v>
      </c>
      <c r="C65">
        <v>1670</v>
      </c>
      <c r="D65" t="s">
        <v>6</v>
      </c>
      <c r="E65" t="str">
        <f>IF(june[[#This Row],[ShiftCounter]]&gt;0, "Running", "Down")</f>
        <v>Running</v>
      </c>
    </row>
    <row r="66" spans="1:8" x14ac:dyDescent="0.25">
      <c r="A66" s="8">
        <v>44713</v>
      </c>
      <c r="B66" t="s">
        <v>23</v>
      </c>
      <c r="C66">
        <v>2043</v>
      </c>
      <c r="D66" t="s">
        <v>7</v>
      </c>
      <c r="E66" t="str">
        <f>IF(june[[#This Row],[ShiftCounter]]&gt;0, "Running", "Down")</f>
        <v>Running</v>
      </c>
    </row>
    <row r="67" spans="1:8" x14ac:dyDescent="0.25">
      <c r="A67" s="8">
        <v>44713</v>
      </c>
      <c r="B67" t="s">
        <v>23</v>
      </c>
      <c r="C67">
        <v>1980</v>
      </c>
      <c r="D67" t="s">
        <v>8</v>
      </c>
      <c r="E67" t="str">
        <f>IF(june[[#This Row],[ShiftCounter]]&gt;0, "Running", "Down")</f>
        <v>Running</v>
      </c>
    </row>
    <row r="68" spans="1:8" x14ac:dyDescent="0.25">
      <c r="A68" s="8">
        <v>44713</v>
      </c>
      <c r="B68" t="s">
        <v>24</v>
      </c>
      <c r="C68">
        <v>1854</v>
      </c>
      <c r="D68" t="s">
        <v>6</v>
      </c>
      <c r="E68" t="str">
        <f>IF(june[[#This Row],[ShiftCounter]]&gt;0, "Running", "Down")</f>
        <v>Running</v>
      </c>
    </row>
    <row r="69" spans="1:8" x14ac:dyDescent="0.25">
      <c r="A69" s="8">
        <v>44713</v>
      </c>
      <c r="B69" t="s">
        <v>24</v>
      </c>
      <c r="C69">
        <v>2139</v>
      </c>
      <c r="D69" t="s">
        <v>7</v>
      </c>
      <c r="E69" t="str">
        <f>IF(june[[#This Row],[ShiftCounter]]&gt;0, "Running", "Down")</f>
        <v>Running</v>
      </c>
    </row>
    <row r="70" spans="1:8" x14ac:dyDescent="0.25">
      <c r="A70" s="8">
        <v>44713</v>
      </c>
      <c r="B70" t="s">
        <v>24</v>
      </c>
      <c r="C70">
        <v>1926</v>
      </c>
      <c r="D70" t="s">
        <v>8</v>
      </c>
      <c r="E70" t="str">
        <f>IF(june[[#This Row],[ShiftCounter]]&gt;0, "Running", "Down")</f>
        <v>Running</v>
      </c>
    </row>
    <row r="71" spans="1:8" x14ac:dyDescent="0.25">
      <c r="A71" s="8">
        <v>44713</v>
      </c>
      <c r="B71" t="s">
        <v>25</v>
      </c>
      <c r="C71">
        <v>2287</v>
      </c>
      <c r="D71" t="s">
        <v>6</v>
      </c>
      <c r="E71" t="str">
        <f>IF(june[[#This Row],[ShiftCounter]]&gt;0, "Running", "Down")</f>
        <v>Running</v>
      </c>
    </row>
    <row r="72" spans="1:8" x14ac:dyDescent="0.25">
      <c r="A72" s="8">
        <v>44713</v>
      </c>
      <c r="B72" t="s">
        <v>25</v>
      </c>
      <c r="C72">
        <v>2269</v>
      </c>
      <c r="D72" t="s">
        <v>7</v>
      </c>
      <c r="E72" t="str">
        <f>IF(june[[#This Row],[ShiftCounter]]&gt;0, "Running", "Down")</f>
        <v>Running</v>
      </c>
    </row>
    <row r="73" spans="1:8" x14ac:dyDescent="0.25">
      <c r="A73" s="8">
        <v>44713</v>
      </c>
      <c r="B73" t="s">
        <v>25</v>
      </c>
      <c r="C73">
        <v>2067</v>
      </c>
      <c r="D73" t="s">
        <v>8</v>
      </c>
      <c r="E73" t="str">
        <f>IF(june[[#This Row],[ShiftCounter]]&gt;0, "Running", "Down")</f>
        <v>Running</v>
      </c>
    </row>
    <row r="74" spans="1:8" x14ac:dyDescent="0.25">
      <c r="A74" s="8">
        <v>44713</v>
      </c>
      <c r="B74" t="s">
        <v>26</v>
      </c>
      <c r="C74">
        <v>1537</v>
      </c>
      <c r="D74" t="s">
        <v>6</v>
      </c>
      <c r="E74" t="str">
        <f>IF(june[[#This Row],[ShiftCounter]]&gt;0, "Running", "Down")</f>
        <v>Running</v>
      </c>
    </row>
    <row r="75" spans="1:8" x14ac:dyDescent="0.25">
      <c r="A75" s="8">
        <v>44713</v>
      </c>
      <c r="B75" t="s">
        <v>26</v>
      </c>
      <c r="C75">
        <v>2091</v>
      </c>
      <c r="D75" t="s">
        <v>7</v>
      </c>
      <c r="E75" t="str">
        <f>IF(june[[#This Row],[ShiftCounter]]&gt;0, "Running", "Down")</f>
        <v>Running</v>
      </c>
    </row>
    <row r="76" spans="1:8" x14ac:dyDescent="0.25">
      <c r="A76" s="8">
        <v>44713</v>
      </c>
      <c r="B76" t="s">
        <v>26</v>
      </c>
      <c r="C76">
        <v>1902</v>
      </c>
      <c r="D76" t="s">
        <v>8</v>
      </c>
      <c r="E76" t="str">
        <f>IF(june[[#This Row],[ShiftCounter]]&gt;0, "Running", "Down")</f>
        <v>Running</v>
      </c>
    </row>
    <row r="77" spans="1:8" x14ac:dyDescent="0.25">
      <c r="A77" s="8">
        <v>44713</v>
      </c>
      <c r="B77" t="s">
        <v>27</v>
      </c>
      <c r="C77">
        <v>2255</v>
      </c>
      <c r="D77" t="s">
        <v>6</v>
      </c>
      <c r="E77" t="str">
        <f>IF(june[[#This Row],[ShiftCounter]]&gt;0, "Running", "Down")</f>
        <v>Running</v>
      </c>
      <c r="H77">
        <f>4509/2</f>
        <v>2254.5</v>
      </c>
    </row>
    <row r="78" spans="1:8" x14ac:dyDescent="0.25">
      <c r="A78" s="8">
        <v>44713</v>
      </c>
      <c r="B78" t="s">
        <v>27</v>
      </c>
      <c r="C78">
        <v>2254</v>
      </c>
      <c r="D78" t="s">
        <v>7</v>
      </c>
      <c r="E78" t="str">
        <f>IF(june[[#This Row],[ShiftCounter]]&gt;0, "Running", "Down")</f>
        <v>Running</v>
      </c>
    </row>
    <row r="79" spans="1:8" x14ac:dyDescent="0.25">
      <c r="A79" s="8">
        <v>44713</v>
      </c>
      <c r="B79" t="s">
        <v>27</v>
      </c>
      <c r="C79">
        <v>2086</v>
      </c>
      <c r="D79" t="s">
        <v>8</v>
      </c>
      <c r="E79" t="str">
        <f>IF(june[[#This Row],[ShiftCounter]]&gt;0, "Running", "Down")</f>
        <v>Running</v>
      </c>
    </row>
    <row r="80" spans="1:8" x14ac:dyDescent="0.25">
      <c r="A80" s="8">
        <v>44713</v>
      </c>
      <c r="B80" t="s">
        <v>28</v>
      </c>
      <c r="C80">
        <v>2310</v>
      </c>
      <c r="D80" t="s">
        <v>6</v>
      </c>
      <c r="E80" t="str">
        <f>IF(june[[#This Row],[ShiftCounter]]&gt;0, "Running", "Down")</f>
        <v>Running</v>
      </c>
    </row>
    <row r="81" spans="1:8" x14ac:dyDescent="0.25">
      <c r="A81" s="8">
        <v>44713</v>
      </c>
      <c r="B81" t="s">
        <v>28</v>
      </c>
      <c r="C81">
        <v>2186</v>
      </c>
      <c r="D81" t="s">
        <v>7</v>
      </c>
      <c r="E81" t="str">
        <f>IF(june[[#This Row],[ShiftCounter]]&gt;0, "Running", "Down")</f>
        <v>Running</v>
      </c>
    </row>
    <row r="82" spans="1:8" x14ac:dyDescent="0.25">
      <c r="A82" s="8">
        <v>44713</v>
      </c>
      <c r="B82" t="s">
        <v>28</v>
      </c>
      <c r="C82">
        <v>1969</v>
      </c>
      <c r="D82" t="s">
        <v>8</v>
      </c>
      <c r="E82" t="str">
        <f>IF(june[[#This Row],[ShiftCounter]]&gt;0, "Running", "Down")</f>
        <v>Running</v>
      </c>
    </row>
    <row r="83" spans="1:8" x14ac:dyDescent="0.25">
      <c r="A83" s="8">
        <v>44713</v>
      </c>
      <c r="B83" t="s">
        <v>29</v>
      </c>
      <c r="C83">
        <v>2036</v>
      </c>
      <c r="D83" t="s">
        <v>6</v>
      </c>
      <c r="E83" t="str">
        <f>IF(june[[#This Row],[ShiftCounter]]&gt;0, "Running", "Down")</f>
        <v>Running</v>
      </c>
    </row>
    <row r="84" spans="1:8" x14ac:dyDescent="0.25">
      <c r="A84" s="8">
        <v>44713</v>
      </c>
      <c r="B84" t="s">
        <v>29</v>
      </c>
      <c r="C84">
        <v>2074</v>
      </c>
      <c r="D84" t="s">
        <v>7</v>
      </c>
      <c r="E84" t="str">
        <f>IF(june[[#This Row],[ShiftCounter]]&gt;0, "Running", "Down")</f>
        <v>Running</v>
      </c>
    </row>
    <row r="85" spans="1:8" x14ac:dyDescent="0.25">
      <c r="A85" s="8">
        <v>44713</v>
      </c>
      <c r="B85" t="s">
        <v>29</v>
      </c>
      <c r="C85">
        <v>1842</v>
      </c>
      <c r="D85" t="s">
        <v>8</v>
      </c>
      <c r="E85" t="str">
        <f>IF(june[[#This Row],[ShiftCounter]]&gt;0, "Running", "Down")</f>
        <v>Running</v>
      </c>
    </row>
    <row r="86" spans="1:8" x14ac:dyDescent="0.25">
      <c r="A86" s="8">
        <v>44713</v>
      </c>
      <c r="B86" t="s">
        <v>30</v>
      </c>
      <c r="C86">
        <v>2243</v>
      </c>
      <c r="D86" t="s">
        <v>6</v>
      </c>
      <c r="E86" t="str">
        <f>IF(june[[#This Row],[ShiftCounter]]&gt;0, "Running", "Down")</f>
        <v>Running</v>
      </c>
      <c r="H86">
        <f>4486/2</f>
        <v>2243</v>
      </c>
    </row>
    <row r="87" spans="1:8" x14ac:dyDescent="0.25">
      <c r="A87" s="8">
        <v>44713</v>
      </c>
      <c r="B87" t="s">
        <v>30</v>
      </c>
      <c r="C87">
        <v>2243</v>
      </c>
      <c r="D87" t="s">
        <v>7</v>
      </c>
      <c r="E87" t="str">
        <f>IF(june[[#This Row],[ShiftCounter]]&gt;0, "Running", "Down")</f>
        <v>Running</v>
      </c>
    </row>
    <row r="88" spans="1:8" x14ac:dyDescent="0.25">
      <c r="A88" s="8">
        <v>44713</v>
      </c>
      <c r="B88" t="s">
        <v>30</v>
      </c>
      <c r="C88">
        <v>2025</v>
      </c>
      <c r="D88" t="s">
        <v>8</v>
      </c>
      <c r="E88" t="str">
        <f>IF(june[[#This Row],[ShiftCounter]]&gt;0, "Running", "Down")</f>
        <v>Running</v>
      </c>
    </row>
    <row r="89" spans="1:8" x14ac:dyDescent="0.25">
      <c r="A89" s="8">
        <v>44713</v>
      </c>
      <c r="B89" t="s">
        <v>31</v>
      </c>
      <c r="C89">
        <v>2101</v>
      </c>
      <c r="D89" t="s">
        <v>6</v>
      </c>
      <c r="E89" t="str">
        <f>IF(june[[#This Row],[ShiftCounter]]&gt;0, "Running", "Down")</f>
        <v>Running</v>
      </c>
    </row>
    <row r="90" spans="1:8" x14ac:dyDescent="0.25">
      <c r="A90" s="8">
        <v>44713</v>
      </c>
      <c r="B90" t="s">
        <v>31</v>
      </c>
      <c r="C90">
        <v>2003</v>
      </c>
      <c r="D90" t="s">
        <v>7</v>
      </c>
      <c r="E90" t="str">
        <f>IF(june[[#This Row],[ShiftCounter]]&gt;0, "Running", "Down")</f>
        <v>Running</v>
      </c>
    </row>
    <row r="91" spans="1:8" x14ac:dyDescent="0.25">
      <c r="A91" s="8">
        <v>44713</v>
      </c>
      <c r="B91" t="s">
        <v>31</v>
      </c>
      <c r="C91">
        <v>1892</v>
      </c>
      <c r="D91" t="s">
        <v>8</v>
      </c>
      <c r="E91" t="str">
        <f>IF(june[[#This Row],[ShiftCounter]]&gt;0, "Running", "Down")</f>
        <v>Running</v>
      </c>
    </row>
    <row r="92" spans="1:8" x14ac:dyDescent="0.25">
      <c r="A92" s="8">
        <v>44713</v>
      </c>
      <c r="B92" t="s">
        <v>32</v>
      </c>
      <c r="C92">
        <v>2262</v>
      </c>
      <c r="D92" t="s">
        <v>6</v>
      </c>
      <c r="E92" t="str">
        <f>IF(june[[#This Row],[ShiftCounter]]&gt;0, "Running", "Down")</f>
        <v>Running</v>
      </c>
    </row>
    <row r="93" spans="1:8" x14ac:dyDescent="0.25">
      <c r="A93" s="8">
        <v>44713</v>
      </c>
      <c r="B93" t="s">
        <v>32</v>
      </c>
      <c r="C93">
        <v>2117</v>
      </c>
      <c r="D93" t="s">
        <v>7</v>
      </c>
      <c r="E93" t="str">
        <f>IF(june[[#This Row],[ShiftCounter]]&gt;0, "Running", "Down")</f>
        <v>Running</v>
      </c>
    </row>
    <row r="94" spans="1:8" x14ac:dyDescent="0.25">
      <c r="A94" s="8">
        <v>44713</v>
      </c>
      <c r="B94" t="s">
        <v>32</v>
      </c>
      <c r="C94">
        <v>2031</v>
      </c>
      <c r="D94" t="s">
        <v>8</v>
      </c>
      <c r="E94" t="str">
        <f>IF(june[[#This Row],[ShiftCounter]]&gt;0, "Running", "Down")</f>
        <v>Running</v>
      </c>
    </row>
    <row r="95" spans="1:8" x14ac:dyDescent="0.25">
      <c r="A95" s="8">
        <v>44713</v>
      </c>
      <c r="B95" t="s">
        <v>67</v>
      </c>
      <c r="C95">
        <v>2154</v>
      </c>
      <c r="D95" t="s">
        <v>6</v>
      </c>
      <c r="E95" t="str">
        <f>IF(june[[#This Row],[ShiftCounter]]&gt;0, "Running", "Down")</f>
        <v>Running</v>
      </c>
    </row>
    <row r="96" spans="1:8" x14ac:dyDescent="0.25">
      <c r="A96" s="8">
        <v>44713</v>
      </c>
      <c r="B96" t="s">
        <v>67</v>
      </c>
      <c r="C96">
        <v>2054</v>
      </c>
      <c r="D96" t="s">
        <v>7</v>
      </c>
      <c r="E96" t="str">
        <f>IF(june[[#This Row],[ShiftCounter]]&gt;0, "Running", "Down")</f>
        <v>Running</v>
      </c>
    </row>
    <row r="97" spans="1:5" x14ac:dyDescent="0.25">
      <c r="A97" s="8">
        <v>44713</v>
      </c>
      <c r="B97" t="s">
        <v>67</v>
      </c>
      <c r="C97">
        <v>1899</v>
      </c>
      <c r="D97" t="s">
        <v>8</v>
      </c>
      <c r="E97" t="str">
        <f>IF(june[[#This Row],[ShiftCounter]]&gt;0, "Running", "Down")</f>
        <v>Running</v>
      </c>
    </row>
    <row r="98" spans="1:5" x14ac:dyDescent="0.25">
      <c r="A98" s="8">
        <v>44713</v>
      </c>
      <c r="B98" t="s">
        <v>33</v>
      </c>
      <c r="C98">
        <v>2514</v>
      </c>
      <c r="D98" t="s">
        <v>6</v>
      </c>
      <c r="E98" t="str">
        <f>IF(june[[#This Row],[ShiftCounter]]&gt;0, "Running", "Down")</f>
        <v>Running</v>
      </c>
    </row>
    <row r="99" spans="1:5" x14ac:dyDescent="0.25">
      <c r="A99" s="8">
        <v>44713</v>
      </c>
      <c r="B99" t="s">
        <v>33</v>
      </c>
      <c r="C99">
        <v>2373</v>
      </c>
      <c r="D99" t="s">
        <v>7</v>
      </c>
      <c r="E99" t="str">
        <f>IF(june[[#This Row],[ShiftCounter]]&gt;0, "Running", "Down")</f>
        <v>Running</v>
      </c>
    </row>
    <row r="100" spans="1:5" x14ac:dyDescent="0.25">
      <c r="A100" s="8">
        <v>44713</v>
      </c>
      <c r="B100" t="s">
        <v>33</v>
      </c>
      <c r="C100">
        <v>2239</v>
      </c>
      <c r="D100" t="s">
        <v>8</v>
      </c>
      <c r="E100" t="str">
        <f>IF(june[[#This Row],[ShiftCounter]]&gt;0, "Running", "Down")</f>
        <v>Running</v>
      </c>
    </row>
    <row r="101" spans="1:5" x14ac:dyDescent="0.25">
      <c r="A101" s="8">
        <v>44713</v>
      </c>
      <c r="B101" t="s">
        <v>34</v>
      </c>
      <c r="C101">
        <v>1980</v>
      </c>
      <c r="D101" t="s">
        <v>6</v>
      </c>
      <c r="E101" t="str">
        <f>IF(june[[#This Row],[ShiftCounter]]&gt;0, "Running", "Down")</f>
        <v>Running</v>
      </c>
    </row>
    <row r="102" spans="1:5" x14ac:dyDescent="0.25">
      <c r="A102" s="8">
        <v>44713</v>
      </c>
      <c r="B102" t="s">
        <v>34</v>
      </c>
      <c r="C102">
        <v>1935</v>
      </c>
      <c r="D102" t="s">
        <v>7</v>
      </c>
      <c r="E102" t="str">
        <f>IF(june[[#This Row],[ShiftCounter]]&gt;0, "Running", "Down")</f>
        <v>Running</v>
      </c>
    </row>
    <row r="103" spans="1:5" x14ac:dyDescent="0.25">
      <c r="A103" s="8">
        <v>44713</v>
      </c>
      <c r="B103" t="s">
        <v>34</v>
      </c>
      <c r="C103">
        <v>1783</v>
      </c>
      <c r="D103" t="s">
        <v>8</v>
      </c>
      <c r="E103" t="str">
        <f>IF(june[[#This Row],[ShiftCounter]]&gt;0, "Running", "Down")</f>
        <v>Running</v>
      </c>
    </row>
    <row r="104" spans="1:5" x14ac:dyDescent="0.25">
      <c r="A104" s="8">
        <v>44713</v>
      </c>
      <c r="B104" t="s">
        <v>35</v>
      </c>
      <c r="C104">
        <v>2185</v>
      </c>
      <c r="D104" t="s">
        <v>6</v>
      </c>
      <c r="E104" t="str">
        <f>IF(june[[#This Row],[ShiftCounter]]&gt;0, "Running", "Down")</f>
        <v>Running</v>
      </c>
    </row>
    <row r="105" spans="1:5" x14ac:dyDescent="0.25">
      <c r="A105" s="8">
        <v>44713</v>
      </c>
      <c r="B105" t="s">
        <v>35</v>
      </c>
      <c r="C105">
        <v>2195</v>
      </c>
      <c r="D105" t="s">
        <v>7</v>
      </c>
      <c r="E105" t="str">
        <f>IF(june[[#This Row],[ShiftCounter]]&gt;0, "Running", "Down")</f>
        <v>Running</v>
      </c>
    </row>
    <row r="106" spans="1:5" x14ac:dyDescent="0.25">
      <c r="A106" s="8">
        <v>44713</v>
      </c>
      <c r="B106" t="s">
        <v>35</v>
      </c>
      <c r="C106">
        <v>1935</v>
      </c>
      <c r="D106" t="s">
        <v>8</v>
      </c>
      <c r="E106" t="str">
        <f>IF(june[[#This Row],[ShiftCounter]]&gt;0, "Running", "Down")</f>
        <v>Running</v>
      </c>
    </row>
    <row r="107" spans="1:5" x14ac:dyDescent="0.25">
      <c r="A107" s="8">
        <v>44713</v>
      </c>
      <c r="B107" t="s">
        <v>36</v>
      </c>
      <c r="C107">
        <v>2480</v>
      </c>
      <c r="D107" t="s">
        <v>6</v>
      </c>
      <c r="E107" t="str">
        <f>IF(june[[#This Row],[ShiftCounter]]&gt;0, "Running", "Down")</f>
        <v>Running</v>
      </c>
    </row>
    <row r="108" spans="1:5" x14ac:dyDescent="0.25">
      <c r="A108" s="8">
        <v>44713</v>
      </c>
      <c r="B108" t="s">
        <v>36</v>
      </c>
      <c r="C108">
        <v>2321</v>
      </c>
      <c r="D108" t="s">
        <v>7</v>
      </c>
      <c r="E108" t="str">
        <f>IF(june[[#This Row],[ShiftCounter]]&gt;0, "Running", "Down")</f>
        <v>Running</v>
      </c>
    </row>
    <row r="109" spans="1:5" x14ac:dyDescent="0.25">
      <c r="A109" s="8">
        <v>44713</v>
      </c>
      <c r="B109" t="s">
        <v>36</v>
      </c>
      <c r="C109">
        <v>2088</v>
      </c>
      <c r="D109" t="s">
        <v>8</v>
      </c>
      <c r="E109" t="str">
        <f>IF(june[[#This Row],[ShiftCounter]]&gt;0, "Running", "Down")</f>
        <v>Running</v>
      </c>
    </row>
    <row r="110" spans="1:5" x14ac:dyDescent="0.25">
      <c r="A110" s="8">
        <v>44713</v>
      </c>
      <c r="B110" t="s">
        <v>37</v>
      </c>
      <c r="C110">
        <v>2331</v>
      </c>
      <c r="D110" t="s">
        <v>6</v>
      </c>
      <c r="E110" t="str">
        <f>IF(june[[#This Row],[ShiftCounter]]&gt;0, "Running", "Down")</f>
        <v>Running</v>
      </c>
    </row>
    <row r="111" spans="1:5" x14ac:dyDescent="0.25">
      <c r="A111" s="8">
        <v>44713</v>
      </c>
      <c r="B111" t="s">
        <v>37</v>
      </c>
      <c r="C111">
        <v>2208</v>
      </c>
      <c r="D111" t="s">
        <v>7</v>
      </c>
      <c r="E111" t="str">
        <f>IF(june[[#This Row],[ShiftCounter]]&gt;0, "Running", "Down")</f>
        <v>Running</v>
      </c>
    </row>
    <row r="112" spans="1:5" x14ac:dyDescent="0.25">
      <c r="A112" s="8">
        <v>44713</v>
      </c>
      <c r="B112" t="s">
        <v>37</v>
      </c>
      <c r="C112">
        <v>2032</v>
      </c>
      <c r="D112" t="s">
        <v>8</v>
      </c>
      <c r="E112" t="str">
        <f>IF(june[[#This Row],[ShiftCounter]]&gt;0, "Running", "Down")</f>
        <v>Running</v>
      </c>
    </row>
    <row r="113" spans="1:5" x14ac:dyDescent="0.25">
      <c r="A113" s="8">
        <v>44714</v>
      </c>
      <c r="B113" t="s">
        <v>135</v>
      </c>
      <c r="C113">
        <v>1954</v>
      </c>
      <c r="D113" t="s">
        <v>6</v>
      </c>
      <c r="E113" t="str">
        <f>IF(june[[#This Row],[ShiftCounter]]&gt;0, "Running", "Down")</f>
        <v>Running</v>
      </c>
    </row>
    <row r="114" spans="1:5" x14ac:dyDescent="0.25">
      <c r="A114" s="8">
        <v>44714</v>
      </c>
      <c r="B114" t="s">
        <v>135</v>
      </c>
      <c r="C114">
        <v>1863</v>
      </c>
      <c r="D114" t="s">
        <v>7</v>
      </c>
      <c r="E114" t="str">
        <f>IF(june[[#This Row],[ShiftCounter]]&gt;0, "Running", "Down")</f>
        <v>Running</v>
      </c>
    </row>
    <row r="115" spans="1:5" x14ac:dyDescent="0.25">
      <c r="A115" s="8">
        <v>44714</v>
      </c>
      <c r="B115" t="s">
        <v>135</v>
      </c>
      <c r="C115">
        <v>1814</v>
      </c>
      <c r="D115" t="s">
        <v>8</v>
      </c>
      <c r="E115" t="str">
        <f>IF(june[[#This Row],[ShiftCounter]]&gt;0, "Running", "Down")</f>
        <v>Running</v>
      </c>
    </row>
    <row r="116" spans="1:5" x14ac:dyDescent="0.25">
      <c r="A116" s="8">
        <v>44714</v>
      </c>
      <c r="B116" t="s">
        <v>40</v>
      </c>
      <c r="C116">
        <v>2366</v>
      </c>
      <c r="D116" t="s">
        <v>6</v>
      </c>
      <c r="E116" t="str">
        <f>IF(june[[#This Row],[ShiftCounter]]&gt;0, "Running", "Down")</f>
        <v>Running</v>
      </c>
    </row>
    <row r="117" spans="1:5" x14ac:dyDescent="0.25">
      <c r="A117" s="8">
        <v>44714</v>
      </c>
      <c r="B117" t="s">
        <v>40</v>
      </c>
      <c r="C117">
        <v>2196</v>
      </c>
      <c r="D117" t="s">
        <v>7</v>
      </c>
      <c r="E117" t="str">
        <f>IF(june[[#This Row],[ShiftCounter]]&gt;0, "Running", "Down")</f>
        <v>Running</v>
      </c>
    </row>
    <row r="118" spans="1:5" x14ac:dyDescent="0.25">
      <c r="A118" s="8">
        <v>44714</v>
      </c>
      <c r="B118" t="s">
        <v>40</v>
      </c>
      <c r="C118">
        <v>2140</v>
      </c>
      <c r="D118" t="s">
        <v>8</v>
      </c>
      <c r="E118" t="str">
        <f>IF(june[[#This Row],[ShiftCounter]]&gt;0, "Running", "Down")</f>
        <v>Running</v>
      </c>
    </row>
    <row r="119" spans="1:5" x14ac:dyDescent="0.25">
      <c r="A119" s="8">
        <v>44714</v>
      </c>
      <c r="B119" t="s">
        <v>39</v>
      </c>
      <c r="C119">
        <v>2062</v>
      </c>
      <c r="D119" t="s">
        <v>6</v>
      </c>
      <c r="E119" t="str">
        <f>IF(june[[#This Row],[ShiftCounter]]&gt;0, "Running", "Down")</f>
        <v>Running</v>
      </c>
    </row>
    <row r="120" spans="1:5" x14ac:dyDescent="0.25">
      <c r="A120" s="8">
        <v>44714</v>
      </c>
      <c r="B120" t="s">
        <v>39</v>
      </c>
      <c r="C120">
        <v>1935</v>
      </c>
      <c r="D120" t="s">
        <v>7</v>
      </c>
      <c r="E120" t="str">
        <f>IF(june[[#This Row],[ShiftCounter]]&gt;0, "Running", "Down")</f>
        <v>Running</v>
      </c>
    </row>
    <row r="121" spans="1:5" x14ac:dyDescent="0.25">
      <c r="A121" s="8">
        <v>44714</v>
      </c>
      <c r="B121" t="s">
        <v>39</v>
      </c>
      <c r="C121">
        <v>1882</v>
      </c>
      <c r="D121" t="s">
        <v>8</v>
      </c>
      <c r="E121" t="str">
        <f>IF(june[[#This Row],[ShiftCounter]]&gt;0, "Running", "Down")</f>
        <v>Running</v>
      </c>
    </row>
    <row r="122" spans="1:5" x14ac:dyDescent="0.25">
      <c r="A122" s="8">
        <v>44714</v>
      </c>
      <c r="B122" t="s">
        <v>41</v>
      </c>
      <c r="C122">
        <v>2375</v>
      </c>
      <c r="D122" t="s">
        <v>6</v>
      </c>
      <c r="E122" t="str">
        <f>IF(june[[#This Row],[ShiftCounter]]&gt;0, "Running", "Down")</f>
        <v>Running</v>
      </c>
    </row>
    <row r="123" spans="1:5" x14ac:dyDescent="0.25">
      <c r="A123" s="8">
        <v>44714</v>
      </c>
      <c r="B123" t="s">
        <v>41</v>
      </c>
      <c r="C123">
        <v>2127</v>
      </c>
      <c r="D123" t="s">
        <v>7</v>
      </c>
      <c r="E123" t="str">
        <f>IF(june[[#This Row],[ShiftCounter]]&gt;0, "Running", "Down")</f>
        <v>Running</v>
      </c>
    </row>
    <row r="124" spans="1:5" x14ac:dyDescent="0.25">
      <c r="A124" s="8">
        <v>44714</v>
      </c>
      <c r="B124" t="s">
        <v>41</v>
      </c>
      <c r="C124">
        <v>2047</v>
      </c>
      <c r="D124" t="s">
        <v>8</v>
      </c>
      <c r="E124" t="str">
        <f>IF(june[[#This Row],[ShiftCounter]]&gt;0, "Running", "Down")</f>
        <v>Running</v>
      </c>
    </row>
    <row r="125" spans="1:5" x14ac:dyDescent="0.25">
      <c r="A125" s="8">
        <v>44714</v>
      </c>
      <c r="B125" t="s">
        <v>5</v>
      </c>
      <c r="C125">
        <v>2372</v>
      </c>
      <c r="D125" t="s">
        <v>6</v>
      </c>
      <c r="E125" t="str">
        <f>IF(june[[#This Row],[ShiftCounter]]&gt;0, "Running", "Down")</f>
        <v>Running</v>
      </c>
    </row>
    <row r="126" spans="1:5" x14ac:dyDescent="0.25">
      <c r="A126" s="8">
        <v>44714</v>
      </c>
      <c r="B126" t="s">
        <v>5</v>
      </c>
      <c r="C126">
        <v>2180</v>
      </c>
      <c r="D126" t="s">
        <v>7</v>
      </c>
      <c r="E126" t="str">
        <f>IF(june[[#This Row],[ShiftCounter]]&gt;0, "Running", "Down")</f>
        <v>Running</v>
      </c>
    </row>
    <row r="127" spans="1:5" x14ac:dyDescent="0.25">
      <c r="A127" s="8">
        <v>44714</v>
      </c>
      <c r="B127" t="s">
        <v>5</v>
      </c>
      <c r="C127">
        <v>2143</v>
      </c>
      <c r="D127" t="s">
        <v>8</v>
      </c>
      <c r="E127" t="str">
        <f>IF(june[[#This Row],[ShiftCounter]]&gt;0, "Running", "Down")</f>
        <v>Running</v>
      </c>
    </row>
    <row r="128" spans="1:5" x14ac:dyDescent="0.25">
      <c r="A128" s="8">
        <v>44714</v>
      </c>
      <c r="B128" t="s">
        <v>9</v>
      </c>
      <c r="C128">
        <v>2395</v>
      </c>
      <c r="D128" t="s">
        <v>6</v>
      </c>
      <c r="E128" t="str">
        <f>IF(june[[#This Row],[ShiftCounter]]&gt;0, "Running", "Down")</f>
        <v>Running</v>
      </c>
    </row>
    <row r="129" spans="1:5" x14ac:dyDescent="0.25">
      <c r="A129" s="8">
        <v>44714</v>
      </c>
      <c r="B129" t="s">
        <v>9</v>
      </c>
      <c r="C129">
        <v>2209</v>
      </c>
      <c r="D129" t="s">
        <v>7</v>
      </c>
      <c r="E129" t="str">
        <f>IF(june[[#This Row],[ShiftCounter]]&gt;0, "Running", "Down")</f>
        <v>Running</v>
      </c>
    </row>
    <row r="130" spans="1:5" x14ac:dyDescent="0.25">
      <c r="A130" s="8">
        <v>44714</v>
      </c>
      <c r="B130" t="s">
        <v>9</v>
      </c>
      <c r="C130">
        <v>2168</v>
      </c>
      <c r="D130" t="s">
        <v>8</v>
      </c>
      <c r="E130" t="str">
        <f>IF(june[[#This Row],[ShiftCounter]]&gt;0, "Running", "Down")</f>
        <v>Running</v>
      </c>
    </row>
    <row r="131" spans="1:5" x14ac:dyDescent="0.25">
      <c r="A131" s="8">
        <v>44714</v>
      </c>
      <c r="B131" t="s">
        <v>10</v>
      </c>
      <c r="C131">
        <v>2442</v>
      </c>
      <c r="D131" t="s">
        <v>6</v>
      </c>
      <c r="E131" t="str">
        <f>IF(june[[#This Row],[ShiftCounter]]&gt;0, "Running", "Down")</f>
        <v>Running</v>
      </c>
    </row>
    <row r="132" spans="1:5" x14ac:dyDescent="0.25">
      <c r="A132" s="8">
        <v>44714</v>
      </c>
      <c r="B132" t="s">
        <v>10</v>
      </c>
      <c r="C132">
        <v>2240</v>
      </c>
      <c r="D132" t="s">
        <v>7</v>
      </c>
      <c r="E132" t="str">
        <f>IF(june[[#This Row],[ShiftCounter]]&gt;0, "Running", "Down")</f>
        <v>Running</v>
      </c>
    </row>
    <row r="133" spans="1:5" x14ac:dyDescent="0.25">
      <c r="A133" s="8">
        <v>44714</v>
      </c>
      <c r="B133" t="s">
        <v>10</v>
      </c>
      <c r="C133">
        <v>2147</v>
      </c>
      <c r="D133" t="s">
        <v>8</v>
      </c>
      <c r="E133" t="str">
        <f>IF(june[[#This Row],[ShiftCounter]]&gt;0, "Running", "Down")</f>
        <v>Running</v>
      </c>
    </row>
    <row r="134" spans="1:5" x14ac:dyDescent="0.25">
      <c r="A134" s="8">
        <v>44714</v>
      </c>
      <c r="B134" t="s">
        <v>11</v>
      </c>
      <c r="C134">
        <v>599</v>
      </c>
      <c r="D134" t="s">
        <v>6</v>
      </c>
      <c r="E134" t="str">
        <f>IF(june[[#This Row],[ShiftCounter]]&gt;0, "Running", "Down")</f>
        <v>Running</v>
      </c>
    </row>
    <row r="135" spans="1:5" x14ac:dyDescent="0.25">
      <c r="A135" s="8">
        <v>44714</v>
      </c>
      <c r="B135" t="s">
        <v>11</v>
      </c>
      <c r="C135">
        <v>2065</v>
      </c>
      <c r="D135" t="s">
        <v>7</v>
      </c>
      <c r="E135" t="str">
        <f>IF(june[[#This Row],[ShiftCounter]]&gt;0, "Running", "Down")</f>
        <v>Running</v>
      </c>
    </row>
    <row r="136" spans="1:5" x14ac:dyDescent="0.25">
      <c r="A136" s="8">
        <v>44714</v>
      </c>
      <c r="B136" t="s">
        <v>11</v>
      </c>
      <c r="C136">
        <v>2027</v>
      </c>
      <c r="D136" t="s">
        <v>8</v>
      </c>
      <c r="E136" t="str">
        <f>IF(june[[#This Row],[ShiftCounter]]&gt;0, "Running", "Down")</f>
        <v>Running</v>
      </c>
    </row>
    <row r="137" spans="1:5" x14ac:dyDescent="0.25">
      <c r="A137" s="8">
        <v>44714</v>
      </c>
      <c r="B137" t="s">
        <v>12</v>
      </c>
      <c r="C137">
        <v>2381</v>
      </c>
      <c r="D137" t="s">
        <v>6</v>
      </c>
      <c r="E137" t="str">
        <f>IF(june[[#This Row],[ShiftCounter]]&gt;0, "Running", "Down")</f>
        <v>Running</v>
      </c>
    </row>
    <row r="138" spans="1:5" x14ac:dyDescent="0.25">
      <c r="A138" s="8">
        <v>44714</v>
      </c>
      <c r="B138" t="s">
        <v>12</v>
      </c>
      <c r="C138">
        <v>2203</v>
      </c>
      <c r="D138" t="s">
        <v>7</v>
      </c>
      <c r="E138" t="str">
        <f>IF(june[[#This Row],[ShiftCounter]]&gt;0, "Running", "Down")</f>
        <v>Running</v>
      </c>
    </row>
    <row r="139" spans="1:5" x14ac:dyDescent="0.25">
      <c r="A139" s="8">
        <v>44714</v>
      </c>
      <c r="B139" t="s">
        <v>12</v>
      </c>
      <c r="C139">
        <v>2135</v>
      </c>
      <c r="D139" t="s">
        <v>8</v>
      </c>
      <c r="E139" t="str">
        <f>IF(june[[#This Row],[ShiftCounter]]&gt;0, "Running", "Down")</f>
        <v>Running</v>
      </c>
    </row>
    <row r="140" spans="1:5" x14ac:dyDescent="0.25">
      <c r="A140" s="8">
        <v>44714</v>
      </c>
      <c r="B140" t="s">
        <v>105</v>
      </c>
      <c r="C140">
        <v>2333</v>
      </c>
      <c r="D140" t="s">
        <v>6</v>
      </c>
      <c r="E140" t="str">
        <f>IF(june[[#This Row],[ShiftCounter]]&gt;0, "Running", "Down")</f>
        <v>Running</v>
      </c>
    </row>
    <row r="141" spans="1:5" x14ac:dyDescent="0.25">
      <c r="A141" s="8">
        <v>44714</v>
      </c>
      <c r="B141" t="s">
        <v>105</v>
      </c>
      <c r="C141">
        <v>2181</v>
      </c>
      <c r="D141" t="s">
        <v>7</v>
      </c>
      <c r="E141" t="str">
        <f>IF(june[[#This Row],[ShiftCounter]]&gt;0, "Running", "Down")</f>
        <v>Running</v>
      </c>
    </row>
    <row r="142" spans="1:5" x14ac:dyDescent="0.25">
      <c r="A142" s="8">
        <v>44714</v>
      </c>
      <c r="B142" t="s">
        <v>105</v>
      </c>
      <c r="C142">
        <v>2060</v>
      </c>
      <c r="D142" t="s">
        <v>8</v>
      </c>
      <c r="E142" t="str">
        <f>IF(june[[#This Row],[ShiftCounter]]&gt;0, "Running", "Down")</f>
        <v>Running</v>
      </c>
    </row>
    <row r="143" spans="1:5" x14ac:dyDescent="0.25">
      <c r="A143" s="8">
        <v>44714</v>
      </c>
      <c r="B143" t="s">
        <v>13</v>
      </c>
      <c r="C143">
        <v>2208</v>
      </c>
      <c r="D143" t="s">
        <v>6</v>
      </c>
      <c r="E143" t="str">
        <f>IF(june[[#This Row],[ShiftCounter]]&gt;0, "Running", "Down")</f>
        <v>Running</v>
      </c>
    </row>
    <row r="144" spans="1:5" x14ac:dyDescent="0.25">
      <c r="A144" s="8">
        <v>44714</v>
      </c>
      <c r="B144" t="s">
        <v>13</v>
      </c>
      <c r="C144">
        <v>2103</v>
      </c>
      <c r="D144" t="s">
        <v>7</v>
      </c>
      <c r="E144" t="str">
        <f>IF(june[[#This Row],[ShiftCounter]]&gt;0, "Running", "Down")</f>
        <v>Running</v>
      </c>
    </row>
    <row r="145" spans="1:5" x14ac:dyDescent="0.25">
      <c r="A145" s="8">
        <v>44714</v>
      </c>
      <c r="B145" t="s">
        <v>13</v>
      </c>
      <c r="C145">
        <v>1960</v>
      </c>
      <c r="D145" t="s">
        <v>8</v>
      </c>
      <c r="E145" t="str">
        <f>IF(june[[#This Row],[ShiftCounter]]&gt;0, "Running", "Down")</f>
        <v>Running</v>
      </c>
    </row>
    <row r="146" spans="1:5" x14ac:dyDescent="0.25">
      <c r="A146" s="8">
        <v>44714</v>
      </c>
      <c r="B146" t="s">
        <v>101</v>
      </c>
      <c r="C146">
        <v>2126</v>
      </c>
      <c r="D146" t="s">
        <v>6</v>
      </c>
      <c r="E146" t="str">
        <f>IF(june[[#This Row],[ShiftCounter]]&gt;0, "Running", "Down")</f>
        <v>Running</v>
      </c>
    </row>
    <row r="147" spans="1:5" x14ac:dyDescent="0.25">
      <c r="A147" s="8">
        <v>44714</v>
      </c>
      <c r="B147" t="s">
        <v>101</v>
      </c>
      <c r="C147">
        <v>2027</v>
      </c>
      <c r="D147" t="s">
        <v>7</v>
      </c>
      <c r="E147" t="str">
        <f>IF(june[[#This Row],[ShiftCounter]]&gt;0, "Running", "Down")</f>
        <v>Running</v>
      </c>
    </row>
    <row r="148" spans="1:5" x14ac:dyDescent="0.25">
      <c r="A148" s="8">
        <v>44714</v>
      </c>
      <c r="B148" t="s">
        <v>101</v>
      </c>
      <c r="C148">
        <v>1880</v>
      </c>
      <c r="D148" t="s">
        <v>8</v>
      </c>
      <c r="E148" t="str">
        <f>IF(june[[#This Row],[ShiftCounter]]&gt;0, "Running", "Down")</f>
        <v>Running</v>
      </c>
    </row>
    <row r="149" spans="1:5" x14ac:dyDescent="0.25">
      <c r="A149" s="8">
        <v>44714</v>
      </c>
      <c r="B149" t="s">
        <v>14</v>
      </c>
      <c r="C149">
        <v>1874</v>
      </c>
      <c r="D149" t="s">
        <v>6</v>
      </c>
      <c r="E149" t="str">
        <f>IF(june[[#This Row],[ShiftCounter]]&gt;0, "Running", "Down")</f>
        <v>Running</v>
      </c>
    </row>
    <row r="150" spans="1:5" x14ac:dyDescent="0.25">
      <c r="A150" s="8">
        <v>44714</v>
      </c>
      <c r="B150" t="s">
        <v>14</v>
      </c>
      <c r="C150">
        <v>1803</v>
      </c>
      <c r="D150" t="s">
        <v>7</v>
      </c>
      <c r="E150" t="str">
        <f>IF(june[[#This Row],[ShiftCounter]]&gt;0, "Running", "Down")</f>
        <v>Running</v>
      </c>
    </row>
    <row r="151" spans="1:5" x14ac:dyDescent="0.25">
      <c r="A151" s="8">
        <v>44714</v>
      </c>
      <c r="B151" t="s">
        <v>14</v>
      </c>
      <c r="C151">
        <v>1660</v>
      </c>
      <c r="D151" t="s">
        <v>8</v>
      </c>
      <c r="E151" t="str">
        <f>IF(june[[#This Row],[ShiftCounter]]&gt;0, "Running", "Down")</f>
        <v>Running</v>
      </c>
    </row>
    <row r="152" spans="1:5" x14ac:dyDescent="0.25">
      <c r="A152" s="8">
        <v>44714</v>
      </c>
      <c r="B152" t="s">
        <v>15</v>
      </c>
      <c r="C152">
        <v>2160</v>
      </c>
      <c r="D152" t="s">
        <v>6</v>
      </c>
      <c r="E152" t="str">
        <f>IF(june[[#This Row],[ShiftCounter]]&gt;0, "Running", "Down")</f>
        <v>Running</v>
      </c>
    </row>
    <row r="153" spans="1:5" x14ac:dyDescent="0.25">
      <c r="A153" s="8">
        <v>44714</v>
      </c>
      <c r="B153" t="s">
        <v>15</v>
      </c>
      <c r="C153">
        <v>2024</v>
      </c>
      <c r="D153" t="s">
        <v>7</v>
      </c>
      <c r="E153" t="str">
        <f>IF(june[[#This Row],[ShiftCounter]]&gt;0, "Running", "Down")</f>
        <v>Running</v>
      </c>
    </row>
    <row r="154" spans="1:5" x14ac:dyDescent="0.25">
      <c r="A154" s="8">
        <v>44714</v>
      </c>
      <c r="B154" t="s">
        <v>15</v>
      </c>
      <c r="C154">
        <v>1900</v>
      </c>
      <c r="D154" t="s">
        <v>8</v>
      </c>
      <c r="E154" t="str">
        <f>IF(june[[#This Row],[ShiftCounter]]&gt;0, "Running", "Down")</f>
        <v>Running</v>
      </c>
    </row>
    <row r="155" spans="1:5" x14ac:dyDescent="0.25">
      <c r="A155" s="8">
        <v>44714</v>
      </c>
      <c r="B155" t="s">
        <v>16</v>
      </c>
      <c r="C155">
        <v>2133</v>
      </c>
      <c r="D155" t="s">
        <v>6</v>
      </c>
      <c r="E155" t="str">
        <f>IF(june[[#This Row],[ShiftCounter]]&gt;0, "Running", "Down")</f>
        <v>Running</v>
      </c>
    </row>
    <row r="156" spans="1:5" x14ac:dyDescent="0.25">
      <c r="A156" s="8">
        <v>44714</v>
      </c>
      <c r="B156" t="s">
        <v>16</v>
      </c>
      <c r="C156">
        <v>2164</v>
      </c>
      <c r="D156" t="s">
        <v>7</v>
      </c>
      <c r="E156" t="str">
        <f>IF(june[[#This Row],[ShiftCounter]]&gt;0, "Running", "Down")</f>
        <v>Running</v>
      </c>
    </row>
    <row r="157" spans="1:5" x14ac:dyDescent="0.25">
      <c r="A157" s="8">
        <v>44714</v>
      </c>
      <c r="B157" t="s">
        <v>16</v>
      </c>
      <c r="C157">
        <v>2065</v>
      </c>
      <c r="D157" t="s">
        <v>8</v>
      </c>
      <c r="E157" t="str">
        <f>IF(june[[#This Row],[ShiftCounter]]&gt;0, "Running", "Down")</f>
        <v>Running</v>
      </c>
    </row>
    <row r="158" spans="1:5" x14ac:dyDescent="0.25">
      <c r="A158" s="8">
        <v>44714</v>
      </c>
      <c r="B158" t="s">
        <v>17</v>
      </c>
      <c r="C158">
        <v>2327</v>
      </c>
      <c r="D158" t="s">
        <v>6</v>
      </c>
      <c r="E158" t="str">
        <f>IF(june[[#This Row],[ShiftCounter]]&gt;0, "Running", "Down")</f>
        <v>Running</v>
      </c>
    </row>
    <row r="159" spans="1:5" x14ac:dyDescent="0.25">
      <c r="A159" s="8">
        <v>44714</v>
      </c>
      <c r="B159" t="s">
        <v>17</v>
      </c>
      <c r="C159">
        <v>2308</v>
      </c>
      <c r="D159" t="s">
        <v>7</v>
      </c>
      <c r="E159" t="str">
        <f>IF(june[[#This Row],[ShiftCounter]]&gt;0, "Running", "Down")</f>
        <v>Running</v>
      </c>
    </row>
    <row r="160" spans="1:5" x14ac:dyDescent="0.25">
      <c r="A160" s="8">
        <v>44714</v>
      </c>
      <c r="B160" t="s">
        <v>17</v>
      </c>
      <c r="C160">
        <v>1759</v>
      </c>
      <c r="D160" t="s">
        <v>8</v>
      </c>
      <c r="E160" t="str">
        <f>IF(june[[#This Row],[ShiftCounter]]&gt;0, "Running", "Down")</f>
        <v>Running</v>
      </c>
    </row>
    <row r="161" spans="1:5" x14ac:dyDescent="0.25">
      <c r="A161" s="8">
        <v>44714</v>
      </c>
      <c r="B161" t="s">
        <v>19</v>
      </c>
      <c r="C161">
        <v>1839</v>
      </c>
      <c r="D161" t="s">
        <v>6</v>
      </c>
      <c r="E161" t="str">
        <f>IF(june[[#This Row],[ShiftCounter]]&gt;0, "Running", "Down")</f>
        <v>Running</v>
      </c>
    </row>
    <row r="162" spans="1:5" x14ac:dyDescent="0.25">
      <c r="A162" s="8">
        <v>44714</v>
      </c>
      <c r="B162" t="s">
        <v>19</v>
      </c>
      <c r="C162">
        <v>2150</v>
      </c>
      <c r="D162" t="s">
        <v>7</v>
      </c>
      <c r="E162" t="str">
        <f>IF(june[[#This Row],[ShiftCounter]]&gt;0, "Running", "Down")</f>
        <v>Running</v>
      </c>
    </row>
    <row r="163" spans="1:5" x14ac:dyDescent="0.25">
      <c r="A163" s="8">
        <v>44714</v>
      </c>
      <c r="B163" t="s">
        <v>19</v>
      </c>
      <c r="C163">
        <v>1872</v>
      </c>
      <c r="D163" t="s">
        <v>8</v>
      </c>
      <c r="E163" t="str">
        <f>IF(june[[#This Row],[ShiftCounter]]&gt;0, "Running", "Down")</f>
        <v>Running</v>
      </c>
    </row>
    <row r="164" spans="1:5" x14ac:dyDescent="0.25">
      <c r="A164" s="8">
        <v>44714</v>
      </c>
      <c r="B164" t="s">
        <v>18</v>
      </c>
      <c r="C164">
        <v>2163</v>
      </c>
      <c r="D164" t="s">
        <v>6</v>
      </c>
      <c r="E164" t="str">
        <f>IF(june[[#This Row],[ShiftCounter]]&gt;0, "Running", "Down")</f>
        <v>Running</v>
      </c>
    </row>
    <row r="165" spans="1:5" x14ac:dyDescent="0.25">
      <c r="A165" s="8">
        <v>44714</v>
      </c>
      <c r="B165" t="s">
        <v>18</v>
      </c>
      <c r="C165">
        <v>2240</v>
      </c>
      <c r="D165" t="s">
        <v>7</v>
      </c>
      <c r="E165" t="str">
        <f>IF(june[[#This Row],[ShiftCounter]]&gt;0, "Running", "Down")</f>
        <v>Running</v>
      </c>
    </row>
    <row r="166" spans="1:5" x14ac:dyDescent="0.25">
      <c r="A166" s="8">
        <v>44714</v>
      </c>
      <c r="B166" t="s">
        <v>18</v>
      </c>
      <c r="C166">
        <v>2019</v>
      </c>
      <c r="D166" t="s">
        <v>8</v>
      </c>
      <c r="E166" t="str">
        <f>IF(june[[#This Row],[ShiftCounter]]&gt;0, "Running", "Down")</f>
        <v>Running</v>
      </c>
    </row>
    <row r="167" spans="1:5" x14ac:dyDescent="0.25">
      <c r="A167" s="8">
        <v>44714</v>
      </c>
      <c r="B167" t="s">
        <v>42</v>
      </c>
      <c r="C167">
        <v>0</v>
      </c>
      <c r="D167" t="s">
        <v>6</v>
      </c>
      <c r="E167" t="str">
        <f>IF(june[[#This Row],[ShiftCounter]]&gt;0, "Running", "Down")</f>
        <v>Down</v>
      </c>
    </row>
    <row r="168" spans="1:5" x14ac:dyDescent="0.25">
      <c r="A168" s="8">
        <v>44714</v>
      </c>
      <c r="B168" t="s">
        <v>42</v>
      </c>
      <c r="C168">
        <v>2080</v>
      </c>
      <c r="D168" t="s">
        <v>7</v>
      </c>
      <c r="E168" t="str">
        <f>IF(june[[#This Row],[ShiftCounter]]&gt;0, "Running", "Down")</f>
        <v>Running</v>
      </c>
    </row>
    <row r="169" spans="1:5" x14ac:dyDescent="0.25">
      <c r="A169" s="8">
        <v>44714</v>
      </c>
      <c r="B169" t="s">
        <v>42</v>
      </c>
      <c r="C169">
        <v>1836</v>
      </c>
      <c r="D169" t="s">
        <v>8</v>
      </c>
      <c r="E169" t="str">
        <f>IF(june[[#This Row],[ShiftCounter]]&gt;0, "Running", "Down")</f>
        <v>Running</v>
      </c>
    </row>
    <row r="170" spans="1:5" x14ac:dyDescent="0.25">
      <c r="A170" s="8">
        <v>44714</v>
      </c>
      <c r="B170" t="s">
        <v>38</v>
      </c>
      <c r="C170">
        <v>2093</v>
      </c>
      <c r="D170" t="s">
        <v>6</v>
      </c>
      <c r="E170" t="str">
        <f>IF(june[[#This Row],[ShiftCounter]]&gt;0, "Running", "Down")</f>
        <v>Running</v>
      </c>
    </row>
    <row r="171" spans="1:5" x14ac:dyDescent="0.25">
      <c r="A171" s="8">
        <v>44714</v>
      </c>
      <c r="B171" t="s">
        <v>38</v>
      </c>
      <c r="C171">
        <v>2331</v>
      </c>
      <c r="D171" t="s">
        <v>7</v>
      </c>
      <c r="E171" t="str">
        <f>IF(june[[#This Row],[ShiftCounter]]&gt;0, "Running", "Down")</f>
        <v>Running</v>
      </c>
    </row>
    <row r="172" spans="1:5" x14ac:dyDescent="0.25">
      <c r="A172" s="8">
        <v>44714</v>
      </c>
      <c r="B172" t="s">
        <v>38</v>
      </c>
      <c r="C172">
        <v>2013</v>
      </c>
      <c r="D172" t="s">
        <v>8</v>
      </c>
      <c r="E172" t="str">
        <f>IF(june[[#This Row],[ShiftCounter]]&gt;0, "Running", "Down")</f>
        <v>Running</v>
      </c>
    </row>
    <row r="173" spans="1:5" x14ac:dyDescent="0.25">
      <c r="A173" s="8">
        <v>44714</v>
      </c>
      <c r="B173" t="s">
        <v>20</v>
      </c>
      <c r="C173">
        <v>2087</v>
      </c>
      <c r="D173" t="s">
        <v>6</v>
      </c>
      <c r="E173" t="str">
        <f>IF(june[[#This Row],[ShiftCounter]]&gt;0, "Running", "Down")</f>
        <v>Running</v>
      </c>
    </row>
    <row r="174" spans="1:5" x14ac:dyDescent="0.25">
      <c r="A174" s="8">
        <v>44714</v>
      </c>
      <c r="B174" t="s">
        <v>20</v>
      </c>
      <c r="C174">
        <v>2333</v>
      </c>
      <c r="D174" t="s">
        <v>7</v>
      </c>
      <c r="E174" t="str">
        <f>IF(june[[#This Row],[ShiftCounter]]&gt;0, "Running", "Down")</f>
        <v>Running</v>
      </c>
    </row>
    <row r="175" spans="1:5" x14ac:dyDescent="0.25">
      <c r="A175" s="8">
        <v>44714</v>
      </c>
      <c r="B175" t="s">
        <v>20</v>
      </c>
      <c r="C175">
        <v>2047</v>
      </c>
      <c r="D175" t="s">
        <v>8</v>
      </c>
      <c r="E175" t="str">
        <f>IF(june[[#This Row],[ShiftCounter]]&gt;0, "Running", "Down")</f>
        <v>Running</v>
      </c>
    </row>
    <row r="176" spans="1:5" x14ac:dyDescent="0.25">
      <c r="A176" s="8">
        <v>44714</v>
      </c>
      <c r="B176" t="s">
        <v>23</v>
      </c>
      <c r="C176">
        <v>2172</v>
      </c>
      <c r="D176" t="s">
        <v>6</v>
      </c>
      <c r="E176" t="str">
        <f>IF(june[[#This Row],[ShiftCounter]]&gt;0, "Running", "Down")</f>
        <v>Running</v>
      </c>
    </row>
    <row r="177" spans="1:5" x14ac:dyDescent="0.25">
      <c r="A177" s="8">
        <v>44714</v>
      </c>
      <c r="B177" t="s">
        <v>23</v>
      </c>
      <c r="C177">
        <v>2236</v>
      </c>
      <c r="D177" t="s">
        <v>7</v>
      </c>
      <c r="E177" t="str">
        <f>IF(june[[#This Row],[ShiftCounter]]&gt;0, "Running", "Down")</f>
        <v>Running</v>
      </c>
    </row>
    <row r="178" spans="1:5" x14ac:dyDescent="0.25">
      <c r="A178" s="8">
        <v>44714</v>
      </c>
      <c r="B178" t="s">
        <v>23</v>
      </c>
      <c r="C178">
        <v>1838</v>
      </c>
      <c r="D178" t="s">
        <v>8</v>
      </c>
      <c r="E178" t="str">
        <f>IF(june[[#This Row],[ShiftCounter]]&gt;0, "Running", "Down")</f>
        <v>Running</v>
      </c>
    </row>
    <row r="179" spans="1:5" x14ac:dyDescent="0.25">
      <c r="A179" s="8">
        <v>44714</v>
      </c>
      <c r="B179" t="s">
        <v>22</v>
      </c>
      <c r="C179">
        <v>2099</v>
      </c>
      <c r="D179" t="s">
        <v>6</v>
      </c>
      <c r="E179" t="str">
        <f>IF(june[[#This Row],[ShiftCounter]]&gt;0, "Running", "Down")</f>
        <v>Running</v>
      </c>
    </row>
    <row r="180" spans="1:5" x14ac:dyDescent="0.25">
      <c r="A180" s="8">
        <v>44714</v>
      </c>
      <c r="B180" t="s">
        <v>22</v>
      </c>
      <c r="C180">
        <v>2256</v>
      </c>
      <c r="D180" t="s">
        <v>7</v>
      </c>
      <c r="E180" t="str">
        <f>IF(june[[#This Row],[ShiftCounter]]&gt;0, "Running", "Down")</f>
        <v>Running</v>
      </c>
    </row>
    <row r="181" spans="1:5" x14ac:dyDescent="0.25">
      <c r="A181" s="8">
        <v>44714</v>
      </c>
      <c r="B181" t="s">
        <v>22</v>
      </c>
      <c r="C181">
        <v>1967</v>
      </c>
      <c r="D181" t="s">
        <v>8</v>
      </c>
      <c r="E181" t="str">
        <f>IF(june[[#This Row],[ShiftCounter]]&gt;0, "Running", "Down")</f>
        <v>Running</v>
      </c>
    </row>
    <row r="182" spans="1:5" x14ac:dyDescent="0.25">
      <c r="A182" s="8">
        <v>44714</v>
      </c>
      <c r="B182" t="s">
        <v>21</v>
      </c>
      <c r="C182">
        <v>1915</v>
      </c>
      <c r="D182" t="s">
        <v>6</v>
      </c>
      <c r="E182" t="str">
        <f>IF(june[[#This Row],[ShiftCounter]]&gt;0, "Running", "Down")</f>
        <v>Running</v>
      </c>
    </row>
    <row r="183" spans="1:5" x14ac:dyDescent="0.25">
      <c r="A183" s="8">
        <v>44714</v>
      </c>
      <c r="B183" t="s">
        <v>21</v>
      </c>
      <c r="C183">
        <v>2120</v>
      </c>
      <c r="D183" t="s">
        <v>7</v>
      </c>
      <c r="E183" t="str">
        <f>IF(june[[#This Row],[ShiftCounter]]&gt;0, "Running", "Down")</f>
        <v>Running</v>
      </c>
    </row>
    <row r="184" spans="1:5" x14ac:dyDescent="0.25">
      <c r="A184" s="8">
        <v>44714</v>
      </c>
      <c r="B184" t="s">
        <v>21</v>
      </c>
      <c r="C184">
        <v>1905</v>
      </c>
      <c r="D184" t="s">
        <v>8</v>
      </c>
      <c r="E184" t="str">
        <f>IF(june[[#This Row],[ShiftCounter]]&gt;0, "Running", "Down")</f>
        <v>Running</v>
      </c>
    </row>
    <row r="185" spans="1:5" x14ac:dyDescent="0.25">
      <c r="A185" s="8">
        <v>44714</v>
      </c>
      <c r="B185" t="s">
        <v>24</v>
      </c>
      <c r="C185">
        <v>2112</v>
      </c>
      <c r="D185" t="s">
        <v>6</v>
      </c>
      <c r="E185" t="str">
        <f>IF(june[[#This Row],[ShiftCounter]]&gt;0, "Running", "Down")</f>
        <v>Running</v>
      </c>
    </row>
    <row r="186" spans="1:5" x14ac:dyDescent="0.25">
      <c r="A186" s="8">
        <v>44714</v>
      </c>
      <c r="B186" t="s">
        <v>24</v>
      </c>
      <c r="C186">
        <v>2116</v>
      </c>
      <c r="D186" t="s">
        <v>7</v>
      </c>
      <c r="E186" t="str">
        <f>IF(june[[#This Row],[ShiftCounter]]&gt;0, "Running", "Down")</f>
        <v>Running</v>
      </c>
    </row>
    <row r="187" spans="1:5" x14ac:dyDescent="0.25">
      <c r="A187" s="8">
        <v>44714</v>
      </c>
      <c r="B187" t="s">
        <v>24</v>
      </c>
      <c r="C187">
        <v>1842</v>
      </c>
      <c r="D187" t="s">
        <v>8</v>
      </c>
      <c r="E187" t="str">
        <f>IF(june[[#This Row],[ShiftCounter]]&gt;0, "Running", "Down")</f>
        <v>Running</v>
      </c>
    </row>
    <row r="188" spans="1:5" x14ac:dyDescent="0.25">
      <c r="A188" s="8">
        <v>44714</v>
      </c>
      <c r="B188" t="s">
        <v>25</v>
      </c>
      <c r="C188">
        <v>2257</v>
      </c>
      <c r="D188" t="s">
        <v>6</v>
      </c>
      <c r="E188" t="str">
        <f>IF(june[[#This Row],[ShiftCounter]]&gt;0, "Running", "Down")</f>
        <v>Running</v>
      </c>
    </row>
    <row r="189" spans="1:5" x14ac:dyDescent="0.25">
      <c r="A189" s="8">
        <v>44714</v>
      </c>
      <c r="B189" t="s">
        <v>25</v>
      </c>
      <c r="C189">
        <v>2238</v>
      </c>
      <c r="D189" t="s">
        <v>7</v>
      </c>
      <c r="E189" t="str">
        <f>IF(june[[#This Row],[ShiftCounter]]&gt;0, "Running", "Down")</f>
        <v>Running</v>
      </c>
    </row>
    <row r="190" spans="1:5" x14ac:dyDescent="0.25">
      <c r="A190" s="8">
        <v>44714</v>
      </c>
      <c r="B190" t="s">
        <v>25</v>
      </c>
      <c r="C190">
        <v>1978</v>
      </c>
      <c r="D190" t="s">
        <v>8</v>
      </c>
      <c r="E190" t="str">
        <f>IF(june[[#This Row],[ShiftCounter]]&gt;0, "Running", "Down")</f>
        <v>Running</v>
      </c>
    </row>
    <row r="191" spans="1:5" x14ac:dyDescent="0.25">
      <c r="A191" s="8">
        <v>44714</v>
      </c>
      <c r="B191" t="s">
        <v>26</v>
      </c>
      <c r="C191">
        <v>2014</v>
      </c>
      <c r="D191" t="s">
        <v>6</v>
      </c>
      <c r="E191" t="str">
        <f>IF(june[[#This Row],[ShiftCounter]]&gt;0, "Running", "Down")</f>
        <v>Running</v>
      </c>
    </row>
    <row r="192" spans="1:5" x14ac:dyDescent="0.25">
      <c r="A192" s="8">
        <v>44714</v>
      </c>
      <c r="B192" t="s">
        <v>26</v>
      </c>
      <c r="C192">
        <v>865</v>
      </c>
      <c r="D192" t="s">
        <v>7</v>
      </c>
      <c r="E192" t="str">
        <f>IF(june[[#This Row],[ShiftCounter]]&gt;0, "Running", "Down")</f>
        <v>Running</v>
      </c>
    </row>
    <row r="193" spans="1:5" x14ac:dyDescent="0.25">
      <c r="A193" s="8">
        <v>44714</v>
      </c>
      <c r="B193" t="s">
        <v>26</v>
      </c>
      <c r="C193">
        <v>0</v>
      </c>
      <c r="D193" t="s">
        <v>8</v>
      </c>
      <c r="E193" t="str">
        <f>IF(june[[#This Row],[ShiftCounter]]&gt;0, "Running", "Down")</f>
        <v>Down</v>
      </c>
    </row>
    <row r="194" spans="1:5" x14ac:dyDescent="0.25">
      <c r="A194" s="8">
        <v>44714</v>
      </c>
      <c r="B194" t="s">
        <v>27</v>
      </c>
      <c r="C194">
        <v>2327</v>
      </c>
      <c r="D194" t="s">
        <v>6</v>
      </c>
      <c r="E194" t="str">
        <f>IF(june[[#This Row],[ShiftCounter]]&gt;0, "Running", "Down")</f>
        <v>Running</v>
      </c>
    </row>
    <row r="195" spans="1:5" x14ac:dyDescent="0.25">
      <c r="A195" s="8">
        <v>44714</v>
      </c>
      <c r="B195" t="s">
        <v>27</v>
      </c>
      <c r="C195">
        <v>2300</v>
      </c>
      <c r="D195" t="s">
        <v>7</v>
      </c>
      <c r="E195" t="str">
        <f>IF(june[[#This Row],[ShiftCounter]]&gt;0, "Running", "Down")</f>
        <v>Running</v>
      </c>
    </row>
    <row r="196" spans="1:5" x14ac:dyDescent="0.25">
      <c r="A196" s="8">
        <v>44714</v>
      </c>
      <c r="B196" t="s">
        <v>27</v>
      </c>
      <c r="C196">
        <v>2028</v>
      </c>
      <c r="D196" t="s">
        <v>8</v>
      </c>
      <c r="E196" t="str">
        <f>IF(june[[#This Row],[ShiftCounter]]&gt;0, "Running", "Down")</f>
        <v>Running</v>
      </c>
    </row>
    <row r="197" spans="1:5" x14ac:dyDescent="0.25">
      <c r="A197" s="8">
        <v>44714</v>
      </c>
      <c r="B197" t="s">
        <v>28</v>
      </c>
      <c r="C197">
        <v>2242</v>
      </c>
      <c r="D197" t="s">
        <v>6</v>
      </c>
      <c r="E197" t="str">
        <f>IF(june[[#This Row],[ShiftCounter]]&gt;0, "Running", "Down")</f>
        <v>Running</v>
      </c>
    </row>
    <row r="198" spans="1:5" x14ac:dyDescent="0.25">
      <c r="A198" s="8">
        <v>44714</v>
      </c>
      <c r="B198" t="s">
        <v>28</v>
      </c>
      <c r="C198">
        <v>2190</v>
      </c>
      <c r="D198" t="s">
        <v>7</v>
      </c>
      <c r="E198" t="str">
        <f>IF(june[[#This Row],[ShiftCounter]]&gt;0, "Running", "Down")</f>
        <v>Running</v>
      </c>
    </row>
    <row r="199" spans="1:5" x14ac:dyDescent="0.25">
      <c r="A199" s="8">
        <v>44714</v>
      </c>
      <c r="B199" t="s">
        <v>28</v>
      </c>
      <c r="C199">
        <v>2038</v>
      </c>
      <c r="D199" t="s">
        <v>8</v>
      </c>
      <c r="E199" t="str">
        <f>IF(june[[#This Row],[ShiftCounter]]&gt;0, "Running", "Down")</f>
        <v>Running</v>
      </c>
    </row>
    <row r="200" spans="1:5" x14ac:dyDescent="0.25">
      <c r="A200" s="8">
        <v>44714</v>
      </c>
      <c r="B200" t="s">
        <v>29</v>
      </c>
      <c r="C200">
        <v>2047</v>
      </c>
      <c r="D200" t="s">
        <v>6</v>
      </c>
      <c r="E200" t="str">
        <f>IF(june[[#This Row],[ShiftCounter]]&gt;0, "Running", "Down")</f>
        <v>Running</v>
      </c>
    </row>
    <row r="201" spans="1:5" x14ac:dyDescent="0.25">
      <c r="A201" s="8">
        <v>44714</v>
      </c>
      <c r="B201" t="s">
        <v>29</v>
      </c>
      <c r="C201">
        <v>2008</v>
      </c>
      <c r="D201" t="s">
        <v>7</v>
      </c>
      <c r="E201" t="str">
        <f>IF(june[[#This Row],[ShiftCounter]]&gt;0, "Running", "Down")</f>
        <v>Running</v>
      </c>
    </row>
    <row r="202" spans="1:5" x14ac:dyDescent="0.25">
      <c r="A202" s="8">
        <v>44714</v>
      </c>
      <c r="B202" t="s">
        <v>29</v>
      </c>
      <c r="C202">
        <v>1986</v>
      </c>
      <c r="D202" t="s">
        <v>8</v>
      </c>
      <c r="E202" t="str">
        <f>IF(june[[#This Row],[ShiftCounter]]&gt;0, "Running", "Down")</f>
        <v>Running</v>
      </c>
    </row>
    <row r="203" spans="1:5" x14ac:dyDescent="0.25">
      <c r="A203" s="8">
        <v>44714</v>
      </c>
      <c r="B203" t="s">
        <v>30</v>
      </c>
      <c r="C203">
        <v>2153</v>
      </c>
      <c r="D203" t="s">
        <v>6</v>
      </c>
      <c r="E203" t="str">
        <f>IF(june[[#This Row],[ShiftCounter]]&gt;0, "Running", "Down")</f>
        <v>Running</v>
      </c>
    </row>
    <row r="204" spans="1:5" x14ac:dyDescent="0.25">
      <c r="A204" s="8">
        <v>44714</v>
      </c>
      <c r="B204" t="s">
        <v>30</v>
      </c>
      <c r="C204">
        <v>2228</v>
      </c>
      <c r="D204" t="s">
        <v>7</v>
      </c>
      <c r="E204" t="str">
        <f>IF(june[[#This Row],[ShiftCounter]]&gt;0, "Running", "Down")</f>
        <v>Running</v>
      </c>
    </row>
    <row r="205" spans="1:5" x14ac:dyDescent="0.25">
      <c r="A205" s="8">
        <v>44714</v>
      </c>
      <c r="B205" t="s">
        <v>30</v>
      </c>
      <c r="C205">
        <v>2084</v>
      </c>
      <c r="D205" t="s">
        <v>8</v>
      </c>
      <c r="E205" t="str">
        <f>IF(june[[#This Row],[ShiftCounter]]&gt;0, "Running", "Down")</f>
        <v>Running</v>
      </c>
    </row>
    <row r="206" spans="1:5" x14ac:dyDescent="0.25">
      <c r="A206" s="8">
        <v>44714</v>
      </c>
      <c r="B206" t="s">
        <v>31</v>
      </c>
      <c r="C206">
        <v>2130</v>
      </c>
      <c r="D206" t="s">
        <v>6</v>
      </c>
      <c r="E206" t="str">
        <f>IF(june[[#This Row],[ShiftCounter]]&gt;0, "Running", "Down")</f>
        <v>Running</v>
      </c>
    </row>
    <row r="207" spans="1:5" x14ac:dyDescent="0.25">
      <c r="A207" s="8">
        <v>44714</v>
      </c>
      <c r="B207" t="s">
        <v>31</v>
      </c>
      <c r="C207">
        <v>1986</v>
      </c>
      <c r="D207" t="s">
        <v>7</v>
      </c>
      <c r="E207" t="str">
        <f>IF(june[[#This Row],[ShiftCounter]]&gt;0, "Running", "Down")</f>
        <v>Running</v>
      </c>
    </row>
    <row r="208" spans="1:5" x14ac:dyDescent="0.25">
      <c r="A208" s="8">
        <v>44714</v>
      </c>
      <c r="B208" t="s">
        <v>31</v>
      </c>
      <c r="C208">
        <v>1902</v>
      </c>
      <c r="D208" t="s">
        <v>8</v>
      </c>
      <c r="E208" t="str">
        <f>IF(june[[#This Row],[ShiftCounter]]&gt;0, "Running", "Down")</f>
        <v>Running</v>
      </c>
    </row>
    <row r="209" spans="1:5" x14ac:dyDescent="0.25">
      <c r="A209" s="8">
        <v>44714</v>
      </c>
      <c r="B209" t="s">
        <v>32</v>
      </c>
      <c r="C209">
        <v>2110</v>
      </c>
      <c r="D209" t="s">
        <v>6</v>
      </c>
      <c r="E209" t="str">
        <f>IF(june[[#This Row],[ShiftCounter]]&gt;0, "Running", "Down")</f>
        <v>Running</v>
      </c>
    </row>
    <row r="210" spans="1:5" x14ac:dyDescent="0.25">
      <c r="A210" s="8">
        <v>44714</v>
      </c>
      <c r="B210" t="s">
        <v>32</v>
      </c>
      <c r="C210">
        <v>2145</v>
      </c>
      <c r="D210" t="s">
        <v>7</v>
      </c>
      <c r="E210" t="str">
        <f>IF(june[[#This Row],[ShiftCounter]]&gt;0, "Running", "Down")</f>
        <v>Running</v>
      </c>
    </row>
    <row r="211" spans="1:5" x14ac:dyDescent="0.25">
      <c r="A211" s="8">
        <v>44714</v>
      </c>
      <c r="B211" t="s">
        <v>32</v>
      </c>
      <c r="C211">
        <v>2036</v>
      </c>
      <c r="D211" t="s">
        <v>8</v>
      </c>
      <c r="E211" t="str">
        <f>IF(june[[#This Row],[ShiftCounter]]&gt;0, "Running", "Down")</f>
        <v>Running</v>
      </c>
    </row>
    <row r="212" spans="1:5" x14ac:dyDescent="0.25">
      <c r="A212" s="8">
        <v>44714</v>
      </c>
      <c r="B212" t="s">
        <v>67</v>
      </c>
      <c r="C212">
        <v>2198</v>
      </c>
      <c r="D212" t="s">
        <v>6</v>
      </c>
      <c r="E212" t="str">
        <f>IF(june[[#This Row],[ShiftCounter]]&gt;0, "Running", "Down")</f>
        <v>Running</v>
      </c>
    </row>
    <row r="213" spans="1:5" x14ac:dyDescent="0.25">
      <c r="A213" s="8">
        <v>44714</v>
      </c>
      <c r="B213" t="s">
        <v>67</v>
      </c>
      <c r="C213">
        <v>2056</v>
      </c>
      <c r="D213" t="s">
        <v>7</v>
      </c>
      <c r="E213" t="str">
        <f>IF(june[[#This Row],[ShiftCounter]]&gt;0, "Running", "Down")</f>
        <v>Running</v>
      </c>
    </row>
    <row r="214" spans="1:5" x14ac:dyDescent="0.25">
      <c r="A214" s="8">
        <v>44714</v>
      </c>
      <c r="B214" t="s">
        <v>67</v>
      </c>
      <c r="C214">
        <v>2084</v>
      </c>
      <c r="D214" t="s">
        <v>8</v>
      </c>
      <c r="E214" t="str">
        <f>IF(june[[#This Row],[ShiftCounter]]&gt;0, "Running", "Down")</f>
        <v>Running</v>
      </c>
    </row>
    <row r="215" spans="1:5" x14ac:dyDescent="0.25">
      <c r="A215" s="8">
        <v>44714</v>
      </c>
      <c r="B215" t="s">
        <v>33</v>
      </c>
      <c r="C215">
        <v>2567</v>
      </c>
      <c r="D215" t="s">
        <v>6</v>
      </c>
      <c r="E215" t="str">
        <f>IF(june[[#This Row],[ShiftCounter]]&gt;0, "Running", "Down")</f>
        <v>Running</v>
      </c>
    </row>
    <row r="216" spans="1:5" x14ac:dyDescent="0.25">
      <c r="A216" s="8">
        <v>44714</v>
      </c>
      <c r="B216" t="s">
        <v>33</v>
      </c>
      <c r="C216">
        <v>2398</v>
      </c>
      <c r="D216" t="s">
        <v>7</v>
      </c>
      <c r="E216" t="str">
        <f>IF(june[[#This Row],[ShiftCounter]]&gt;0, "Running", "Down")</f>
        <v>Running</v>
      </c>
    </row>
    <row r="217" spans="1:5" x14ac:dyDescent="0.25">
      <c r="A217" s="8">
        <v>44714</v>
      </c>
      <c r="B217" t="s">
        <v>33</v>
      </c>
      <c r="C217">
        <v>2223</v>
      </c>
      <c r="D217" t="s">
        <v>8</v>
      </c>
      <c r="E217" t="str">
        <f>IF(june[[#This Row],[ShiftCounter]]&gt;0, "Running", "Down")</f>
        <v>Running</v>
      </c>
    </row>
    <row r="218" spans="1:5" x14ac:dyDescent="0.25">
      <c r="A218" s="8">
        <v>44714</v>
      </c>
      <c r="B218" t="s">
        <v>34</v>
      </c>
      <c r="C218">
        <v>0</v>
      </c>
      <c r="D218" t="s">
        <v>6</v>
      </c>
      <c r="E218" t="str">
        <f>IF(june[[#This Row],[ShiftCounter]]&gt;0, "Running", "Down")</f>
        <v>Down</v>
      </c>
    </row>
    <row r="219" spans="1:5" x14ac:dyDescent="0.25">
      <c r="A219" s="8">
        <v>44714</v>
      </c>
      <c r="B219" t="s">
        <v>34</v>
      </c>
      <c r="C219">
        <v>1945</v>
      </c>
      <c r="D219" t="s">
        <v>7</v>
      </c>
      <c r="E219" t="str">
        <f>IF(june[[#This Row],[ShiftCounter]]&gt;0, "Running", "Down")</f>
        <v>Running</v>
      </c>
    </row>
    <row r="220" spans="1:5" x14ac:dyDescent="0.25">
      <c r="A220" s="8">
        <v>44714</v>
      </c>
      <c r="B220" t="s">
        <v>34</v>
      </c>
      <c r="C220">
        <v>1855</v>
      </c>
      <c r="D220" t="s">
        <v>8</v>
      </c>
      <c r="E220" t="str">
        <f>IF(june[[#This Row],[ShiftCounter]]&gt;0, "Running", "Down")</f>
        <v>Running</v>
      </c>
    </row>
    <row r="221" spans="1:5" x14ac:dyDescent="0.25">
      <c r="A221" s="8">
        <v>44714</v>
      </c>
      <c r="B221" t="s">
        <v>35</v>
      </c>
      <c r="C221">
        <v>1390</v>
      </c>
      <c r="D221" t="s">
        <v>6</v>
      </c>
      <c r="E221" t="str">
        <f>IF(june[[#This Row],[ShiftCounter]]&gt;0, "Running", "Down")</f>
        <v>Running</v>
      </c>
    </row>
    <row r="222" spans="1:5" x14ac:dyDescent="0.25">
      <c r="A222" s="8">
        <v>44714</v>
      </c>
      <c r="B222" t="s">
        <v>35</v>
      </c>
      <c r="C222">
        <v>2115</v>
      </c>
      <c r="D222" t="s">
        <v>7</v>
      </c>
      <c r="E222" t="str">
        <f>IF(june[[#This Row],[ShiftCounter]]&gt;0, "Running", "Down")</f>
        <v>Running</v>
      </c>
    </row>
    <row r="223" spans="1:5" x14ac:dyDescent="0.25">
      <c r="A223" s="8">
        <v>44714</v>
      </c>
      <c r="B223" t="s">
        <v>35</v>
      </c>
      <c r="C223">
        <v>1931</v>
      </c>
      <c r="D223" t="s">
        <v>8</v>
      </c>
      <c r="E223" t="str">
        <f>IF(june[[#This Row],[ShiftCounter]]&gt;0, "Running", "Down")</f>
        <v>Running</v>
      </c>
    </row>
    <row r="224" spans="1:5" x14ac:dyDescent="0.25">
      <c r="A224" s="8">
        <v>44714</v>
      </c>
      <c r="B224" t="s">
        <v>36</v>
      </c>
      <c r="C224">
        <v>2510</v>
      </c>
      <c r="D224" t="s">
        <v>6</v>
      </c>
      <c r="E224" t="str">
        <f>IF(june[[#This Row],[ShiftCounter]]&gt;0, "Running", "Down")</f>
        <v>Running</v>
      </c>
    </row>
    <row r="225" spans="1:5" x14ac:dyDescent="0.25">
      <c r="A225" s="8">
        <v>44714</v>
      </c>
      <c r="B225" t="s">
        <v>36</v>
      </c>
      <c r="C225">
        <v>2359</v>
      </c>
      <c r="D225" t="s">
        <v>7</v>
      </c>
      <c r="E225" t="str">
        <f>IF(june[[#This Row],[ShiftCounter]]&gt;0, "Running", "Down")</f>
        <v>Running</v>
      </c>
    </row>
    <row r="226" spans="1:5" x14ac:dyDescent="0.25">
      <c r="A226" s="8">
        <v>44714</v>
      </c>
      <c r="B226" t="s">
        <v>36</v>
      </c>
      <c r="C226">
        <v>2170</v>
      </c>
      <c r="D226" t="s">
        <v>8</v>
      </c>
      <c r="E226" t="str">
        <f>IF(june[[#This Row],[ShiftCounter]]&gt;0, "Running", "Down")</f>
        <v>Running</v>
      </c>
    </row>
    <row r="227" spans="1:5" x14ac:dyDescent="0.25">
      <c r="A227" s="8">
        <v>44714</v>
      </c>
      <c r="B227" t="s">
        <v>37</v>
      </c>
      <c r="C227">
        <v>2453</v>
      </c>
      <c r="D227" t="s">
        <v>6</v>
      </c>
      <c r="E227" t="str">
        <f>IF(june[[#This Row],[ShiftCounter]]&gt;0, "Running", "Down")</f>
        <v>Running</v>
      </c>
    </row>
    <row r="228" spans="1:5" x14ac:dyDescent="0.25">
      <c r="A228" s="8">
        <v>44714</v>
      </c>
      <c r="B228" t="s">
        <v>37</v>
      </c>
      <c r="C228">
        <v>2257</v>
      </c>
      <c r="D228" t="s">
        <v>7</v>
      </c>
      <c r="E228" t="str">
        <f>IF(june[[#This Row],[ShiftCounter]]&gt;0, "Running", "Down")</f>
        <v>Running</v>
      </c>
    </row>
    <row r="229" spans="1:5" x14ac:dyDescent="0.25">
      <c r="A229" s="8">
        <v>44714</v>
      </c>
      <c r="B229" t="s">
        <v>37</v>
      </c>
      <c r="C229">
        <v>2029</v>
      </c>
      <c r="D229" t="s">
        <v>8</v>
      </c>
      <c r="E229" t="str">
        <f>IF(june[[#This Row],[ShiftCounter]]&gt;0, "Running", "Down")</f>
        <v>Running</v>
      </c>
    </row>
    <row r="230" spans="1:5" x14ac:dyDescent="0.25">
      <c r="A230" s="8">
        <v>44715</v>
      </c>
      <c r="B230" t="s">
        <v>135</v>
      </c>
      <c r="C230">
        <v>2027</v>
      </c>
      <c r="D230" t="s">
        <v>6</v>
      </c>
      <c r="E230" t="str">
        <f>IF(june[[#This Row],[ShiftCounter]]&gt;0, "Running", "Down")</f>
        <v>Running</v>
      </c>
    </row>
    <row r="231" spans="1:5" x14ac:dyDescent="0.25">
      <c r="A231" s="8">
        <v>44715</v>
      </c>
      <c r="B231" t="s">
        <v>135</v>
      </c>
      <c r="C231">
        <v>2053</v>
      </c>
      <c r="D231" t="s">
        <v>7</v>
      </c>
      <c r="E231" t="str">
        <f>IF(june[[#This Row],[ShiftCounter]]&gt;0, "Running", "Down")</f>
        <v>Running</v>
      </c>
    </row>
    <row r="232" spans="1:5" x14ac:dyDescent="0.25">
      <c r="A232" s="8">
        <v>44715</v>
      </c>
      <c r="B232" t="s">
        <v>135</v>
      </c>
      <c r="C232">
        <v>1897</v>
      </c>
      <c r="D232" t="s">
        <v>8</v>
      </c>
      <c r="E232" t="str">
        <f>IF(june[[#This Row],[ShiftCounter]]&gt;0, "Running", "Down")</f>
        <v>Running</v>
      </c>
    </row>
    <row r="233" spans="1:5" x14ac:dyDescent="0.25">
      <c r="A233" s="8">
        <v>44715</v>
      </c>
      <c r="B233" t="s">
        <v>40</v>
      </c>
      <c r="C233">
        <v>2394</v>
      </c>
      <c r="D233" t="s">
        <v>6</v>
      </c>
      <c r="E233" t="str">
        <f>IF(june[[#This Row],[ShiftCounter]]&gt;0, "Running", "Down")</f>
        <v>Running</v>
      </c>
    </row>
    <row r="234" spans="1:5" x14ac:dyDescent="0.25">
      <c r="A234" s="8">
        <v>44715</v>
      </c>
      <c r="B234" t="s">
        <v>40</v>
      </c>
      <c r="C234">
        <v>2422</v>
      </c>
      <c r="D234" t="s">
        <v>7</v>
      </c>
      <c r="E234" t="str">
        <f>IF(june[[#This Row],[ShiftCounter]]&gt;0, "Running", "Down")</f>
        <v>Running</v>
      </c>
    </row>
    <row r="235" spans="1:5" x14ac:dyDescent="0.25">
      <c r="A235" s="8">
        <v>44715</v>
      </c>
      <c r="B235" t="s">
        <v>40</v>
      </c>
      <c r="C235">
        <v>2240</v>
      </c>
      <c r="D235" t="s">
        <v>8</v>
      </c>
      <c r="E235" t="str">
        <f>IF(june[[#This Row],[ShiftCounter]]&gt;0, "Running", "Down")</f>
        <v>Running</v>
      </c>
    </row>
    <row r="236" spans="1:5" x14ac:dyDescent="0.25">
      <c r="A236" s="8">
        <v>44715</v>
      </c>
      <c r="B236" t="s">
        <v>39</v>
      </c>
      <c r="C236">
        <v>2068</v>
      </c>
      <c r="D236" t="s">
        <v>6</v>
      </c>
      <c r="E236" t="str">
        <f>IF(june[[#This Row],[ShiftCounter]]&gt;0, "Running", "Down")</f>
        <v>Running</v>
      </c>
    </row>
    <row r="237" spans="1:5" x14ac:dyDescent="0.25">
      <c r="A237" s="8">
        <v>44715</v>
      </c>
      <c r="B237" t="s">
        <v>39</v>
      </c>
      <c r="C237">
        <v>2188</v>
      </c>
      <c r="D237" t="s">
        <v>7</v>
      </c>
      <c r="E237" t="str">
        <f>IF(june[[#This Row],[ShiftCounter]]&gt;0, "Running", "Down")</f>
        <v>Running</v>
      </c>
    </row>
    <row r="238" spans="1:5" x14ac:dyDescent="0.25">
      <c r="A238" s="8">
        <v>44715</v>
      </c>
      <c r="B238" t="s">
        <v>39</v>
      </c>
      <c r="C238">
        <v>1965</v>
      </c>
      <c r="D238" t="s">
        <v>8</v>
      </c>
      <c r="E238" t="str">
        <f>IF(june[[#This Row],[ShiftCounter]]&gt;0, "Running", "Down")</f>
        <v>Running</v>
      </c>
    </row>
    <row r="239" spans="1:5" x14ac:dyDescent="0.25">
      <c r="A239" s="8">
        <v>44715</v>
      </c>
      <c r="B239" t="s">
        <v>41</v>
      </c>
      <c r="C239">
        <v>2184</v>
      </c>
      <c r="D239" t="s">
        <v>6</v>
      </c>
      <c r="E239" t="str">
        <f>IF(june[[#This Row],[ShiftCounter]]&gt;0, "Running", "Down")</f>
        <v>Running</v>
      </c>
    </row>
    <row r="240" spans="1:5" x14ac:dyDescent="0.25">
      <c r="A240" s="8">
        <v>44715</v>
      </c>
      <c r="B240" t="s">
        <v>41</v>
      </c>
      <c r="C240">
        <v>2310</v>
      </c>
      <c r="D240" t="s">
        <v>7</v>
      </c>
      <c r="E240" t="str">
        <f>IF(june[[#This Row],[ShiftCounter]]&gt;0, "Running", "Down")</f>
        <v>Running</v>
      </c>
    </row>
    <row r="241" spans="1:5" x14ac:dyDescent="0.25">
      <c r="A241" s="8">
        <v>44715</v>
      </c>
      <c r="B241" t="s">
        <v>41</v>
      </c>
      <c r="C241">
        <v>2252</v>
      </c>
      <c r="D241" t="s">
        <v>8</v>
      </c>
      <c r="E241" t="str">
        <f>IF(june[[#This Row],[ShiftCounter]]&gt;0, "Running", "Down")</f>
        <v>Running</v>
      </c>
    </row>
    <row r="242" spans="1:5" x14ac:dyDescent="0.25">
      <c r="A242" s="8">
        <v>44715</v>
      </c>
      <c r="B242" t="s">
        <v>5</v>
      </c>
      <c r="C242">
        <v>2231</v>
      </c>
      <c r="D242" t="s">
        <v>6</v>
      </c>
      <c r="E242" t="str">
        <f>IF(june[[#This Row],[ShiftCounter]]&gt;0, "Running", "Down")</f>
        <v>Running</v>
      </c>
    </row>
    <row r="243" spans="1:5" x14ac:dyDescent="0.25">
      <c r="A243" s="8">
        <v>44715</v>
      </c>
      <c r="B243" t="s">
        <v>5</v>
      </c>
      <c r="C243">
        <v>2295</v>
      </c>
      <c r="D243" t="s">
        <v>7</v>
      </c>
      <c r="E243" t="str">
        <f>IF(june[[#This Row],[ShiftCounter]]&gt;0, "Running", "Down")</f>
        <v>Running</v>
      </c>
    </row>
    <row r="244" spans="1:5" x14ac:dyDescent="0.25">
      <c r="A244" s="8">
        <v>44715</v>
      </c>
      <c r="B244" t="s">
        <v>5</v>
      </c>
      <c r="C244">
        <v>2230</v>
      </c>
      <c r="D244" t="s">
        <v>8</v>
      </c>
      <c r="E244" t="str">
        <f>IF(june[[#This Row],[ShiftCounter]]&gt;0, "Running", "Down")</f>
        <v>Running</v>
      </c>
    </row>
    <row r="245" spans="1:5" x14ac:dyDescent="0.25">
      <c r="A245" s="8">
        <v>44715</v>
      </c>
      <c r="B245" t="s">
        <v>9</v>
      </c>
      <c r="C245">
        <v>2284</v>
      </c>
      <c r="D245" t="s">
        <v>6</v>
      </c>
      <c r="E245" t="str">
        <f>IF(june[[#This Row],[ShiftCounter]]&gt;0, "Running", "Down")</f>
        <v>Running</v>
      </c>
    </row>
    <row r="246" spans="1:5" x14ac:dyDescent="0.25">
      <c r="A246" s="8">
        <v>44715</v>
      </c>
      <c r="B246" t="s">
        <v>9</v>
      </c>
      <c r="C246">
        <v>2296</v>
      </c>
      <c r="D246" t="s">
        <v>7</v>
      </c>
      <c r="E246" t="str">
        <f>IF(june[[#This Row],[ShiftCounter]]&gt;0, "Running", "Down")</f>
        <v>Running</v>
      </c>
    </row>
    <row r="247" spans="1:5" x14ac:dyDescent="0.25">
      <c r="A247" s="8">
        <v>44715</v>
      </c>
      <c r="B247" t="s">
        <v>9</v>
      </c>
      <c r="C247">
        <v>2239</v>
      </c>
      <c r="D247" t="s">
        <v>8</v>
      </c>
      <c r="E247" t="str">
        <f>IF(june[[#This Row],[ShiftCounter]]&gt;0, "Running", "Down")</f>
        <v>Running</v>
      </c>
    </row>
    <row r="248" spans="1:5" x14ac:dyDescent="0.25">
      <c r="A248" s="8">
        <v>44715</v>
      </c>
      <c r="B248" t="s">
        <v>10</v>
      </c>
      <c r="C248">
        <v>2350</v>
      </c>
      <c r="D248" t="s">
        <v>6</v>
      </c>
      <c r="E248" t="str">
        <f>IF(june[[#This Row],[ShiftCounter]]&gt;0, "Running", "Down")</f>
        <v>Running</v>
      </c>
    </row>
    <row r="249" spans="1:5" x14ac:dyDescent="0.25">
      <c r="A249" s="8">
        <v>44715</v>
      </c>
      <c r="B249" t="s">
        <v>10</v>
      </c>
      <c r="C249">
        <v>2449</v>
      </c>
      <c r="D249" t="s">
        <v>7</v>
      </c>
      <c r="E249" t="str">
        <f>IF(june[[#This Row],[ShiftCounter]]&gt;0, "Running", "Down")</f>
        <v>Running</v>
      </c>
    </row>
    <row r="250" spans="1:5" x14ac:dyDescent="0.25">
      <c r="A250" s="8">
        <v>44715</v>
      </c>
      <c r="B250" t="s">
        <v>10</v>
      </c>
      <c r="C250">
        <v>2274</v>
      </c>
      <c r="D250" t="s">
        <v>8</v>
      </c>
      <c r="E250" t="str">
        <f>IF(june[[#This Row],[ShiftCounter]]&gt;0, "Running", "Down")</f>
        <v>Running</v>
      </c>
    </row>
    <row r="251" spans="1:5" x14ac:dyDescent="0.25">
      <c r="A251" s="8">
        <v>44715</v>
      </c>
      <c r="B251" t="s">
        <v>11</v>
      </c>
      <c r="C251">
        <v>2215</v>
      </c>
      <c r="D251" t="s">
        <v>6</v>
      </c>
      <c r="E251" t="str">
        <f>IF(june[[#This Row],[ShiftCounter]]&gt;0, "Running", "Down")</f>
        <v>Running</v>
      </c>
    </row>
    <row r="252" spans="1:5" x14ac:dyDescent="0.25">
      <c r="A252" s="8">
        <v>44715</v>
      </c>
      <c r="B252" t="s">
        <v>11</v>
      </c>
      <c r="C252">
        <v>360</v>
      </c>
      <c r="D252" t="s">
        <v>7</v>
      </c>
      <c r="E252" t="str">
        <f>IF(june[[#This Row],[ShiftCounter]]&gt;0, "Running", "Down")</f>
        <v>Running</v>
      </c>
    </row>
    <row r="253" spans="1:5" x14ac:dyDescent="0.25">
      <c r="A253" s="8">
        <v>44715</v>
      </c>
      <c r="B253" t="s">
        <v>11</v>
      </c>
      <c r="C253">
        <v>0</v>
      </c>
      <c r="D253" t="s">
        <v>8</v>
      </c>
      <c r="E253" t="str">
        <f>IF(june[[#This Row],[ShiftCounter]]&gt;0, "Running", "Down")</f>
        <v>Down</v>
      </c>
    </row>
    <row r="254" spans="1:5" x14ac:dyDescent="0.25">
      <c r="A254" s="8">
        <v>44715</v>
      </c>
      <c r="B254" t="s">
        <v>12</v>
      </c>
      <c r="C254">
        <v>2312</v>
      </c>
      <c r="D254" t="s">
        <v>6</v>
      </c>
      <c r="E254" t="str">
        <f>IF(june[[#This Row],[ShiftCounter]]&gt;0, "Running", "Down")</f>
        <v>Running</v>
      </c>
    </row>
    <row r="255" spans="1:5" x14ac:dyDescent="0.25">
      <c r="A255" s="8">
        <v>44715</v>
      </c>
      <c r="B255" t="s">
        <v>12</v>
      </c>
      <c r="C255">
        <v>2281</v>
      </c>
      <c r="D255" t="s">
        <v>7</v>
      </c>
      <c r="E255" t="str">
        <f>IF(june[[#This Row],[ShiftCounter]]&gt;0, "Running", "Down")</f>
        <v>Running</v>
      </c>
    </row>
    <row r="256" spans="1:5" x14ac:dyDescent="0.25">
      <c r="A256" s="8">
        <v>44715</v>
      </c>
      <c r="B256" t="s">
        <v>12</v>
      </c>
      <c r="C256">
        <v>2102</v>
      </c>
      <c r="D256" t="s">
        <v>8</v>
      </c>
      <c r="E256" t="str">
        <f>IF(june[[#This Row],[ShiftCounter]]&gt;0, "Running", "Down")</f>
        <v>Running</v>
      </c>
    </row>
    <row r="257" spans="1:5" x14ac:dyDescent="0.25">
      <c r="A257" s="8">
        <v>44715</v>
      </c>
      <c r="B257" t="s">
        <v>105</v>
      </c>
      <c r="C257">
        <v>2238</v>
      </c>
      <c r="D257" t="s">
        <v>6</v>
      </c>
      <c r="E257" t="str">
        <f>IF(june[[#This Row],[ShiftCounter]]&gt;0, "Running", "Down")</f>
        <v>Running</v>
      </c>
    </row>
    <row r="258" spans="1:5" x14ac:dyDescent="0.25">
      <c r="A258" s="8">
        <v>44715</v>
      </c>
      <c r="B258" t="s">
        <v>105</v>
      </c>
      <c r="C258">
        <v>2304</v>
      </c>
      <c r="D258" t="s">
        <v>7</v>
      </c>
      <c r="E258" t="str">
        <f>IF(june[[#This Row],[ShiftCounter]]&gt;0, "Running", "Down")</f>
        <v>Running</v>
      </c>
    </row>
    <row r="259" spans="1:5" x14ac:dyDescent="0.25">
      <c r="A259" s="8">
        <v>44715</v>
      </c>
      <c r="B259" t="s">
        <v>105</v>
      </c>
      <c r="C259">
        <v>1991</v>
      </c>
      <c r="D259" t="s">
        <v>8</v>
      </c>
      <c r="E259" t="str">
        <f>IF(june[[#This Row],[ShiftCounter]]&gt;0, "Running", "Down")</f>
        <v>Running</v>
      </c>
    </row>
    <row r="260" spans="1:5" x14ac:dyDescent="0.25">
      <c r="A260" s="8">
        <v>44715</v>
      </c>
      <c r="B260" t="s">
        <v>13</v>
      </c>
      <c r="C260">
        <v>2160</v>
      </c>
      <c r="D260" t="s">
        <v>6</v>
      </c>
      <c r="E260" t="str">
        <f>IF(june[[#This Row],[ShiftCounter]]&gt;0, "Running", "Down")</f>
        <v>Running</v>
      </c>
    </row>
    <row r="261" spans="1:5" x14ac:dyDescent="0.25">
      <c r="A261" s="8">
        <v>44715</v>
      </c>
      <c r="B261" t="s">
        <v>13</v>
      </c>
      <c r="C261">
        <v>2030</v>
      </c>
      <c r="D261" t="s">
        <v>7</v>
      </c>
      <c r="E261" t="str">
        <f>IF(june[[#This Row],[ShiftCounter]]&gt;0, "Running", "Down")</f>
        <v>Running</v>
      </c>
    </row>
    <row r="262" spans="1:5" x14ac:dyDescent="0.25">
      <c r="A262" s="8">
        <v>44715</v>
      </c>
      <c r="B262" t="s">
        <v>13</v>
      </c>
      <c r="C262">
        <v>1900</v>
      </c>
      <c r="D262" t="s">
        <v>8</v>
      </c>
      <c r="E262" t="str">
        <f>IF(june[[#This Row],[ShiftCounter]]&gt;0, "Running", "Down")</f>
        <v>Running</v>
      </c>
    </row>
    <row r="263" spans="1:5" x14ac:dyDescent="0.25">
      <c r="A263" s="8">
        <v>44715</v>
      </c>
      <c r="B263" t="s">
        <v>101</v>
      </c>
      <c r="C263">
        <v>2040</v>
      </c>
      <c r="D263" t="s">
        <v>6</v>
      </c>
      <c r="E263" t="str">
        <f>IF(june[[#This Row],[ShiftCounter]]&gt;0, "Running", "Down")</f>
        <v>Running</v>
      </c>
    </row>
    <row r="264" spans="1:5" x14ac:dyDescent="0.25">
      <c r="A264" s="8">
        <v>44715</v>
      </c>
      <c r="B264" t="s">
        <v>101</v>
      </c>
      <c r="C264">
        <v>1958</v>
      </c>
      <c r="D264" t="s">
        <v>7</v>
      </c>
      <c r="E264" t="str">
        <f>IF(june[[#This Row],[ShiftCounter]]&gt;0, "Running", "Down")</f>
        <v>Running</v>
      </c>
    </row>
    <row r="265" spans="1:5" x14ac:dyDescent="0.25">
      <c r="A265" s="8">
        <v>44715</v>
      </c>
      <c r="B265" t="s">
        <v>101</v>
      </c>
      <c r="C265">
        <v>1827</v>
      </c>
      <c r="D265" t="s">
        <v>8</v>
      </c>
      <c r="E265" t="str">
        <f>IF(june[[#This Row],[ShiftCounter]]&gt;0, "Running", "Down")</f>
        <v>Running</v>
      </c>
    </row>
    <row r="266" spans="1:5" x14ac:dyDescent="0.25">
      <c r="A266" s="8">
        <v>44715</v>
      </c>
      <c r="B266" t="s">
        <v>14</v>
      </c>
      <c r="C266">
        <v>1849</v>
      </c>
      <c r="D266" t="s">
        <v>6</v>
      </c>
      <c r="E266" t="str">
        <f>IF(june[[#This Row],[ShiftCounter]]&gt;0, "Running", "Down")</f>
        <v>Running</v>
      </c>
    </row>
    <row r="267" spans="1:5" x14ac:dyDescent="0.25">
      <c r="A267" s="8">
        <v>44715</v>
      </c>
      <c r="B267" t="s">
        <v>14</v>
      </c>
      <c r="C267">
        <v>1735</v>
      </c>
      <c r="D267" t="s">
        <v>7</v>
      </c>
      <c r="E267" t="str">
        <f>IF(june[[#This Row],[ShiftCounter]]&gt;0, "Running", "Down")</f>
        <v>Running</v>
      </c>
    </row>
    <row r="268" spans="1:5" x14ac:dyDescent="0.25">
      <c r="A268" s="8">
        <v>44715</v>
      </c>
      <c r="B268" t="s">
        <v>14</v>
      </c>
      <c r="C268">
        <v>1615</v>
      </c>
      <c r="D268" t="s">
        <v>8</v>
      </c>
      <c r="E268" t="str">
        <f>IF(june[[#This Row],[ShiftCounter]]&gt;0, "Running", "Down")</f>
        <v>Running</v>
      </c>
    </row>
    <row r="269" spans="1:5" x14ac:dyDescent="0.25">
      <c r="A269" s="8">
        <v>44715</v>
      </c>
      <c r="B269" t="s">
        <v>15</v>
      </c>
      <c r="C269">
        <v>2137</v>
      </c>
      <c r="D269" t="s">
        <v>6</v>
      </c>
      <c r="E269" t="str">
        <f>IF(june[[#This Row],[ShiftCounter]]&gt;0, "Running", "Down")</f>
        <v>Running</v>
      </c>
    </row>
    <row r="270" spans="1:5" x14ac:dyDescent="0.25">
      <c r="A270" s="8">
        <v>44715</v>
      </c>
      <c r="B270" t="s">
        <v>15</v>
      </c>
      <c r="C270">
        <v>1997</v>
      </c>
      <c r="D270" t="s">
        <v>7</v>
      </c>
      <c r="E270" t="str">
        <f>IF(june[[#This Row],[ShiftCounter]]&gt;0, "Running", "Down")</f>
        <v>Running</v>
      </c>
    </row>
    <row r="271" spans="1:5" x14ac:dyDescent="0.25">
      <c r="A271" s="8">
        <v>44715</v>
      </c>
      <c r="B271" t="s">
        <v>15</v>
      </c>
      <c r="C271">
        <v>1854</v>
      </c>
      <c r="D271" t="s">
        <v>8</v>
      </c>
      <c r="E271" t="str">
        <f>IF(june[[#This Row],[ShiftCounter]]&gt;0, "Running", "Down")</f>
        <v>Running</v>
      </c>
    </row>
    <row r="272" spans="1:5" x14ac:dyDescent="0.25">
      <c r="A272" s="8">
        <v>44715</v>
      </c>
      <c r="B272" t="s">
        <v>16</v>
      </c>
      <c r="C272">
        <v>2220</v>
      </c>
      <c r="D272" t="s">
        <v>6</v>
      </c>
      <c r="E272" t="str">
        <f>IF(june[[#This Row],[ShiftCounter]]&gt;0, "Running", "Down")</f>
        <v>Running</v>
      </c>
    </row>
    <row r="273" spans="1:5" x14ac:dyDescent="0.25">
      <c r="A273" s="8">
        <v>44715</v>
      </c>
      <c r="B273" t="s">
        <v>16</v>
      </c>
      <c r="C273">
        <v>2122</v>
      </c>
      <c r="D273" t="s">
        <v>7</v>
      </c>
      <c r="E273" t="str">
        <f>IF(june[[#This Row],[ShiftCounter]]&gt;0, "Running", "Down")</f>
        <v>Running</v>
      </c>
    </row>
    <row r="274" spans="1:5" x14ac:dyDescent="0.25">
      <c r="A274" s="8">
        <v>44715</v>
      </c>
      <c r="B274" t="s">
        <v>16</v>
      </c>
      <c r="C274">
        <v>2011</v>
      </c>
      <c r="D274" t="s">
        <v>8</v>
      </c>
      <c r="E274" t="str">
        <f>IF(june[[#This Row],[ShiftCounter]]&gt;0, "Running", "Down")</f>
        <v>Running</v>
      </c>
    </row>
    <row r="275" spans="1:5" x14ac:dyDescent="0.25">
      <c r="A275" s="8">
        <v>44715</v>
      </c>
      <c r="B275" t="s">
        <v>17</v>
      </c>
      <c r="C275">
        <v>1480</v>
      </c>
      <c r="D275" t="s">
        <v>6</v>
      </c>
      <c r="E275" t="str">
        <f>IF(june[[#This Row],[ShiftCounter]]&gt;0, "Running", "Down")</f>
        <v>Running</v>
      </c>
    </row>
    <row r="276" spans="1:5" x14ac:dyDescent="0.25">
      <c r="A276" s="8">
        <v>44715</v>
      </c>
      <c r="B276" t="s">
        <v>17</v>
      </c>
      <c r="C276">
        <v>2134</v>
      </c>
      <c r="D276" t="s">
        <v>7</v>
      </c>
      <c r="E276" t="str">
        <f>IF(june[[#This Row],[ShiftCounter]]&gt;0, "Running", "Down")</f>
        <v>Running</v>
      </c>
    </row>
    <row r="277" spans="1:5" x14ac:dyDescent="0.25">
      <c r="A277" s="8">
        <v>44715</v>
      </c>
      <c r="B277" t="s">
        <v>17</v>
      </c>
      <c r="C277">
        <v>2183</v>
      </c>
      <c r="D277" t="s">
        <v>8</v>
      </c>
      <c r="E277" t="str">
        <f>IF(june[[#This Row],[ShiftCounter]]&gt;0, "Running", "Down")</f>
        <v>Running</v>
      </c>
    </row>
    <row r="278" spans="1:5" x14ac:dyDescent="0.25">
      <c r="A278" s="8">
        <v>44715</v>
      </c>
      <c r="B278" t="s">
        <v>19</v>
      </c>
      <c r="C278">
        <v>2096</v>
      </c>
      <c r="D278" t="s">
        <v>6</v>
      </c>
      <c r="E278" t="str">
        <f>IF(june[[#This Row],[ShiftCounter]]&gt;0, "Running", "Down")</f>
        <v>Running</v>
      </c>
    </row>
    <row r="279" spans="1:5" x14ac:dyDescent="0.25">
      <c r="A279" s="8">
        <v>44715</v>
      </c>
      <c r="B279" t="s">
        <v>19</v>
      </c>
      <c r="C279">
        <v>2625</v>
      </c>
      <c r="D279" t="s">
        <v>7</v>
      </c>
      <c r="E279" t="str">
        <f>IF(june[[#This Row],[ShiftCounter]]&gt;0, "Running", "Down")</f>
        <v>Running</v>
      </c>
    </row>
    <row r="280" spans="1:5" x14ac:dyDescent="0.25">
      <c r="A280" s="8">
        <v>44715</v>
      </c>
      <c r="B280" t="s">
        <v>19</v>
      </c>
      <c r="C280">
        <v>1879</v>
      </c>
      <c r="D280" t="s">
        <v>8</v>
      </c>
      <c r="E280" t="str">
        <f>IF(june[[#This Row],[ShiftCounter]]&gt;0, "Running", "Down")</f>
        <v>Running</v>
      </c>
    </row>
    <row r="281" spans="1:5" x14ac:dyDescent="0.25">
      <c r="A281" s="8">
        <v>44715</v>
      </c>
      <c r="B281" t="s">
        <v>18</v>
      </c>
      <c r="C281">
        <v>2377</v>
      </c>
      <c r="D281" t="s">
        <v>6</v>
      </c>
      <c r="E281" t="str">
        <f>IF(june[[#This Row],[ShiftCounter]]&gt;0, "Running", "Down")</f>
        <v>Running</v>
      </c>
    </row>
    <row r="282" spans="1:5" x14ac:dyDescent="0.25">
      <c r="A282" s="8">
        <v>44715</v>
      </c>
      <c r="B282" t="s">
        <v>18</v>
      </c>
      <c r="C282">
        <v>2261</v>
      </c>
      <c r="D282" t="s">
        <v>7</v>
      </c>
      <c r="E282" t="str">
        <f>IF(june[[#This Row],[ShiftCounter]]&gt;0, "Running", "Down")</f>
        <v>Running</v>
      </c>
    </row>
    <row r="283" spans="1:5" x14ac:dyDescent="0.25">
      <c r="A283" s="8">
        <v>44715</v>
      </c>
      <c r="B283" t="s">
        <v>18</v>
      </c>
      <c r="C283">
        <v>2097</v>
      </c>
      <c r="D283" t="s">
        <v>8</v>
      </c>
      <c r="E283" t="str">
        <f>IF(june[[#This Row],[ShiftCounter]]&gt;0, "Running", "Down")</f>
        <v>Running</v>
      </c>
    </row>
    <row r="284" spans="1:5" x14ac:dyDescent="0.25">
      <c r="A284" s="8">
        <v>44715</v>
      </c>
      <c r="B284" t="s">
        <v>42</v>
      </c>
      <c r="C284">
        <v>2232</v>
      </c>
      <c r="D284" t="s">
        <v>6</v>
      </c>
      <c r="E284" t="str">
        <f>IF(june[[#This Row],[ShiftCounter]]&gt;0, "Running", "Down")</f>
        <v>Running</v>
      </c>
    </row>
    <row r="285" spans="1:5" x14ac:dyDescent="0.25">
      <c r="A285" s="8">
        <v>44715</v>
      </c>
      <c r="B285" t="s">
        <v>42</v>
      </c>
      <c r="C285">
        <v>2054</v>
      </c>
      <c r="D285" t="s">
        <v>7</v>
      </c>
      <c r="E285" t="str">
        <f>IF(june[[#This Row],[ShiftCounter]]&gt;0, "Running", "Down")</f>
        <v>Running</v>
      </c>
    </row>
    <row r="286" spans="1:5" x14ac:dyDescent="0.25">
      <c r="A286" s="8">
        <v>44715</v>
      </c>
      <c r="B286" t="s">
        <v>42</v>
      </c>
      <c r="C286">
        <v>1893</v>
      </c>
      <c r="D286" t="s">
        <v>8</v>
      </c>
      <c r="E286" t="str">
        <f>IF(june[[#This Row],[ShiftCounter]]&gt;0, "Running", "Down")</f>
        <v>Running</v>
      </c>
    </row>
    <row r="287" spans="1:5" x14ac:dyDescent="0.25">
      <c r="A287" s="8">
        <v>44715</v>
      </c>
      <c r="B287" t="s">
        <v>38</v>
      </c>
      <c r="C287">
        <v>2393</v>
      </c>
      <c r="D287" t="s">
        <v>6</v>
      </c>
      <c r="E287" t="str">
        <f>IF(june[[#This Row],[ShiftCounter]]&gt;0, "Running", "Down")</f>
        <v>Running</v>
      </c>
    </row>
    <row r="288" spans="1:5" x14ac:dyDescent="0.25">
      <c r="A288" s="8">
        <v>44715</v>
      </c>
      <c r="B288" t="s">
        <v>38</v>
      </c>
      <c r="C288">
        <v>2283</v>
      </c>
      <c r="D288" t="s">
        <v>7</v>
      </c>
      <c r="E288" t="str">
        <f>IF(june[[#This Row],[ShiftCounter]]&gt;0, "Running", "Down")</f>
        <v>Running</v>
      </c>
    </row>
    <row r="289" spans="1:5" x14ac:dyDescent="0.25">
      <c r="A289" s="8">
        <v>44715</v>
      </c>
      <c r="B289" t="s">
        <v>38</v>
      </c>
      <c r="C289">
        <v>2161</v>
      </c>
      <c r="D289" t="s">
        <v>8</v>
      </c>
      <c r="E289" t="str">
        <f>IF(june[[#This Row],[ShiftCounter]]&gt;0, "Running", "Down")</f>
        <v>Running</v>
      </c>
    </row>
    <row r="290" spans="1:5" x14ac:dyDescent="0.25">
      <c r="A290" s="8">
        <v>44715</v>
      </c>
      <c r="B290" t="s">
        <v>20</v>
      </c>
      <c r="C290">
        <v>2294</v>
      </c>
      <c r="D290" t="s">
        <v>6</v>
      </c>
      <c r="E290" t="str">
        <f>IF(june[[#This Row],[ShiftCounter]]&gt;0, "Running", "Down")</f>
        <v>Running</v>
      </c>
    </row>
    <row r="291" spans="1:5" x14ac:dyDescent="0.25">
      <c r="A291" s="8">
        <v>44715</v>
      </c>
      <c r="B291" t="s">
        <v>20</v>
      </c>
      <c r="C291">
        <v>2244</v>
      </c>
      <c r="D291" t="s">
        <v>7</v>
      </c>
      <c r="E291" t="str">
        <f>IF(june[[#This Row],[ShiftCounter]]&gt;0, "Running", "Down")</f>
        <v>Running</v>
      </c>
    </row>
    <row r="292" spans="1:5" x14ac:dyDescent="0.25">
      <c r="A292" s="8">
        <v>44715</v>
      </c>
      <c r="B292" t="s">
        <v>20</v>
      </c>
      <c r="C292">
        <v>2083</v>
      </c>
      <c r="D292" t="s">
        <v>8</v>
      </c>
      <c r="E292" t="str">
        <f>IF(june[[#This Row],[ShiftCounter]]&gt;0, "Running", "Down")</f>
        <v>Running</v>
      </c>
    </row>
    <row r="293" spans="1:5" x14ac:dyDescent="0.25">
      <c r="A293" s="8">
        <v>44715</v>
      </c>
      <c r="B293" t="s">
        <v>21</v>
      </c>
      <c r="C293">
        <v>2078</v>
      </c>
      <c r="D293" t="s">
        <v>6</v>
      </c>
      <c r="E293" t="str">
        <f>IF(june[[#This Row],[ShiftCounter]]&gt;0, "Running", "Down")</f>
        <v>Running</v>
      </c>
    </row>
    <row r="294" spans="1:5" x14ac:dyDescent="0.25">
      <c r="A294" s="8">
        <v>44715</v>
      </c>
      <c r="B294" t="s">
        <v>21</v>
      </c>
      <c r="C294">
        <v>2022</v>
      </c>
      <c r="D294" t="s">
        <v>7</v>
      </c>
      <c r="E294" t="str">
        <f>IF(june[[#This Row],[ShiftCounter]]&gt;0, "Running", "Down")</f>
        <v>Running</v>
      </c>
    </row>
    <row r="295" spans="1:5" x14ac:dyDescent="0.25">
      <c r="A295" s="8">
        <v>44715</v>
      </c>
      <c r="B295" t="s">
        <v>21</v>
      </c>
      <c r="C295">
        <v>1927</v>
      </c>
      <c r="D295" t="s">
        <v>8</v>
      </c>
      <c r="E295" t="str">
        <f>IF(june[[#This Row],[ShiftCounter]]&gt;0, "Running", "Down")</f>
        <v>Running</v>
      </c>
    </row>
    <row r="296" spans="1:5" x14ac:dyDescent="0.25">
      <c r="A296" s="8">
        <v>44715</v>
      </c>
      <c r="B296" t="s">
        <v>22</v>
      </c>
      <c r="C296">
        <v>2205</v>
      </c>
      <c r="D296" t="s">
        <v>6</v>
      </c>
      <c r="E296" t="str">
        <f>IF(june[[#This Row],[ShiftCounter]]&gt;0, "Running", "Down")</f>
        <v>Running</v>
      </c>
    </row>
    <row r="297" spans="1:5" x14ac:dyDescent="0.25">
      <c r="A297" s="8">
        <v>44715</v>
      </c>
      <c r="B297" t="s">
        <v>22</v>
      </c>
      <c r="C297">
        <v>2188</v>
      </c>
      <c r="D297" t="s">
        <v>7</v>
      </c>
      <c r="E297" t="str">
        <f>IF(june[[#This Row],[ShiftCounter]]&gt;0, "Running", "Down")</f>
        <v>Running</v>
      </c>
    </row>
    <row r="298" spans="1:5" x14ac:dyDescent="0.25">
      <c r="A298" s="8">
        <v>44715</v>
      </c>
      <c r="B298" t="s">
        <v>22</v>
      </c>
      <c r="C298">
        <v>2084</v>
      </c>
      <c r="D298" t="s">
        <v>8</v>
      </c>
      <c r="E298" t="str">
        <f>IF(june[[#This Row],[ShiftCounter]]&gt;0, "Running", "Down")</f>
        <v>Running</v>
      </c>
    </row>
    <row r="299" spans="1:5" x14ac:dyDescent="0.25">
      <c r="A299" s="8">
        <v>44715</v>
      </c>
      <c r="B299" t="s">
        <v>23</v>
      </c>
      <c r="C299">
        <v>2147</v>
      </c>
      <c r="D299" t="s">
        <v>6</v>
      </c>
      <c r="E299" t="str">
        <f>IF(june[[#This Row],[ShiftCounter]]&gt;0, "Running", "Down")</f>
        <v>Running</v>
      </c>
    </row>
    <row r="300" spans="1:5" x14ac:dyDescent="0.25">
      <c r="A300" s="8">
        <v>44715</v>
      </c>
      <c r="B300" t="s">
        <v>23</v>
      </c>
      <c r="C300">
        <v>2226</v>
      </c>
      <c r="D300" t="s">
        <v>7</v>
      </c>
      <c r="E300" t="str">
        <f>IF(june[[#This Row],[ShiftCounter]]&gt;0, "Running", "Down")</f>
        <v>Running</v>
      </c>
    </row>
    <row r="301" spans="1:5" x14ac:dyDescent="0.25">
      <c r="A301" s="8">
        <v>44715</v>
      </c>
      <c r="B301" t="s">
        <v>23</v>
      </c>
      <c r="C301">
        <v>1971</v>
      </c>
      <c r="D301" t="s">
        <v>8</v>
      </c>
      <c r="E301" t="str">
        <f>IF(june[[#This Row],[ShiftCounter]]&gt;0, "Running", "Down")</f>
        <v>Running</v>
      </c>
    </row>
    <row r="302" spans="1:5" x14ac:dyDescent="0.25">
      <c r="A302" s="8">
        <v>44715</v>
      </c>
      <c r="B302" t="s">
        <v>24</v>
      </c>
      <c r="C302">
        <v>2074</v>
      </c>
      <c r="D302" t="s">
        <v>6</v>
      </c>
      <c r="E302" t="str">
        <f>IF(june[[#This Row],[ShiftCounter]]&gt;0, "Running", "Down")</f>
        <v>Running</v>
      </c>
    </row>
    <row r="303" spans="1:5" x14ac:dyDescent="0.25">
      <c r="A303" s="8">
        <v>44715</v>
      </c>
      <c r="B303" t="s">
        <v>24</v>
      </c>
      <c r="C303">
        <v>1923</v>
      </c>
      <c r="D303" t="s">
        <v>7</v>
      </c>
      <c r="E303" t="str">
        <f>IF(june[[#This Row],[ShiftCounter]]&gt;0, "Running", "Down")</f>
        <v>Running</v>
      </c>
    </row>
    <row r="304" spans="1:5" x14ac:dyDescent="0.25">
      <c r="A304" s="8">
        <v>44715</v>
      </c>
      <c r="B304" t="s">
        <v>24</v>
      </c>
      <c r="C304">
        <v>1885</v>
      </c>
      <c r="D304" t="s">
        <v>8</v>
      </c>
      <c r="E304" t="str">
        <f>IF(june[[#This Row],[ShiftCounter]]&gt;0, "Running", "Down")</f>
        <v>Running</v>
      </c>
    </row>
    <row r="305" spans="1:5" x14ac:dyDescent="0.25">
      <c r="A305" s="8">
        <v>44715</v>
      </c>
      <c r="B305" t="s">
        <v>25</v>
      </c>
      <c r="C305">
        <v>2263</v>
      </c>
      <c r="D305" t="s">
        <v>6</v>
      </c>
      <c r="E305" t="str">
        <f>IF(june[[#This Row],[ShiftCounter]]&gt;0, "Running", "Down")</f>
        <v>Running</v>
      </c>
    </row>
    <row r="306" spans="1:5" x14ac:dyDescent="0.25">
      <c r="A306" s="8">
        <v>44715</v>
      </c>
      <c r="B306" t="s">
        <v>25</v>
      </c>
      <c r="C306">
        <v>2229</v>
      </c>
      <c r="D306" t="s">
        <v>7</v>
      </c>
      <c r="E306" t="str">
        <f>IF(june[[#This Row],[ShiftCounter]]&gt;0, "Running", "Down")</f>
        <v>Running</v>
      </c>
    </row>
    <row r="307" spans="1:5" x14ac:dyDescent="0.25">
      <c r="A307" s="8">
        <v>44715</v>
      </c>
      <c r="B307" t="s">
        <v>25</v>
      </c>
      <c r="C307">
        <v>2059</v>
      </c>
      <c r="D307" t="s">
        <v>8</v>
      </c>
      <c r="E307" t="str">
        <f>IF(june[[#This Row],[ShiftCounter]]&gt;0, "Running", "Down")</f>
        <v>Running</v>
      </c>
    </row>
    <row r="308" spans="1:5" x14ac:dyDescent="0.25">
      <c r="A308" s="8">
        <v>44715</v>
      </c>
      <c r="B308" t="s">
        <v>26</v>
      </c>
      <c r="C308">
        <v>1396</v>
      </c>
      <c r="D308" t="s">
        <v>6</v>
      </c>
      <c r="E308" t="str">
        <f>IF(june[[#This Row],[ShiftCounter]]&gt;0, "Running", "Down")</f>
        <v>Running</v>
      </c>
    </row>
    <row r="309" spans="1:5" x14ac:dyDescent="0.25">
      <c r="A309" s="8">
        <v>44715</v>
      </c>
      <c r="B309" t="s">
        <v>26</v>
      </c>
      <c r="C309">
        <v>2058</v>
      </c>
      <c r="D309" t="s">
        <v>7</v>
      </c>
      <c r="E309" t="str">
        <f>IF(june[[#This Row],[ShiftCounter]]&gt;0, "Running", "Down")</f>
        <v>Running</v>
      </c>
    </row>
    <row r="310" spans="1:5" x14ac:dyDescent="0.25">
      <c r="A310" s="8">
        <v>44715</v>
      </c>
      <c r="B310" t="s">
        <v>26</v>
      </c>
      <c r="C310">
        <v>1789</v>
      </c>
      <c r="D310" t="s">
        <v>8</v>
      </c>
      <c r="E310" t="str">
        <f>IF(june[[#This Row],[ShiftCounter]]&gt;0, "Running", "Down")</f>
        <v>Running</v>
      </c>
    </row>
    <row r="311" spans="1:5" x14ac:dyDescent="0.25">
      <c r="A311" s="8">
        <v>44715</v>
      </c>
      <c r="B311" t="s">
        <v>27</v>
      </c>
      <c r="C311">
        <v>2264</v>
      </c>
      <c r="D311" t="s">
        <v>6</v>
      </c>
      <c r="E311" t="str">
        <f>IF(june[[#This Row],[ShiftCounter]]&gt;0, "Running", "Down")</f>
        <v>Running</v>
      </c>
    </row>
    <row r="312" spans="1:5" x14ac:dyDescent="0.25">
      <c r="A312" s="8">
        <v>44715</v>
      </c>
      <c r="B312" t="s">
        <v>27</v>
      </c>
      <c r="C312">
        <v>2317</v>
      </c>
      <c r="D312" t="s">
        <v>7</v>
      </c>
      <c r="E312" t="str">
        <f>IF(june[[#This Row],[ShiftCounter]]&gt;0, "Running", "Down")</f>
        <v>Running</v>
      </c>
    </row>
    <row r="313" spans="1:5" x14ac:dyDescent="0.25">
      <c r="A313" s="8">
        <v>44715</v>
      </c>
      <c r="B313" t="s">
        <v>27</v>
      </c>
      <c r="C313">
        <v>2019</v>
      </c>
      <c r="D313" t="s">
        <v>8</v>
      </c>
      <c r="E313" t="str">
        <f>IF(june[[#This Row],[ShiftCounter]]&gt;0, "Running", "Down")</f>
        <v>Running</v>
      </c>
    </row>
    <row r="314" spans="1:5" x14ac:dyDescent="0.25">
      <c r="A314" s="8">
        <v>44715</v>
      </c>
      <c r="B314" t="s">
        <v>28</v>
      </c>
      <c r="C314">
        <v>2204</v>
      </c>
      <c r="D314" t="s">
        <v>6</v>
      </c>
      <c r="E314" t="str">
        <f>IF(june[[#This Row],[ShiftCounter]]&gt;0, "Running", "Down")</f>
        <v>Running</v>
      </c>
    </row>
    <row r="315" spans="1:5" x14ac:dyDescent="0.25">
      <c r="A315" s="8">
        <v>44715</v>
      </c>
      <c r="B315" t="s">
        <v>28</v>
      </c>
      <c r="C315">
        <v>2234</v>
      </c>
      <c r="D315" t="s">
        <v>7</v>
      </c>
      <c r="E315" t="str">
        <f>IF(june[[#This Row],[ShiftCounter]]&gt;0, "Running", "Down")</f>
        <v>Running</v>
      </c>
    </row>
    <row r="316" spans="1:5" x14ac:dyDescent="0.25">
      <c r="A316" s="8">
        <v>44715</v>
      </c>
      <c r="B316" t="s">
        <v>28</v>
      </c>
      <c r="C316">
        <v>2062</v>
      </c>
      <c r="D316" t="s">
        <v>8</v>
      </c>
      <c r="E316" t="str">
        <f>IF(june[[#This Row],[ShiftCounter]]&gt;0, "Running", "Down")</f>
        <v>Running</v>
      </c>
    </row>
    <row r="317" spans="1:5" x14ac:dyDescent="0.25">
      <c r="A317" s="8">
        <v>44715</v>
      </c>
      <c r="B317" t="s">
        <v>29</v>
      </c>
      <c r="C317">
        <v>2022</v>
      </c>
      <c r="D317" t="s">
        <v>6</v>
      </c>
      <c r="E317" t="str">
        <f>IF(june[[#This Row],[ShiftCounter]]&gt;0, "Running", "Down")</f>
        <v>Running</v>
      </c>
    </row>
    <row r="318" spans="1:5" x14ac:dyDescent="0.25">
      <c r="A318" s="8">
        <v>44715</v>
      </c>
      <c r="B318" t="s">
        <v>29</v>
      </c>
      <c r="C318">
        <v>2012</v>
      </c>
      <c r="D318" t="s">
        <v>7</v>
      </c>
      <c r="E318" t="str">
        <f>IF(june[[#This Row],[ShiftCounter]]&gt;0, "Running", "Down")</f>
        <v>Running</v>
      </c>
    </row>
    <row r="319" spans="1:5" x14ac:dyDescent="0.25">
      <c r="A319" s="8">
        <v>44715</v>
      </c>
      <c r="B319" t="s">
        <v>29</v>
      </c>
      <c r="C319">
        <v>1842</v>
      </c>
      <c r="D319" t="s">
        <v>8</v>
      </c>
      <c r="E319" t="str">
        <f>IF(june[[#This Row],[ShiftCounter]]&gt;0, "Running", "Down")</f>
        <v>Running</v>
      </c>
    </row>
    <row r="320" spans="1:5" x14ac:dyDescent="0.25">
      <c r="A320" s="8">
        <v>44715</v>
      </c>
      <c r="B320" t="s">
        <v>30</v>
      </c>
      <c r="C320">
        <v>2292</v>
      </c>
      <c r="D320" t="s">
        <v>6</v>
      </c>
      <c r="E320" t="str">
        <f>IF(june[[#This Row],[ShiftCounter]]&gt;0, "Running", "Down")</f>
        <v>Running</v>
      </c>
    </row>
    <row r="321" spans="1:5" x14ac:dyDescent="0.25">
      <c r="A321" s="8">
        <v>44715</v>
      </c>
      <c r="B321" t="s">
        <v>30</v>
      </c>
      <c r="C321">
        <v>2202</v>
      </c>
      <c r="D321" t="s">
        <v>7</v>
      </c>
      <c r="E321" t="str">
        <f>IF(june[[#This Row],[ShiftCounter]]&gt;0, "Running", "Down")</f>
        <v>Running</v>
      </c>
    </row>
    <row r="322" spans="1:5" x14ac:dyDescent="0.25">
      <c r="A322" s="8">
        <v>44715</v>
      </c>
      <c r="B322" t="s">
        <v>30</v>
      </c>
      <c r="C322">
        <v>2034</v>
      </c>
      <c r="D322" t="s">
        <v>8</v>
      </c>
      <c r="E322" t="str">
        <f>IF(june[[#This Row],[ShiftCounter]]&gt;0, "Running", "Down")</f>
        <v>Running</v>
      </c>
    </row>
    <row r="323" spans="1:5" x14ac:dyDescent="0.25">
      <c r="A323" s="8">
        <v>44715</v>
      </c>
      <c r="B323" t="s">
        <v>31</v>
      </c>
      <c r="C323">
        <v>2083</v>
      </c>
      <c r="D323" t="s">
        <v>6</v>
      </c>
      <c r="E323" t="str">
        <f>IF(june[[#This Row],[ShiftCounter]]&gt;0, "Running", "Down")</f>
        <v>Running</v>
      </c>
    </row>
    <row r="324" spans="1:5" x14ac:dyDescent="0.25">
      <c r="A324" s="8">
        <v>44715</v>
      </c>
      <c r="B324" t="s">
        <v>31</v>
      </c>
      <c r="C324">
        <v>2063</v>
      </c>
      <c r="D324" t="s">
        <v>7</v>
      </c>
      <c r="E324" t="str">
        <f>IF(june[[#This Row],[ShiftCounter]]&gt;0, "Running", "Down")</f>
        <v>Running</v>
      </c>
    </row>
    <row r="325" spans="1:5" x14ac:dyDescent="0.25">
      <c r="A325" s="8">
        <v>44715</v>
      </c>
      <c r="B325" t="s">
        <v>31</v>
      </c>
      <c r="C325">
        <v>1809</v>
      </c>
      <c r="D325" t="s">
        <v>8</v>
      </c>
      <c r="E325" t="str">
        <f>IF(june[[#This Row],[ShiftCounter]]&gt;0, "Running", "Down")</f>
        <v>Running</v>
      </c>
    </row>
    <row r="326" spans="1:5" x14ac:dyDescent="0.25">
      <c r="A326" s="8">
        <v>44715</v>
      </c>
      <c r="B326" t="s">
        <v>32</v>
      </c>
      <c r="C326">
        <v>2273</v>
      </c>
      <c r="D326" t="s">
        <v>6</v>
      </c>
      <c r="E326" t="str">
        <f>IF(june[[#This Row],[ShiftCounter]]&gt;0, "Running", "Down")</f>
        <v>Running</v>
      </c>
    </row>
    <row r="327" spans="1:5" x14ac:dyDescent="0.25">
      <c r="A327" s="8">
        <v>44715</v>
      </c>
      <c r="B327" t="s">
        <v>32</v>
      </c>
      <c r="C327">
        <v>2165</v>
      </c>
      <c r="D327" t="s">
        <v>7</v>
      </c>
      <c r="E327" t="str">
        <f>IF(june[[#This Row],[ShiftCounter]]&gt;0, "Running", "Down")</f>
        <v>Running</v>
      </c>
    </row>
    <row r="328" spans="1:5" x14ac:dyDescent="0.25">
      <c r="A328" s="8">
        <v>44715</v>
      </c>
      <c r="B328" t="s">
        <v>32</v>
      </c>
      <c r="C328">
        <v>1951</v>
      </c>
      <c r="D328" t="s">
        <v>8</v>
      </c>
      <c r="E328" t="str">
        <f>IF(june[[#This Row],[ShiftCounter]]&gt;0, "Running", "Down")</f>
        <v>Running</v>
      </c>
    </row>
    <row r="329" spans="1:5" x14ac:dyDescent="0.25">
      <c r="A329" s="8">
        <v>44715</v>
      </c>
      <c r="B329" t="s">
        <v>67</v>
      </c>
      <c r="C329">
        <v>2011</v>
      </c>
      <c r="D329" t="s">
        <v>6</v>
      </c>
      <c r="E329" t="str">
        <f>IF(june[[#This Row],[ShiftCounter]]&gt;0, "Running", "Down")</f>
        <v>Running</v>
      </c>
    </row>
    <row r="330" spans="1:5" x14ac:dyDescent="0.25">
      <c r="A330" s="8">
        <v>44715</v>
      </c>
      <c r="B330" t="s">
        <v>67</v>
      </c>
      <c r="C330">
        <v>2083</v>
      </c>
      <c r="D330" t="s">
        <v>7</v>
      </c>
      <c r="E330" t="str">
        <f>IF(june[[#This Row],[ShiftCounter]]&gt;0, "Running", "Down")</f>
        <v>Running</v>
      </c>
    </row>
    <row r="331" spans="1:5" x14ac:dyDescent="0.25">
      <c r="A331" s="8">
        <v>44715</v>
      </c>
      <c r="B331" t="s">
        <v>67</v>
      </c>
      <c r="C331">
        <v>3959</v>
      </c>
      <c r="D331" t="s">
        <v>8</v>
      </c>
      <c r="E331" t="str">
        <f>IF(june[[#This Row],[ShiftCounter]]&gt;0, "Running", "Down")</f>
        <v>Running</v>
      </c>
    </row>
    <row r="332" spans="1:5" x14ac:dyDescent="0.25">
      <c r="A332" s="8">
        <v>44715</v>
      </c>
      <c r="B332" t="s">
        <v>33</v>
      </c>
      <c r="C332">
        <v>2556</v>
      </c>
      <c r="D332" t="s">
        <v>6</v>
      </c>
      <c r="E332" t="str">
        <f>IF(june[[#This Row],[ShiftCounter]]&gt;0, "Running", "Down")</f>
        <v>Running</v>
      </c>
    </row>
    <row r="333" spans="1:5" x14ac:dyDescent="0.25">
      <c r="A333" s="8">
        <v>44715</v>
      </c>
      <c r="B333" t="s">
        <v>33</v>
      </c>
      <c r="C333">
        <v>2426</v>
      </c>
      <c r="D333" t="s">
        <v>7</v>
      </c>
      <c r="E333" t="str">
        <f>IF(june[[#This Row],[ShiftCounter]]&gt;0, "Running", "Down")</f>
        <v>Running</v>
      </c>
    </row>
    <row r="334" spans="1:5" x14ac:dyDescent="0.25">
      <c r="A334" s="8">
        <v>44715</v>
      </c>
      <c r="B334" t="s">
        <v>33</v>
      </c>
      <c r="C334">
        <v>2258</v>
      </c>
      <c r="D334" t="s">
        <v>8</v>
      </c>
      <c r="E334" t="str">
        <f>IF(june[[#This Row],[ShiftCounter]]&gt;0, "Running", "Down")</f>
        <v>Running</v>
      </c>
    </row>
    <row r="335" spans="1:5" x14ac:dyDescent="0.25">
      <c r="A335" s="8">
        <v>44715</v>
      </c>
      <c r="B335" t="s">
        <v>34</v>
      </c>
      <c r="C335">
        <v>2060</v>
      </c>
      <c r="D335" t="s">
        <v>6</v>
      </c>
      <c r="E335" t="str">
        <f>IF(june[[#This Row],[ShiftCounter]]&gt;0, "Running", "Down")</f>
        <v>Running</v>
      </c>
    </row>
    <row r="336" spans="1:5" x14ac:dyDescent="0.25">
      <c r="A336" s="8">
        <v>44715</v>
      </c>
      <c r="B336" t="s">
        <v>34</v>
      </c>
      <c r="C336">
        <v>2023</v>
      </c>
      <c r="D336" t="s">
        <v>7</v>
      </c>
      <c r="E336" t="str">
        <f>IF(june[[#This Row],[ShiftCounter]]&gt;0, "Running", "Down")</f>
        <v>Running</v>
      </c>
    </row>
    <row r="337" spans="1:5" x14ac:dyDescent="0.25">
      <c r="A337" s="8">
        <v>44715</v>
      </c>
      <c r="B337" t="s">
        <v>34</v>
      </c>
      <c r="C337">
        <v>1974</v>
      </c>
      <c r="D337" t="s">
        <v>8</v>
      </c>
      <c r="E337" t="str">
        <f>IF(june[[#This Row],[ShiftCounter]]&gt;0, "Running", "Down")</f>
        <v>Running</v>
      </c>
    </row>
    <row r="338" spans="1:5" x14ac:dyDescent="0.25">
      <c r="A338" s="8">
        <v>44715</v>
      </c>
      <c r="B338" t="s">
        <v>35</v>
      </c>
      <c r="C338">
        <v>2204</v>
      </c>
      <c r="D338" t="s">
        <v>6</v>
      </c>
      <c r="E338" t="str">
        <f>IF(june[[#This Row],[ShiftCounter]]&gt;0, "Running", "Down")</f>
        <v>Running</v>
      </c>
    </row>
    <row r="339" spans="1:5" x14ac:dyDescent="0.25">
      <c r="A339" s="8">
        <v>44715</v>
      </c>
      <c r="B339" t="s">
        <v>35</v>
      </c>
      <c r="C339">
        <v>2141</v>
      </c>
      <c r="D339" t="s">
        <v>7</v>
      </c>
      <c r="E339" t="str">
        <f>IF(june[[#This Row],[ShiftCounter]]&gt;0, "Running", "Down")</f>
        <v>Running</v>
      </c>
    </row>
    <row r="340" spans="1:5" x14ac:dyDescent="0.25">
      <c r="A340" s="8">
        <v>44715</v>
      </c>
      <c r="B340" t="s">
        <v>35</v>
      </c>
      <c r="C340">
        <v>2039</v>
      </c>
      <c r="D340" t="s">
        <v>8</v>
      </c>
      <c r="E340" t="str">
        <f>IF(june[[#This Row],[ShiftCounter]]&gt;0, "Running", "Down")</f>
        <v>Running</v>
      </c>
    </row>
    <row r="341" spans="1:5" x14ac:dyDescent="0.25">
      <c r="A341" s="8">
        <v>44715</v>
      </c>
      <c r="B341" t="s">
        <v>36</v>
      </c>
      <c r="C341">
        <v>2461</v>
      </c>
      <c r="D341" t="s">
        <v>6</v>
      </c>
      <c r="E341" t="str">
        <f>IF(june[[#This Row],[ShiftCounter]]&gt;0, "Running", "Down")</f>
        <v>Running</v>
      </c>
    </row>
    <row r="342" spans="1:5" x14ac:dyDescent="0.25">
      <c r="A342" s="8">
        <v>44715</v>
      </c>
      <c r="B342" t="s">
        <v>36</v>
      </c>
      <c r="C342">
        <v>2394</v>
      </c>
      <c r="D342" t="s">
        <v>7</v>
      </c>
      <c r="E342" t="str">
        <f>IF(june[[#This Row],[ShiftCounter]]&gt;0, "Running", "Down")</f>
        <v>Running</v>
      </c>
    </row>
    <row r="343" spans="1:5" x14ac:dyDescent="0.25">
      <c r="A343" s="8">
        <v>44715</v>
      </c>
      <c r="B343" t="s">
        <v>36</v>
      </c>
      <c r="C343">
        <v>2272</v>
      </c>
      <c r="D343" t="s">
        <v>8</v>
      </c>
      <c r="E343" t="str">
        <f>IF(june[[#This Row],[ShiftCounter]]&gt;0, "Running", "Down")</f>
        <v>Running</v>
      </c>
    </row>
    <row r="344" spans="1:5" x14ac:dyDescent="0.25">
      <c r="A344" s="8">
        <v>44715</v>
      </c>
      <c r="B344" t="s">
        <v>37</v>
      </c>
      <c r="C344">
        <v>2350</v>
      </c>
      <c r="D344" t="s">
        <v>6</v>
      </c>
      <c r="E344" t="str">
        <f>IF(june[[#This Row],[ShiftCounter]]&gt;0, "Running", "Down")</f>
        <v>Running</v>
      </c>
    </row>
    <row r="345" spans="1:5" x14ac:dyDescent="0.25">
      <c r="A345" s="8">
        <v>44715</v>
      </c>
      <c r="B345" t="s">
        <v>37</v>
      </c>
      <c r="C345">
        <v>2244</v>
      </c>
      <c r="D345" t="s">
        <v>7</v>
      </c>
      <c r="E345" t="str">
        <f>IF(june[[#This Row],[ShiftCounter]]&gt;0, "Running", "Down")</f>
        <v>Running</v>
      </c>
    </row>
    <row r="346" spans="1:5" x14ac:dyDescent="0.25">
      <c r="A346" s="8">
        <v>44715</v>
      </c>
      <c r="B346" t="s">
        <v>37</v>
      </c>
      <c r="C346">
        <v>2193</v>
      </c>
      <c r="D346" t="s">
        <v>8</v>
      </c>
      <c r="E346" t="str">
        <f>IF(june[[#This Row],[ShiftCounter]]&gt;0, "Running", "Down")</f>
        <v>Running</v>
      </c>
    </row>
    <row r="347" spans="1:5" x14ac:dyDescent="0.25">
      <c r="A347" s="8">
        <v>44716</v>
      </c>
      <c r="B347" t="s">
        <v>135</v>
      </c>
      <c r="C347">
        <v>1910</v>
      </c>
      <c r="D347" t="s">
        <v>6</v>
      </c>
      <c r="E347" t="str">
        <f>IF(june[[#This Row],[ShiftCounter]]&gt;0, "Running", "Down")</f>
        <v>Running</v>
      </c>
    </row>
    <row r="348" spans="1:5" x14ac:dyDescent="0.25">
      <c r="A348" s="8">
        <v>44716</v>
      </c>
      <c r="B348" t="s">
        <v>135</v>
      </c>
      <c r="C348">
        <v>1998</v>
      </c>
      <c r="D348" t="s">
        <v>7</v>
      </c>
      <c r="E348" t="str">
        <f>IF(june[[#This Row],[ShiftCounter]]&gt;0, "Running", "Down")</f>
        <v>Running</v>
      </c>
    </row>
    <row r="349" spans="1:5" x14ac:dyDescent="0.25">
      <c r="A349" s="8">
        <v>44716</v>
      </c>
      <c r="B349" t="s">
        <v>135</v>
      </c>
      <c r="C349">
        <v>1753</v>
      </c>
      <c r="D349" t="s">
        <v>8</v>
      </c>
      <c r="E349" t="str">
        <f>IF(june[[#This Row],[ShiftCounter]]&gt;0, "Running", "Down")</f>
        <v>Running</v>
      </c>
    </row>
    <row r="350" spans="1:5" x14ac:dyDescent="0.25">
      <c r="A350" s="8">
        <v>44716</v>
      </c>
      <c r="B350" t="s">
        <v>40</v>
      </c>
      <c r="C350">
        <v>2223</v>
      </c>
      <c r="D350" t="s">
        <v>6</v>
      </c>
      <c r="E350" t="str">
        <f>IF(june[[#This Row],[ShiftCounter]]&gt;0, "Running", "Down")</f>
        <v>Running</v>
      </c>
    </row>
    <row r="351" spans="1:5" x14ac:dyDescent="0.25">
      <c r="A351" s="8">
        <v>44716</v>
      </c>
      <c r="B351" t="s">
        <v>40</v>
      </c>
      <c r="C351">
        <v>2268</v>
      </c>
      <c r="D351" t="s">
        <v>7</v>
      </c>
      <c r="E351" t="str">
        <f>IF(june[[#This Row],[ShiftCounter]]&gt;0, "Running", "Down")</f>
        <v>Running</v>
      </c>
    </row>
    <row r="352" spans="1:5" x14ac:dyDescent="0.25">
      <c r="A352" s="8">
        <v>44716</v>
      </c>
      <c r="B352" t="s">
        <v>40</v>
      </c>
      <c r="C352">
        <v>2048</v>
      </c>
      <c r="D352" t="s">
        <v>8</v>
      </c>
      <c r="E352" t="str">
        <f>IF(june[[#This Row],[ShiftCounter]]&gt;0, "Running", "Down")</f>
        <v>Running</v>
      </c>
    </row>
    <row r="353" spans="1:5" x14ac:dyDescent="0.25">
      <c r="A353" s="8">
        <v>44716</v>
      </c>
      <c r="B353" t="s">
        <v>39</v>
      </c>
      <c r="C353">
        <v>1964</v>
      </c>
      <c r="D353" t="s">
        <v>6</v>
      </c>
      <c r="E353" t="str">
        <f>IF(june[[#This Row],[ShiftCounter]]&gt;0, "Running", "Down")</f>
        <v>Running</v>
      </c>
    </row>
    <row r="354" spans="1:5" x14ac:dyDescent="0.25">
      <c r="A354" s="8">
        <v>44716</v>
      </c>
      <c r="B354" t="s">
        <v>39</v>
      </c>
      <c r="C354">
        <v>1985</v>
      </c>
      <c r="D354" t="s">
        <v>7</v>
      </c>
      <c r="E354" t="str">
        <f>IF(june[[#This Row],[ShiftCounter]]&gt;0, "Running", "Down")</f>
        <v>Running</v>
      </c>
    </row>
    <row r="355" spans="1:5" x14ac:dyDescent="0.25">
      <c r="A355" s="8">
        <v>44716</v>
      </c>
      <c r="B355" t="s">
        <v>39</v>
      </c>
      <c r="C355">
        <v>1688</v>
      </c>
      <c r="D355" t="s">
        <v>8</v>
      </c>
      <c r="E355" t="str">
        <f>IF(june[[#This Row],[ShiftCounter]]&gt;0, "Running", "Down")</f>
        <v>Running</v>
      </c>
    </row>
    <row r="356" spans="1:5" x14ac:dyDescent="0.25">
      <c r="A356" s="8">
        <v>44716</v>
      </c>
      <c r="B356" t="s">
        <v>5</v>
      </c>
      <c r="C356">
        <v>2215</v>
      </c>
      <c r="D356" t="s">
        <v>6</v>
      </c>
      <c r="E356" t="str">
        <f>IF(june[[#This Row],[ShiftCounter]]&gt;0, "Running", "Down")</f>
        <v>Running</v>
      </c>
    </row>
    <row r="357" spans="1:5" x14ac:dyDescent="0.25">
      <c r="A357" s="8">
        <v>44716</v>
      </c>
      <c r="B357" t="s">
        <v>5</v>
      </c>
      <c r="C357">
        <v>2320</v>
      </c>
      <c r="D357" t="s">
        <v>7</v>
      </c>
      <c r="E357" t="str">
        <f>IF(june[[#This Row],[ShiftCounter]]&gt;0, "Running", "Down")</f>
        <v>Running</v>
      </c>
    </row>
    <row r="358" spans="1:5" x14ac:dyDescent="0.25">
      <c r="A358" s="8">
        <v>44716</v>
      </c>
      <c r="B358" t="s">
        <v>5</v>
      </c>
      <c r="C358">
        <v>2033</v>
      </c>
      <c r="D358" t="s">
        <v>8</v>
      </c>
      <c r="E358" t="str">
        <f>IF(june[[#This Row],[ShiftCounter]]&gt;0, "Running", "Down")</f>
        <v>Running</v>
      </c>
    </row>
    <row r="359" spans="1:5" x14ac:dyDescent="0.25">
      <c r="A359" s="8">
        <v>44716</v>
      </c>
      <c r="B359" t="s">
        <v>9</v>
      </c>
      <c r="C359">
        <v>1992</v>
      </c>
      <c r="D359" t="s">
        <v>6</v>
      </c>
      <c r="E359" t="str">
        <f>IF(june[[#This Row],[ShiftCounter]]&gt;0, "Running", "Down")</f>
        <v>Running</v>
      </c>
    </row>
    <row r="360" spans="1:5" x14ac:dyDescent="0.25">
      <c r="A360" s="8">
        <v>44716</v>
      </c>
      <c r="B360" t="s">
        <v>9</v>
      </c>
      <c r="C360">
        <v>2328</v>
      </c>
      <c r="D360" t="s">
        <v>7</v>
      </c>
      <c r="E360" t="str">
        <f>IF(june[[#This Row],[ShiftCounter]]&gt;0, "Running", "Down")</f>
        <v>Running</v>
      </c>
    </row>
    <row r="361" spans="1:5" x14ac:dyDescent="0.25">
      <c r="A361" s="8">
        <v>44716</v>
      </c>
      <c r="B361" t="s">
        <v>9</v>
      </c>
      <c r="C361">
        <v>2057</v>
      </c>
      <c r="D361" t="s">
        <v>8</v>
      </c>
      <c r="E361" t="str">
        <f>IF(june[[#This Row],[ShiftCounter]]&gt;0, "Running", "Down")</f>
        <v>Running</v>
      </c>
    </row>
    <row r="362" spans="1:5" x14ac:dyDescent="0.25">
      <c r="A362" s="8">
        <v>44716</v>
      </c>
      <c r="B362" t="s">
        <v>41</v>
      </c>
      <c r="C362">
        <v>2271</v>
      </c>
      <c r="D362" t="s">
        <v>6</v>
      </c>
      <c r="E362" t="str">
        <f>IF(june[[#This Row],[ShiftCounter]]&gt;0, "Running", "Down")</f>
        <v>Running</v>
      </c>
    </row>
    <row r="363" spans="1:5" x14ac:dyDescent="0.25">
      <c r="A363" s="8">
        <v>44716</v>
      </c>
      <c r="B363" t="s">
        <v>41</v>
      </c>
      <c r="C363">
        <v>2333</v>
      </c>
      <c r="D363" t="s">
        <v>7</v>
      </c>
      <c r="E363" t="str">
        <f>IF(june[[#This Row],[ShiftCounter]]&gt;0, "Running", "Down")</f>
        <v>Running</v>
      </c>
    </row>
    <row r="364" spans="1:5" x14ac:dyDescent="0.25">
      <c r="A364" s="8">
        <v>44716</v>
      </c>
      <c r="B364" t="s">
        <v>41</v>
      </c>
      <c r="C364">
        <v>2060</v>
      </c>
      <c r="D364" t="s">
        <v>8</v>
      </c>
      <c r="E364" t="str">
        <f>IF(june[[#This Row],[ShiftCounter]]&gt;0, "Running", "Down")</f>
        <v>Running</v>
      </c>
    </row>
    <row r="365" spans="1:5" x14ac:dyDescent="0.25">
      <c r="A365" s="8">
        <v>44716</v>
      </c>
      <c r="B365" t="s">
        <v>10</v>
      </c>
      <c r="C365">
        <v>2272</v>
      </c>
      <c r="D365" t="s">
        <v>6</v>
      </c>
      <c r="E365" t="str">
        <f>IF(june[[#This Row],[ShiftCounter]]&gt;0, "Running", "Down")</f>
        <v>Running</v>
      </c>
    </row>
    <row r="366" spans="1:5" x14ac:dyDescent="0.25">
      <c r="A366" s="8">
        <v>44716</v>
      </c>
      <c r="B366" t="s">
        <v>10</v>
      </c>
      <c r="C366">
        <v>2228</v>
      </c>
      <c r="D366" t="s">
        <v>7</v>
      </c>
      <c r="E366" t="str">
        <f>IF(june[[#This Row],[ShiftCounter]]&gt;0, "Running", "Down")</f>
        <v>Running</v>
      </c>
    </row>
    <row r="367" spans="1:5" x14ac:dyDescent="0.25">
      <c r="A367" s="8">
        <v>44716</v>
      </c>
      <c r="B367" t="s">
        <v>10</v>
      </c>
      <c r="C367">
        <v>1586</v>
      </c>
      <c r="D367" t="s">
        <v>8</v>
      </c>
      <c r="E367" t="str">
        <f>IF(june[[#This Row],[ShiftCounter]]&gt;0, "Running", "Down")</f>
        <v>Running</v>
      </c>
    </row>
    <row r="368" spans="1:5" x14ac:dyDescent="0.25">
      <c r="A368" s="8">
        <v>44716</v>
      </c>
      <c r="B368" t="s">
        <v>12</v>
      </c>
      <c r="C368">
        <v>2385</v>
      </c>
      <c r="D368" t="s">
        <v>6</v>
      </c>
      <c r="E368" t="str">
        <f>IF(june[[#This Row],[ShiftCounter]]&gt;0, "Running", "Down")</f>
        <v>Running</v>
      </c>
    </row>
    <row r="369" spans="1:5" x14ac:dyDescent="0.25">
      <c r="A369" s="8">
        <v>44716</v>
      </c>
      <c r="B369" t="s">
        <v>12</v>
      </c>
      <c r="C369">
        <v>2293</v>
      </c>
      <c r="D369" t="s">
        <v>7</v>
      </c>
      <c r="E369" t="str">
        <f>IF(june[[#This Row],[ShiftCounter]]&gt;0, "Running", "Down")</f>
        <v>Running</v>
      </c>
    </row>
    <row r="370" spans="1:5" x14ac:dyDescent="0.25">
      <c r="A370" s="8">
        <v>44716</v>
      </c>
      <c r="B370" t="s">
        <v>12</v>
      </c>
      <c r="C370">
        <v>1973</v>
      </c>
      <c r="D370" t="s">
        <v>8</v>
      </c>
      <c r="E370" t="str">
        <f>IF(june[[#This Row],[ShiftCounter]]&gt;0, "Running", "Down")</f>
        <v>Running</v>
      </c>
    </row>
    <row r="371" spans="1:5" x14ac:dyDescent="0.25">
      <c r="A371" s="8">
        <v>44716</v>
      </c>
      <c r="B371" t="s">
        <v>13</v>
      </c>
      <c r="C371">
        <v>2208</v>
      </c>
      <c r="D371" t="s">
        <v>6</v>
      </c>
      <c r="E371" t="str">
        <f>IF(june[[#This Row],[ShiftCounter]]&gt;0, "Running", "Down")</f>
        <v>Running</v>
      </c>
    </row>
    <row r="372" spans="1:5" x14ac:dyDescent="0.25">
      <c r="A372" s="8">
        <v>44716</v>
      </c>
      <c r="B372" t="s">
        <v>13</v>
      </c>
      <c r="C372">
        <v>2095</v>
      </c>
      <c r="D372" t="s">
        <v>7</v>
      </c>
      <c r="E372" t="str">
        <f>IF(june[[#This Row],[ShiftCounter]]&gt;0, "Running", "Down")</f>
        <v>Running</v>
      </c>
    </row>
    <row r="373" spans="1:5" x14ac:dyDescent="0.25">
      <c r="A373" s="8">
        <v>44716</v>
      </c>
      <c r="B373" t="s">
        <v>13</v>
      </c>
      <c r="C373">
        <v>1873</v>
      </c>
      <c r="D373" t="s">
        <v>8</v>
      </c>
      <c r="E373" t="str">
        <f>IF(june[[#This Row],[ShiftCounter]]&gt;0, "Running", "Down")</f>
        <v>Running</v>
      </c>
    </row>
    <row r="374" spans="1:5" x14ac:dyDescent="0.25">
      <c r="A374" s="8">
        <v>44716</v>
      </c>
      <c r="B374" t="s">
        <v>101</v>
      </c>
      <c r="C374">
        <v>1911</v>
      </c>
      <c r="D374" t="s">
        <v>6</v>
      </c>
      <c r="E374" t="str">
        <f>IF(june[[#This Row],[ShiftCounter]]&gt;0, "Running", "Down")</f>
        <v>Running</v>
      </c>
    </row>
    <row r="375" spans="1:5" x14ac:dyDescent="0.25">
      <c r="A375" s="8">
        <v>44716</v>
      </c>
      <c r="B375" t="s">
        <v>101</v>
      </c>
      <c r="C375">
        <v>2083</v>
      </c>
      <c r="D375" t="s">
        <v>7</v>
      </c>
      <c r="E375" t="str">
        <f>IF(june[[#This Row],[ShiftCounter]]&gt;0, "Running", "Down")</f>
        <v>Running</v>
      </c>
    </row>
    <row r="376" spans="1:5" x14ac:dyDescent="0.25">
      <c r="A376" s="8">
        <v>44716</v>
      </c>
      <c r="B376" t="s">
        <v>101</v>
      </c>
      <c r="C376">
        <v>1805</v>
      </c>
      <c r="D376" t="s">
        <v>8</v>
      </c>
      <c r="E376" t="str">
        <f>IF(june[[#This Row],[ShiftCounter]]&gt;0, "Running", "Down")</f>
        <v>Running</v>
      </c>
    </row>
    <row r="377" spans="1:5" x14ac:dyDescent="0.25">
      <c r="A377" s="8">
        <v>44716</v>
      </c>
      <c r="B377" t="s">
        <v>14</v>
      </c>
      <c r="C377">
        <v>1883</v>
      </c>
      <c r="D377" t="s">
        <v>6</v>
      </c>
      <c r="E377" t="str">
        <f>IF(june[[#This Row],[ShiftCounter]]&gt;0, "Running", "Down")</f>
        <v>Running</v>
      </c>
    </row>
    <row r="378" spans="1:5" x14ac:dyDescent="0.25">
      <c r="A378" s="8">
        <v>44716</v>
      </c>
      <c r="B378" t="s">
        <v>14</v>
      </c>
      <c r="C378">
        <v>1795</v>
      </c>
      <c r="D378" t="s">
        <v>7</v>
      </c>
      <c r="E378" t="str">
        <f>IF(june[[#This Row],[ShiftCounter]]&gt;0, "Running", "Down")</f>
        <v>Running</v>
      </c>
    </row>
    <row r="379" spans="1:5" x14ac:dyDescent="0.25">
      <c r="A379" s="8">
        <v>44716</v>
      </c>
      <c r="B379" t="s">
        <v>14</v>
      </c>
      <c r="C379">
        <v>1600</v>
      </c>
      <c r="D379" t="s">
        <v>8</v>
      </c>
      <c r="E379" t="str">
        <f>IF(june[[#This Row],[ShiftCounter]]&gt;0, "Running", "Down")</f>
        <v>Running</v>
      </c>
    </row>
    <row r="380" spans="1:5" x14ac:dyDescent="0.25">
      <c r="A380" s="8">
        <v>44716</v>
      </c>
      <c r="B380" t="s">
        <v>15</v>
      </c>
      <c r="C380">
        <v>2170</v>
      </c>
      <c r="D380" t="s">
        <v>6</v>
      </c>
      <c r="E380" t="str">
        <f>IF(june[[#This Row],[ShiftCounter]]&gt;0, "Running", "Down")</f>
        <v>Running</v>
      </c>
    </row>
    <row r="381" spans="1:5" x14ac:dyDescent="0.25">
      <c r="A381" s="8">
        <v>44716</v>
      </c>
      <c r="B381" t="s">
        <v>15</v>
      </c>
      <c r="C381">
        <v>2065</v>
      </c>
      <c r="D381" t="s">
        <v>7</v>
      </c>
      <c r="E381" t="str">
        <f>IF(june[[#This Row],[ShiftCounter]]&gt;0, "Running", "Down")</f>
        <v>Running</v>
      </c>
    </row>
    <row r="382" spans="1:5" x14ac:dyDescent="0.25">
      <c r="A382" s="8">
        <v>44716</v>
      </c>
      <c r="B382" t="s">
        <v>15</v>
      </c>
      <c r="C382">
        <v>1803</v>
      </c>
      <c r="D382" t="s">
        <v>8</v>
      </c>
      <c r="E382" t="str">
        <f>IF(june[[#This Row],[ShiftCounter]]&gt;0, "Running", "Down")</f>
        <v>Running</v>
      </c>
    </row>
    <row r="383" spans="1:5" x14ac:dyDescent="0.25">
      <c r="A383" s="8">
        <v>44716</v>
      </c>
      <c r="B383" t="s">
        <v>16</v>
      </c>
      <c r="C383">
        <v>2174</v>
      </c>
      <c r="D383" t="s">
        <v>6</v>
      </c>
      <c r="E383" t="str">
        <f>IF(june[[#This Row],[ShiftCounter]]&gt;0, "Running", "Down")</f>
        <v>Running</v>
      </c>
    </row>
    <row r="384" spans="1:5" x14ac:dyDescent="0.25">
      <c r="A384" s="8">
        <v>44716</v>
      </c>
      <c r="B384" t="s">
        <v>16</v>
      </c>
      <c r="C384">
        <v>2089</v>
      </c>
      <c r="D384" t="s">
        <v>7</v>
      </c>
      <c r="E384" t="str">
        <f>IF(june[[#This Row],[ShiftCounter]]&gt;0, "Running", "Down")</f>
        <v>Running</v>
      </c>
    </row>
    <row r="385" spans="1:5" x14ac:dyDescent="0.25">
      <c r="A385" s="8">
        <v>44716</v>
      </c>
      <c r="B385" t="s">
        <v>16</v>
      </c>
      <c r="C385">
        <v>2002</v>
      </c>
      <c r="D385" t="s">
        <v>8</v>
      </c>
      <c r="E385" t="str">
        <f>IF(june[[#This Row],[ShiftCounter]]&gt;0, "Running", "Down")</f>
        <v>Running</v>
      </c>
    </row>
    <row r="386" spans="1:5" x14ac:dyDescent="0.25">
      <c r="A386" s="8">
        <v>44716</v>
      </c>
      <c r="B386" t="s">
        <v>17</v>
      </c>
      <c r="C386">
        <v>2374</v>
      </c>
      <c r="D386" t="s">
        <v>6</v>
      </c>
      <c r="E386" t="str">
        <f>IF(june[[#This Row],[ShiftCounter]]&gt;0, "Running", "Down")</f>
        <v>Running</v>
      </c>
    </row>
    <row r="387" spans="1:5" x14ac:dyDescent="0.25">
      <c r="A387" s="8">
        <v>44716</v>
      </c>
      <c r="B387" t="s">
        <v>17</v>
      </c>
      <c r="C387">
        <v>2332</v>
      </c>
      <c r="D387" t="s">
        <v>7</v>
      </c>
      <c r="E387" t="str">
        <f>IF(june[[#This Row],[ShiftCounter]]&gt;0, "Running", "Down")</f>
        <v>Running</v>
      </c>
    </row>
    <row r="388" spans="1:5" x14ac:dyDescent="0.25">
      <c r="A388" s="8">
        <v>44716</v>
      </c>
      <c r="B388" t="s">
        <v>17</v>
      </c>
      <c r="C388">
        <v>2170</v>
      </c>
      <c r="D388" t="s">
        <v>8</v>
      </c>
      <c r="E388" t="str">
        <f>IF(june[[#This Row],[ShiftCounter]]&gt;0, "Running", "Down")</f>
        <v>Running</v>
      </c>
    </row>
    <row r="389" spans="1:5" x14ac:dyDescent="0.25">
      <c r="A389" s="8">
        <v>44716</v>
      </c>
      <c r="B389" t="s">
        <v>19</v>
      </c>
      <c r="C389">
        <v>1673</v>
      </c>
      <c r="D389" t="s">
        <v>6</v>
      </c>
      <c r="E389" t="str">
        <f>IF(june[[#This Row],[ShiftCounter]]&gt;0, "Running", "Down")</f>
        <v>Running</v>
      </c>
    </row>
    <row r="390" spans="1:5" x14ac:dyDescent="0.25">
      <c r="A390" s="8">
        <v>44716</v>
      </c>
      <c r="B390" t="s">
        <v>19</v>
      </c>
      <c r="C390">
        <v>1998</v>
      </c>
      <c r="D390" t="s">
        <v>7</v>
      </c>
      <c r="E390" t="str">
        <f>IF(june[[#This Row],[ShiftCounter]]&gt;0, "Running", "Down")</f>
        <v>Running</v>
      </c>
    </row>
    <row r="391" spans="1:5" x14ac:dyDescent="0.25">
      <c r="A391" s="8">
        <v>44716</v>
      </c>
      <c r="B391" t="s">
        <v>19</v>
      </c>
      <c r="C391">
        <v>1850</v>
      </c>
      <c r="D391" t="s">
        <v>8</v>
      </c>
      <c r="E391" t="str">
        <f>IF(june[[#This Row],[ShiftCounter]]&gt;0, "Running", "Down")</f>
        <v>Running</v>
      </c>
    </row>
    <row r="392" spans="1:5" x14ac:dyDescent="0.25">
      <c r="A392" s="8">
        <v>44716</v>
      </c>
      <c r="B392" t="s">
        <v>18</v>
      </c>
      <c r="C392">
        <v>2341</v>
      </c>
      <c r="D392" t="s">
        <v>6</v>
      </c>
      <c r="E392" t="str">
        <f>IF(june[[#This Row],[ShiftCounter]]&gt;0, "Running", "Down")</f>
        <v>Running</v>
      </c>
    </row>
    <row r="393" spans="1:5" x14ac:dyDescent="0.25">
      <c r="A393" s="8">
        <v>44716</v>
      </c>
      <c r="B393" t="s">
        <v>18</v>
      </c>
      <c r="C393">
        <v>2382</v>
      </c>
      <c r="D393" t="s">
        <v>7</v>
      </c>
      <c r="E393" t="str">
        <f>IF(june[[#This Row],[ShiftCounter]]&gt;0, "Running", "Down")</f>
        <v>Running</v>
      </c>
    </row>
    <row r="394" spans="1:5" x14ac:dyDescent="0.25">
      <c r="A394" s="8">
        <v>44716</v>
      </c>
      <c r="B394" t="s">
        <v>18</v>
      </c>
      <c r="C394">
        <v>1989</v>
      </c>
      <c r="D394" t="s">
        <v>8</v>
      </c>
      <c r="E394" t="str">
        <f>IF(june[[#This Row],[ShiftCounter]]&gt;0, "Running", "Down")</f>
        <v>Running</v>
      </c>
    </row>
    <row r="395" spans="1:5" x14ac:dyDescent="0.25">
      <c r="A395" s="8">
        <v>44716</v>
      </c>
      <c r="B395" t="s">
        <v>42</v>
      </c>
      <c r="C395">
        <v>2229</v>
      </c>
      <c r="D395" t="s">
        <v>6</v>
      </c>
      <c r="E395" t="str">
        <f>IF(june[[#This Row],[ShiftCounter]]&gt;0, "Running", "Down")</f>
        <v>Running</v>
      </c>
    </row>
    <row r="396" spans="1:5" x14ac:dyDescent="0.25">
      <c r="A396" s="8">
        <v>44716</v>
      </c>
      <c r="B396" t="s">
        <v>42</v>
      </c>
      <c r="C396">
        <v>1590</v>
      </c>
      <c r="D396" t="s">
        <v>7</v>
      </c>
      <c r="E396" t="str">
        <f>IF(june[[#This Row],[ShiftCounter]]&gt;0, "Running", "Down")</f>
        <v>Running</v>
      </c>
    </row>
    <row r="397" spans="1:5" x14ac:dyDescent="0.25">
      <c r="A397" s="8">
        <v>44716</v>
      </c>
      <c r="B397" t="s">
        <v>42</v>
      </c>
      <c r="C397">
        <v>2054</v>
      </c>
      <c r="D397" t="s">
        <v>8</v>
      </c>
      <c r="E397" t="str">
        <f>IF(june[[#This Row],[ShiftCounter]]&gt;0, "Running", "Down")</f>
        <v>Running</v>
      </c>
    </row>
    <row r="398" spans="1:5" x14ac:dyDescent="0.25">
      <c r="A398" s="8">
        <v>44716</v>
      </c>
      <c r="B398" t="s">
        <v>38</v>
      </c>
      <c r="C398">
        <v>2313</v>
      </c>
      <c r="D398" t="s">
        <v>6</v>
      </c>
      <c r="E398" t="str">
        <f>IF(june[[#This Row],[ShiftCounter]]&gt;0, "Running", "Down")</f>
        <v>Running</v>
      </c>
    </row>
    <row r="399" spans="1:5" x14ac:dyDescent="0.25">
      <c r="A399" s="8">
        <v>44716</v>
      </c>
      <c r="B399" t="s">
        <v>38</v>
      </c>
      <c r="C399">
        <v>2316</v>
      </c>
      <c r="D399" t="s">
        <v>7</v>
      </c>
      <c r="E399" t="str">
        <f>IF(june[[#This Row],[ShiftCounter]]&gt;0, "Running", "Down")</f>
        <v>Running</v>
      </c>
    </row>
    <row r="400" spans="1:5" x14ac:dyDescent="0.25">
      <c r="A400" s="8">
        <v>44716</v>
      </c>
      <c r="B400" t="s">
        <v>38</v>
      </c>
      <c r="C400">
        <v>2110</v>
      </c>
      <c r="D400" t="s">
        <v>8</v>
      </c>
      <c r="E400" t="str">
        <f>IF(june[[#This Row],[ShiftCounter]]&gt;0, "Running", "Down")</f>
        <v>Running</v>
      </c>
    </row>
    <row r="401" spans="1:5" x14ac:dyDescent="0.25">
      <c r="A401" s="8">
        <v>44716</v>
      </c>
      <c r="B401" t="s">
        <v>20</v>
      </c>
      <c r="C401">
        <v>2277</v>
      </c>
      <c r="D401" t="s">
        <v>6</v>
      </c>
      <c r="E401" t="str">
        <f>IF(june[[#This Row],[ShiftCounter]]&gt;0, "Running", "Down")</f>
        <v>Running</v>
      </c>
    </row>
    <row r="402" spans="1:5" x14ac:dyDescent="0.25">
      <c r="A402" s="8">
        <v>44716</v>
      </c>
      <c r="B402" t="s">
        <v>20</v>
      </c>
      <c r="C402">
        <v>2291</v>
      </c>
      <c r="D402" t="s">
        <v>7</v>
      </c>
      <c r="E402" t="str">
        <f>IF(june[[#This Row],[ShiftCounter]]&gt;0, "Running", "Down")</f>
        <v>Running</v>
      </c>
    </row>
    <row r="403" spans="1:5" x14ac:dyDescent="0.25">
      <c r="A403" s="8">
        <v>44716</v>
      </c>
      <c r="B403" t="s">
        <v>20</v>
      </c>
      <c r="C403">
        <v>2027</v>
      </c>
      <c r="D403" t="s">
        <v>8</v>
      </c>
      <c r="E403" t="str">
        <f>IF(june[[#This Row],[ShiftCounter]]&gt;0, "Running", "Down")</f>
        <v>Running</v>
      </c>
    </row>
    <row r="404" spans="1:5" x14ac:dyDescent="0.25">
      <c r="A404" s="8">
        <v>44716</v>
      </c>
      <c r="B404" t="s">
        <v>21</v>
      </c>
      <c r="C404">
        <v>2060</v>
      </c>
      <c r="D404" t="s">
        <v>6</v>
      </c>
      <c r="E404" t="str">
        <f>IF(june[[#This Row],[ShiftCounter]]&gt;0, "Running", "Down")</f>
        <v>Running</v>
      </c>
    </row>
    <row r="405" spans="1:5" x14ac:dyDescent="0.25">
      <c r="A405" s="8">
        <v>44716</v>
      </c>
      <c r="B405" t="s">
        <v>21</v>
      </c>
      <c r="C405">
        <v>2090</v>
      </c>
      <c r="D405" t="s">
        <v>7</v>
      </c>
      <c r="E405" t="str">
        <f>IF(june[[#This Row],[ShiftCounter]]&gt;0, "Running", "Down")</f>
        <v>Running</v>
      </c>
    </row>
    <row r="406" spans="1:5" x14ac:dyDescent="0.25">
      <c r="A406" s="8">
        <v>44716</v>
      </c>
      <c r="B406" t="s">
        <v>21</v>
      </c>
      <c r="C406">
        <v>1810</v>
      </c>
      <c r="D406" t="s">
        <v>8</v>
      </c>
      <c r="E406" t="str">
        <f>IF(june[[#This Row],[ShiftCounter]]&gt;0, "Running", "Down")</f>
        <v>Running</v>
      </c>
    </row>
    <row r="407" spans="1:5" x14ac:dyDescent="0.25">
      <c r="A407" s="8">
        <v>44716</v>
      </c>
      <c r="B407" t="s">
        <v>22</v>
      </c>
      <c r="C407">
        <v>2200</v>
      </c>
      <c r="D407" t="s">
        <v>6</v>
      </c>
      <c r="E407" t="str">
        <f>IF(june[[#This Row],[ShiftCounter]]&gt;0, "Running", "Down")</f>
        <v>Running</v>
      </c>
    </row>
    <row r="408" spans="1:5" x14ac:dyDescent="0.25">
      <c r="A408" s="8">
        <v>44716</v>
      </c>
      <c r="B408" t="s">
        <v>22</v>
      </c>
      <c r="C408">
        <v>2223</v>
      </c>
      <c r="D408" t="s">
        <v>7</v>
      </c>
      <c r="E408" t="str">
        <f>IF(june[[#This Row],[ShiftCounter]]&gt;0, "Running", "Down")</f>
        <v>Running</v>
      </c>
    </row>
    <row r="409" spans="1:5" x14ac:dyDescent="0.25">
      <c r="A409" s="8">
        <v>44716</v>
      </c>
      <c r="B409" t="s">
        <v>22</v>
      </c>
      <c r="C409">
        <v>1898</v>
      </c>
      <c r="D409" t="s">
        <v>8</v>
      </c>
      <c r="E409" t="str">
        <f>IF(june[[#This Row],[ShiftCounter]]&gt;0, "Running", "Down")</f>
        <v>Running</v>
      </c>
    </row>
    <row r="410" spans="1:5" x14ac:dyDescent="0.25">
      <c r="A410" s="8">
        <v>44716</v>
      </c>
      <c r="B410" t="s">
        <v>23</v>
      </c>
      <c r="C410">
        <v>2258</v>
      </c>
      <c r="D410" t="s">
        <v>6</v>
      </c>
      <c r="E410" t="str">
        <f>IF(june[[#This Row],[ShiftCounter]]&gt;0, "Running", "Down")</f>
        <v>Running</v>
      </c>
    </row>
    <row r="411" spans="1:5" x14ac:dyDescent="0.25">
      <c r="A411" s="8">
        <v>44716</v>
      </c>
      <c r="B411" t="s">
        <v>23</v>
      </c>
      <c r="C411">
        <v>2147</v>
      </c>
      <c r="D411" t="s">
        <v>7</v>
      </c>
      <c r="E411" t="str">
        <f>IF(june[[#This Row],[ShiftCounter]]&gt;0, "Running", "Down")</f>
        <v>Running</v>
      </c>
    </row>
    <row r="412" spans="1:5" x14ac:dyDescent="0.25">
      <c r="A412" s="8">
        <v>44716</v>
      </c>
      <c r="B412" t="s">
        <v>23</v>
      </c>
      <c r="C412">
        <v>1943</v>
      </c>
      <c r="D412" t="s">
        <v>8</v>
      </c>
      <c r="E412" t="str">
        <f>IF(june[[#This Row],[ShiftCounter]]&gt;0, "Running", "Down")</f>
        <v>Running</v>
      </c>
    </row>
    <row r="413" spans="1:5" x14ac:dyDescent="0.25">
      <c r="A413" s="8">
        <v>44716</v>
      </c>
      <c r="B413" t="s">
        <v>24</v>
      </c>
      <c r="C413">
        <v>2124</v>
      </c>
      <c r="D413" t="s">
        <v>6</v>
      </c>
      <c r="E413" t="str">
        <f>IF(june[[#This Row],[ShiftCounter]]&gt;0, "Running", "Down")</f>
        <v>Running</v>
      </c>
    </row>
    <row r="414" spans="1:5" x14ac:dyDescent="0.25">
      <c r="A414" s="8">
        <v>44716</v>
      </c>
      <c r="B414" t="s">
        <v>24</v>
      </c>
      <c r="C414">
        <v>1872</v>
      </c>
      <c r="D414" t="s">
        <v>7</v>
      </c>
      <c r="E414" t="str">
        <f>IF(june[[#This Row],[ShiftCounter]]&gt;0, "Running", "Down")</f>
        <v>Running</v>
      </c>
    </row>
    <row r="415" spans="1:5" x14ac:dyDescent="0.25">
      <c r="A415" s="8">
        <v>44716</v>
      </c>
      <c r="B415" t="s">
        <v>24</v>
      </c>
      <c r="C415">
        <v>1756</v>
      </c>
      <c r="D415" t="s">
        <v>8</v>
      </c>
      <c r="E415" t="str">
        <f>IF(june[[#This Row],[ShiftCounter]]&gt;0, "Running", "Down")</f>
        <v>Running</v>
      </c>
    </row>
    <row r="416" spans="1:5" x14ac:dyDescent="0.25">
      <c r="A416" s="8">
        <v>44716</v>
      </c>
      <c r="B416" t="s">
        <v>25</v>
      </c>
      <c r="C416">
        <v>2090</v>
      </c>
      <c r="D416" t="s">
        <v>6</v>
      </c>
      <c r="E416" t="str">
        <f>IF(june[[#This Row],[ShiftCounter]]&gt;0, "Running", "Down")</f>
        <v>Running</v>
      </c>
    </row>
    <row r="417" spans="1:5" x14ac:dyDescent="0.25">
      <c r="A417" s="8">
        <v>44716</v>
      </c>
      <c r="B417" t="s">
        <v>25</v>
      </c>
      <c r="C417">
        <v>2266</v>
      </c>
      <c r="D417" t="s">
        <v>7</v>
      </c>
      <c r="E417" t="str">
        <f>IF(june[[#This Row],[ShiftCounter]]&gt;0, "Running", "Down")</f>
        <v>Running</v>
      </c>
    </row>
    <row r="418" spans="1:5" x14ac:dyDescent="0.25">
      <c r="A418" s="8">
        <v>44716</v>
      </c>
      <c r="B418" t="s">
        <v>25</v>
      </c>
      <c r="C418">
        <v>1958</v>
      </c>
      <c r="D418" t="s">
        <v>8</v>
      </c>
      <c r="E418" t="str">
        <f>IF(june[[#This Row],[ShiftCounter]]&gt;0, "Running", "Down")</f>
        <v>Running</v>
      </c>
    </row>
    <row r="419" spans="1:5" x14ac:dyDescent="0.25">
      <c r="A419" s="8">
        <v>44716</v>
      </c>
      <c r="B419" t="s">
        <v>26</v>
      </c>
      <c r="C419">
        <v>1796</v>
      </c>
      <c r="D419" t="s">
        <v>6</v>
      </c>
      <c r="E419" t="str">
        <f>IF(june[[#This Row],[ShiftCounter]]&gt;0, "Running", "Down")</f>
        <v>Running</v>
      </c>
    </row>
    <row r="420" spans="1:5" x14ac:dyDescent="0.25">
      <c r="A420" s="8">
        <v>44716</v>
      </c>
      <c r="B420" t="s">
        <v>26</v>
      </c>
      <c r="C420">
        <v>2081</v>
      </c>
      <c r="D420" t="s">
        <v>7</v>
      </c>
      <c r="E420" t="str">
        <f>IF(june[[#This Row],[ShiftCounter]]&gt;0, "Running", "Down")</f>
        <v>Running</v>
      </c>
    </row>
    <row r="421" spans="1:5" x14ac:dyDescent="0.25">
      <c r="A421" s="8">
        <v>44716</v>
      </c>
      <c r="B421" t="s">
        <v>26</v>
      </c>
      <c r="C421">
        <v>1810</v>
      </c>
      <c r="D421" t="s">
        <v>8</v>
      </c>
      <c r="E421" t="str">
        <f>IF(june[[#This Row],[ShiftCounter]]&gt;0, "Running", "Down")</f>
        <v>Running</v>
      </c>
    </row>
    <row r="422" spans="1:5" x14ac:dyDescent="0.25">
      <c r="A422" s="8">
        <v>44716</v>
      </c>
      <c r="B422" t="s">
        <v>27</v>
      </c>
      <c r="C422">
        <v>2317</v>
      </c>
      <c r="D422" t="s">
        <v>6</v>
      </c>
      <c r="E422" t="str">
        <f>IF(june[[#This Row],[ShiftCounter]]&gt;0, "Running", "Down")</f>
        <v>Running</v>
      </c>
    </row>
    <row r="423" spans="1:5" x14ac:dyDescent="0.25">
      <c r="A423" s="8">
        <v>44716</v>
      </c>
      <c r="B423" t="s">
        <v>27</v>
      </c>
      <c r="C423">
        <v>2129</v>
      </c>
      <c r="D423" t="s">
        <v>7</v>
      </c>
      <c r="E423" t="str">
        <f>IF(june[[#This Row],[ShiftCounter]]&gt;0, "Running", "Down")</f>
        <v>Running</v>
      </c>
    </row>
    <row r="424" spans="1:5" x14ac:dyDescent="0.25">
      <c r="A424" s="8">
        <v>44716</v>
      </c>
      <c r="B424" t="s">
        <v>27</v>
      </c>
      <c r="C424">
        <v>1785</v>
      </c>
      <c r="D424" t="s">
        <v>8</v>
      </c>
      <c r="E424" t="str">
        <f>IF(june[[#This Row],[ShiftCounter]]&gt;0, "Running", "Down")</f>
        <v>Running</v>
      </c>
    </row>
    <row r="425" spans="1:5" x14ac:dyDescent="0.25">
      <c r="A425" s="8">
        <v>44716</v>
      </c>
      <c r="B425" t="s">
        <v>28</v>
      </c>
      <c r="C425">
        <v>2211</v>
      </c>
      <c r="D425" t="s">
        <v>6</v>
      </c>
      <c r="E425" t="str">
        <f>IF(june[[#This Row],[ShiftCounter]]&gt;0, "Running", "Down")</f>
        <v>Running</v>
      </c>
    </row>
    <row r="426" spans="1:5" x14ac:dyDescent="0.25">
      <c r="A426" s="8">
        <v>44716</v>
      </c>
      <c r="B426" t="s">
        <v>28</v>
      </c>
      <c r="C426">
        <v>2142</v>
      </c>
      <c r="D426" t="s">
        <v>7</v>
      </c>
      <c r="E426" t="str">
        <f>IF(june[[#This Row],[ShiftCounter]]&gt;0, "Running", "Down")</f>
        <v>Running</v>
      </c>
    </row>
    <row r="427" spans="1:5" x14ac:dyDescent="0.25">
      <c r="A427" s="8">
        <v>44716</v>
      </c>
      <c r="B427" t="s">
        <v>28</v>
      </c>
      <c r="C427">
        <v>2083</v>
      </c>
      <c r="D427" t="s">
        <v>8</v>
      </c>
      <c r="E427" t="str">
        <f>IF(june[[#This Row],[ShiftCounter]]&gt;0, "Running", "Down")</f>
        <v>Running</v>
      </c>
    </row>
    <row r="428" spans="1:5" x14ac:dyDescent="0.25">
      <c r="A428" s="8">
        <v>44716</v>
      </c>
      <c r="B428" t="s">
        <v>29</v>
      </c>
      <c r="C428">
        <v>1705</v>
      </c>
      <c r="D428" t="s">
        <v>6</v>
      </c>
      <c r="E428" t="str">
        <f>IF(june[[#This Row],[ShiftCounter]]&gt;0, "Running", "Down")</f>
        <v>Running</v>
      </c>
    </row>
    <row r="429" spans="1:5" x14ac:dyDescent="0.25">
      <c r="A429" s="8">
        <v>44716</v>
      </c>
      <c r="B429" t="s">
        <v>29</v>
      </c>
      <c r="C429">
        <v>2627</v>
      </c>
      <c r="D429" t="s">
        <v>7</v>
      </c>
      <c r="E429" t="str">
        <f>IF(june[[#This Row],[ShiftCounter]]&gt;0, "Running", "Down")</f>
        <v>Running</v>
      </c>
    </row>
    <row r="430" spans="1:5" x14ac:dyDescent="0.25">
      <c r="A430" s="8">
        <v>44716</v>
      </c>
      <c r="B430" t="s">
        <v>29</v>
      </c>
      <c r="C430">
        <v>1874</v>
      </c>
      <c r="D430" t="s">
        <v>8</v>
      </c>
      <c r="E430" t="str">
        <f>IF(june[[#This Row],[ShiftCounter]]&gt;0, "Running", "Down")</f>
        <v>Running</v>
      </c>
    </row>
    <row r="431" spans="1:5" x14ac:dyDescent="0.25">
      <c r="A431" s="8">
        <v>44716</v>
      </c>
      <c r="B431" t="s">
        <v>30</v>
      </c>
      <c r="C431">
        <v>2310</v>
      </c>
      <c r="D431" t="s">
        <v>6</v>
      </c>
      <c r="E431" t="str">
        <f>IF(june[[#This Row],[ShiftCounter]]&gt;0, "Running", "Down")</f>
        <v>Running</v>
      </c>
    </row>
    <row r="432" spans="1:5" x14ac:dyDescent="0.25">
      <c r="A432" s="8">
        <v>44716</v>
      </c>
      <c r="B432" t="s">
        <v>30</v>
      </c>
      <c r="C432">
        <v>2225</v>
      </c>
      <c r="D432" t="s">
        <v>7</v>
      </c>
      <c r="E432" t="str">
        <f>IF(june[[#This Row],[ShiftCounter]]&gt;0, "Running", "Down")</f>
        <v>Running</v>
      </c>
    </row>
    <row r="433" spans="1:5" x14ac:dyDescent="0.25">
      <c r="A433" s="8">
        <v>44716</v>
      </c>
      <c r="B433" t="s">
        <v>30</v>
      </c>
      <c r="C433">
        <v>2094</v>
      </c>
      <c r="D433" t="s">
        <v>8</v>
      </c>
      <c r="E433" t="str">
        <f>IF(june[[#This Row],[ShiftCounter]]&gt;0, "Running", "Down")</f>
        <v>Running</v>
      </c>
    </row>
    <row r="434" spans="1:5" x14ac:dyDescent="0.25">
      <c r="A434" s="8">
        <v>44716</v>
      </c>
      <c r="B434" t="s">
        <v>31</v>
      </c>
      <c r="C434">
        <v>2065</v>
      </c>
      <c r="D434" t="s">
        <v>6</v>
      </c>
      <c r="E434" t="str">
        <f>IF(june[[#This Row],[ShiftCounter]]&gt;0, "Running", "Down")</f>
        <v>Running</v>
      </c>
    </row>
    <row r="435" spans="1:5" x14ac:dyDescent="0.25">
      <c r="A435" s="8">
        <v>44716</v>
      </c>
      <c r="B435" t="s">
        <v>31</v>
      </c>
      <c r="C435">
        <v>1915</v>
      </c>
      <c r="D435" t="s">
        <v>7</v>
      </c>
      <c r="E435" t="str">
        <f>IF(june[[#This Row],[ShiftCounter]]&gt;0, "Running", "Down")</f>
        <v>Running</v>
      </c>
    </row>
    <row r="436" spans="1:5" x14ac:dyDescent="0.25">
      <c r="A436" s="8">
        <v>44716</v>
      </c>
      <c r="B436" t="s">
        <v>31</v>
      </c>
      <c r="C436">
        <v>1909</v>
      </c>
      <c r="D436" t="s">
        <v>8</v>
      </c>
      <c r="E436" t="str">
        <f>IF(june[[#This Row],[ShiftCounter]]&gt;0, "Running", "Down")</f>
        <v>Running</v>
      </c>
    </row>
    <row r="437" spans="1:5" x14ac:dyDescent="0.25">
      <c r="A437" s="8">
        <v>44716</v>
      </c>
      <c r="B437" t="s">
        <v>32</v>
      </c>
      <c r="C437">
        <v>2302</v>
      </c>
      <c r="D437" t="s">
        <v>6</v>
      </c>
      <c r="E437" t="str">
        <f>IF(june[[#This Row],[ShiftCounter]]&gt;0, "Running", "Down")</f>
        <v>Running</v>
      </c>
    </row>
    <row r="438" spans="1:5" x14ac:dyDescent="0.25">
      <c r="A438" s="8">
        <v>44716</v>
      </c>
      <c r="B438" t="s">
        <v>32</v>
      </c>
      <c r="C438">
        <v>2214</v>
      </c>
      <c r="D438" t="s">
        <v>7</v>
      </c>
      <c r="E438" t="str">
        <f>IF(june[[#This Row],[ShiftCounter]]&gt;0, "Running", "Down")</f>
        <v>Running</v>
      </c>
    </row>
    <row r="439" spans="1:5" x14ac:dyDescent="0.25">
      <c r="A439" s="8">
        <v>44716</v>
      </c>
      <c r="B439" t="s">
        <v>32</v>
      </c>
      <c r="C439">
        <v>2101</v>
      </c>
      <c r="D439" t="s">
        <v>8</v>
      </c>
      <c r="E439" t="str">
        <f>IF(june[[#This Row],[ShiftCounter]]&gt;0, "Running", "Down")</f>
        <v>Running</v>
      </c>
    </row>
    <row r="440" spans="1:5" x14ac:dyDescent="0.25">
      <c r="A440" s="8">
        <v>44716</v>
      </c>
      <c r="B440" t="s">
        <v>67</v>
      </c>
      <c r="C440">
        <v>2232</v>
      </c>
      <c r="D440" t="s">
        <v>6</v>
      </c>
      <c r="E440" t="str">
        <f>IF(june[[#This Row],[ShiftCounter]]&gt;0, "Running", "Down")</f>
        <v>Running</v>
      </c>
    </row>
    <row r="441" spans="1:5" x14ac:dyDescent="0.25">
      <c r="A441" s="8">
        <v>44716</v>
      </c>
      <c r="B441" t="s">
        <v>67</v>
      </c>
      <c r="C441">
        <v>2119</v>
      </c>
      <c r="D441" t="s">
        <v>7</v>
      </c>
      <c r="E441" t="str">
        <f>IF(june[[#This Row],[ShiftCounter]]&gt;0, "Running", "Down")</f>
        <v>Running</v>
      </c>
    </row>
    <row r="442" spans="1:5" x14ac:dyDescent="0.25">
      <c r="A442" s="8">
        <v>44716</v>
      </c>
      <c r="B442" t="s">
        <v>67</v>
      </c>
      <c r="C442">
        <v>1970</v>
      </c>
      <c r="D442" t="s">
        <v>8</v>
      </c>
      <c r="E442" t="str">
        <f>IF(june[[#This Row],[ShiftCounter]]&gt;0, "Running", "Down")</f>
        <v>Running</v>
      </c>
    </row>
    <row r="443" spans="1:5" x14ac:dyDescent="0.25">
      <c r="A443" s="8">
        <v>44716</v>
      </c>
      <c r="B443" t="s">
        <v>33</v>
      </c>
      <c r="C443">
        <v>2559</v>
      </c>
      <c r="D443" t="s">
        <v>6</v>
      </c>
      <c r="E443" t="str">
        <f>IF(june[[#This Row],[ShiftCounter]]&gt;0, "Running", "Down")</f>
        <v>Running</v>
      </c>
    </row>
    <row r="444" spans="1:5" x14ac:dyDescent="0.25">
      <c r="A444" s="8">
        <v>44716</v>
      </c>
      <c r="B444" t="s">
        <v>33</v>
      </c>
      <c r="C444">
        <v>2457</v>
      </c>
      <c r="D444" t="s">
        <v>7</v>
      </c>
      <c r="E444" t="str">
        <f>IF(june[[#This Row],[ShiftCounter]]&gt;0, "Running", "Down")</f>
        <v>Running</v>
      </c>
    </row>
    <row r="445" spans="1:5" x14ac:dyDescent="0.25">
      <c r="A445" s="8">
        <v>44716</v>
      </c>
      <c r="B445" t="s">
        <v>33</v>
      </c>
      <c r="C445">
        <v>2190</v>
      </c>
      <c r="D445" t="s">
        <v>8</v>
      </c>
      <c r="E445" t="str">
        <f>IF(june[[#This Row],[ShiftCounter]]&gt;0, "Running", "Down")</f>
        <v>Running</v>
      </c>
    </row>
    <row r="446" spans="1:5" x14ac:dyDescent="0.25">
      <c r="A446" s="8">
        <v>44716</v>
      </c>
      <c r="B446" t="s">
        <v>34</v>
      </c>
      <c r="C446">
        <v>2122</v>
      </c>
      <c r="D446" t="s">
        <v>6</v>
      </c>
      <c r="E446" t="str">
        <f>IF(june[[#This Row],[ShiftCounter]]&gt;0, "Running", "Down")</f>
        <v>Running</v>
      </c>
    </row>
    <row r="447" spans="1:5" x14ac:dyDescent="0.25">
      <c r="A447" s="8">
        <v>44716</v>
      </c>
      <c r="B447" t="s">
        <v>34</v>
      </c>
      <c r="C447">
        <v>1947</v>
      </c>
      <c r="D447" t="s">
        <v>7</v>
      </c>
      <c r="E447" t="str">
        <f>IF(june[[#This Row],[ShiftCounter]]&gt;0, "Running", "Down")</f>
        <v>Running</v>
      </c>
    </row>
    <row r="448" spans="1:5" x14ac:dyDescent="0.25">
      <c r="A448" s="8">
        <v>44716</v>
      </c>
      <c r="B448" t="s">
        <v>34</v>
      </c>
      <c r="C448">
        <v>1847</v>
      </c>
      <c r="D448" t="s">
        <v>8</v>
      </c>
      <c r="E448" t="str">
        <f>IF(june[[#This Row],[ShiftCounter]]&gt;0, "Running", "Down")</f>
        <v>Running</v>
      </c>
    </row>
    <row r="449" spans="1:5" x14ac:dyDescent="0.25">
      <c r="A449" s="8">
        <v>44716</v>
      </c>
      <c r="B449" t="s">
        <v>35</v>
      </c>
      <c r="C449">
        <v>2496</v>
      </c>
      <c r="D449" t="s">
        <v>6</v>
      </c>
      <c r="E449" t="str">
        <f>IF(june[[#This Row],[ShiftCounter]]&gt;0, "Running", "Down")</f>
        <v>Running</v>
      </c>
    </row>
    <row r="450" spans="1:5" x14ac:dyDescent="0.25">
      <c r="A450" s="8">
        <v>44716</v>
      </c>
      <c r="B450" t="s">
        <v>35</v>
      </c>
      <c r="C450">
        <v>2048</v>
      </c>
      <c r="D450" t="s">
        <v>7</v>
      </c>
      <c r="E450" t="str">
        <f>IF(june[[#This Row],[ShiftCounter]]&gt;0, "Running", "Down")</f>
        <v>Running</v>
      </c>
    </row>
    <row r="451" spans="1:5" x14ac:dyDescent="0.25">
      <c r="A451" s="8">
        <v>44716</v>
      </c>
      <c r="B451" t="s">
        <v>35</v>
      </c>
      <c r="C451">
        <v>1952</v>
      </c>
      <c r="D451" t="s">
        <v>8</v>
      </c>
      <c r="E451" t="str">
        <f>IF(june[[#This Row],[ShiftCounter]]&gt;0, "Running", "Down")</f>
        <v>Running</v>
      </c>
    </row>
    <row r="452" spans="1:5" x14ac:dyDescent="0.25">
      <c r="A452" s="8">
        <v>44716</v>
      </c>
      <c r="B452" t="s">
        <v>36</v>
      </c>
      <c r="C452">
        <v>2449</v>
      </c>
      <c r="D452" t="s">
        <v>6</v>
      </c>
      <c r="E452" t="str">
        <f>IF(june[[#This Row],[ShiftCounter]]&gt;0, "Running", "Down")</f>
        <v>Running</v>
      </c>
    </row>
    <row r="453" spans="1:5" x14ac:dyDescent="0.25">
      <c r="A453" s="8">
        <v>44716</v>
      </c>
      <c r="B453" t="s">
        <v>36</v>
      </c>
      <c r="C453">
        <v>1815</v>
      </c>
      <c r="D453" t="s">
        <v>7</v>
      </c>
      <c r="E453" t="str">
        <f>IF(june[[#This Row],[ShiftCounter]]&gt;0, "Running", "Down")</f>
        <v>Running</v>
      </c>
    </row>
    <row r="454" spans="1:5" x14ac:dyDescent="0.25">
      <c r="A454" s="8">
        <v>44716</v>
      </c>
      <c r="B454" t="s">
        <v>36</v>
      </c>
      <c r="C454">
        <v>2159</v>
      </c>
      <c r="D454" t="s">
        <v>8</v>
      </c>
      <c r="E454" t="str">
        <f>IF(june[[#This Row],[ShiftCounter]]&gt;0, "Running", "Down")</f>
        <v>Running</v>
      </c>
    </row>
    <row r="455" spans="1:5" x14ac:dyDescent="0.25">
      <c r="A455" s="8">
        <v>44716</v>
      </c>
      <c r="B455" t="s">
        <v>37</v>
      </c>
      <c r="C455">
        <v>2332</v>
      </c>
      <c r="D455" t="s">
        <v>6</v>
      </c>
      <c r="E455" t="str">
        <f>IF(june[[#This Row],[ShiftCounter]]&gt;0, "Running", "Down")</f>
        <v>Running</v>
      </c>
    </row>
    <row r="456" spans="1:5" x14ac:dyDescent="0.25">
      <c r="A456" s="8">
        <v>44716</v>
      </c>
      <c r="B456" t="s">
        <v>37</v>
      </c>
      <c r="C456">
        <v>2281</v>
      </c>
      <c r="D456" t="s">
        <v>7</v>
      </c>
      <c r="E456" t="str">
        <f>IF(june[[#This Row],[ShiftCounter]]&gt;0, "Running", "Down")</f>
        <v>Running</v>
      </c>
    </row>
    <row r="457" spans="1:5" x14ac:dyDescent="0.25">
      <c r="A457" s="8">
        <v>44716</v>
      </c>
      <c r="B457" t="s">
        <v>37</v>
      </c>
      <c r="C457">
        <v>1981</v>
      </c>
      <c r="D457" t="s">
        <v>8</v>
      </c>
      <c r="E457" t="str">
        <f>IF(june[[#This Row],[ShiftCounter]]&gt;0, "Running", "Down")</f>
        <v>Running</v>
      </c>
    </row>
    <row r="458" spans="1:5" x14ac:dyDescent="0.25">
      <c r="A458" s="8">
        <v>44717</v>
      </c>
      <c r="B458" t="s">
        <v>135</v>
      </c>
      <c r="C458">
        <v>1996</v>
      </c>
      <c r="D458" t="s">
        <v>6</v>
      </c>
      <c r="E458" t="str">
        <f>IF(june[[#This Row],[ShiftCounter]]&gt;0, "Running", "Down")</f>
        <v>Running</v>
      </c>
    </row>
    <row r="459" spans="1:5" x14ac:dyDescent="0.25">
      <c r="A459" s="8">
        <v>44717</v>
      </c>
      <c r="B459" t="s">
        <v>135</v>
      </c>
      <c r="C459">
        <v>1972</v>
      </c>
      <c r="D459" t="s">
        <v>7</v>
      </c>
      <c r="E459" t="str">
        <f>IF(june[[#This Row],[ShiftCounter]]&gt;0, "Running", "Down")</f>
        <v>Running</v>
      </c>
    </row>
    <row r="460" spans="1:5" x14ac:dyDescent="0.25">
      <c r="A460" s="8">
        <v>44717</v>
      </c>
      <c r="B460" t="s">
        <v>135</v>
      </c>
      <c r="C460">
        <v>2235</v>
      </c>
      <c r="D460" t="s">
        <v>8</v>
      </c>
      <c r="E460" t="str">
        <f>IF(june[[#This Row],[ShiftCounter]]&gt;0, "Running", "Down")</f>
        <v>Running</v>
      </c>
    </row>
    <row r="461" spans="1:5" x14ac:dyDescent="0.25">
      <c r="A461" s="8">
        <v>44717</v>
      </c>
      <c r="B461" t="s">
        <v>40</v>
      </c>
      <c r="C461">
        <v>2339</v>
      </c>
      <c r="D461" t="s">
        <v>6</v>
      </c>
      <c r="E461" t="str">
        <f>IF(june[[#This Row],[ShiftCounter]]&gt;0, "Running", "Down")</f>
        <v>Running</v>
      </c>
    </row>
    <row r="462" spans="1:5" x14ac:dyDescent="0.25">
      <c r="A462" s="8">
        <v>44717</v>
      </c>
      <c r="B462" t="s">
        <v>40</v>
      </c>
      <c r="C462">
        <v>2171</v>
      </c>
      <c r="D462" t="s">
        <v>7</v>
      </c>
      <c r="E462" t="str">
        <f>IF(june[[#This Row],[ShiftCounter]]&gt;0, "Running", "Down")</f>
        <v>Running</v>
      </c>
    </row>
    <row r="463" spans="1:5" x14ac:dyDescent="0.25">
      <c r="A463" s="8">
        <v>44717</v>
      </c>
      <c r="B463" t="s">
        <v>40</v>
      </c>
      <c r="C463">
        <v>1932</v>
      </c>
      <c r="D463" t="s">
        <v>8</v>
      </c>
      <c r="E463" t="str">
        <f>IF(june[[#This Row],[ShiftCounter]]&gt;0, "Running", "Down")</f>
        <v>Running</v>
      </c>
    </row>
    <row r="464" spans="1:5" x14ac:dyDescent="0.25">
      <c r="A464" s="8">
        <v>44717</v>
      </c>
      <c r="B464" t="s">
        <v>39</v>
      </c>
      <c r="C464">
        <v>2046</v>
      </c>
      <c r="D464" t="s">
        <v>6</v>
      </c>
      <c r="E464" t="str">
        <f>IF(june[[#This Row],[ShiftCounter]]&gt;0, "Running", "Down")</f>
        <v>Running</v>
      </c>
    </row>
    <row r="465" spans="1:5" x14ac:dyDescent="0.25">
      <c r="A465" s="8">
        <v>44717</v>
      </c>
      <c r="B465" t="s">
        <v>39</v>
      </c>
      <c r="C465">
        <v>1927</v>
      </c>
      <c r="D465" t="s">
        <v>7</v>
      </c>
      <c r="E465" t="str">
        <f>IF(june[[#This Row],[ShiftCounter]]&gt;0, "Running", "Down")</f>
        <v>Running</v>
      </c>
    </row>
    <row r="466" spans="1:5" x14ac:dyDescent="0.25">
      <c r="A466" s="8">
        <v>44717</v>
      </c>
      <c r="B466" t="s">
        <v>39</v>
      </c>
      <c r="C466">
        <v>1912</v>
      </c>
      <c r="D466" t="s">
        <v>8</v>
      </c>
      <c r="E466" t="str">
        <f>IF(june[[#This Row],[ShiftCounter]]&gt;0, "Running", "Down")</f>
        <v>Running</v>
      </c>
    </row>
    <row r="467" spans="1:5" x14ac:dyDescent="0.25">
      <c r="A467" s="8">
        <v>44717</v>
      </c>
      <c r="B467" t="s">
        <v>41</v>
      </c>
      <c r="C467">
        <v>2079</v>
      </c>
      <c r="D467" t="s">
        <v>6</v>
      </c>
      <c r="E467" t="str">
        <f>IF(june[[#This Row],[ShiftCounter]]&gt;0, "Running", "Down")</f>
        <v>Running</v>
      </c>
    </row>
    <row r="468" spans="1:5" x14ac:dyDescent="0.25">
      <c r="A468" s="8">
        <v>44717</v>
      </c>
      <c r="B468" t="s">
        <v>41</v>
      </c>
      <c r="C468">
        <v>2355</v>
      </c>
      <c r="D468" t="s">
        <v>7</v>
      </c>
      <c r="E468" t="str">
        <f>IF(june[[#This Row],[ShiftCounter]]&gt;0, "Running", "Down")</f>
        <v>Running</v>
      </c>
    </row>
    <row r="469" spans="1:5" x14ac:dyDescent="0.25">
      <c r="A469" s="8">
        <v>44717</v>
      </c>
      <c r="B469" t="s">
        <v>41</v>
      </c>
      <c r="C469">
        <v>2213</v>
      </c>
      <c r="D469" t="s">
        <v>8</v>
      </c>
      <c r="E469" t="str">
        <f>IF(june[[#This Row],[ShiftCounter]]&gt;0, "Running", "Down")</f>
        <v>Running</v>
      </c>
    </row>
    <row r="470" spans="1:5" x14ac:dyDescent="0.25">
      <c r="A470" s="8">
        <v>44717</v>
      </c>
      <c r="B470" t="s">
        <v>5</v>
      </c>
      <c r="C470">
        <v>2230</v>
      </c>
      <c r="D470" t="s">
        <v>6</v>
      </c>
      <c r="E470" t="str">
        <f>IF(june[[#This Row],[ShiftCounter]]&gt;0, "Running", "Down")</f>
        <v>Running</v>
      </c>
    </row>
    <row r="471" spans="1:5" x14ac:dyDescent="0.25">
      <c r="A471" s="8">
        <v>44717</v>
      </c>
      <c r="B471" t="s">
        <v>5</v>
      </c>
      <c r="C471">
        <v>2212</v>
      </c>
      <c r="D471" t="s">
        <v>7</v>
      </c>
      <c r="E471" t="str">
        <f>IF(june[[#This Row],[ShiftCounter]]&gt;0, "Running", "Down")</f>
        <v>Running</v>
      </c>
    </row>
    <row r="472" spans="1:5" x14ac:dyDescent="0.25">
      <c r="A472" s="8">
        <v>44717</v>
      </c>
      <c r="B472" t="s">
        <v>5</v>
      </c>
      <c r="C472">
        <v>2214</v>
      </c>
      <c r="D472" t="s">
        <v>8</v>
      </c>
      <c r="E472" t="str">
        <f>IF(june[[#This Row],[ShiftCounter]]&gt;0, "Running", "Down")</f>
        <v>Running</v>
      </c>
    </row>
    <row r="473" spans="1:5" x14ac:dyDescent="0.25">
      <c r="A473" s="8">
        <v>44717</v>
      </c>
      <c r="B473" t="s">
        <v>9</v>
      </c>
      <c r="C473">
        <v>2396</v>
      </c>
      <c r="D473" t="s">
        <v>6</v>
      </c>
      <c r="E473" t="str">
        <f>IF(june[[#This Row],[ShiftCounter]]&gt;0, "Running", "Down")</f>
        <v>Running</v>
      </c>
    </row>
    <row r="474" spans="1:5" x14ac:dyDescent="0.25">
      <c r="A474" s="8">
        <v>44717</v>
      </c>
      <c r="B474" t="s">
        <v>9</v>
      </c>
      <c r="C474">
        <v>2233</v>
      </c>
      <c r="D474" t="s">
        <v>7</v>
      </c>
      <c r="E474" t="str">
        <f>IF(june[[#This Row],[ShiftCounter]]&gt;0, "Running", "Down")</f>
        <v>Running</v>
      </c>
    </row>
    <row r="475" spans="1:5" x14ac:dyDescent="0.25">
      <c r="A475" s="8">
        <v>44717</v>
      </c>
      <c r="B475" t="s">
        <v>9</v>
      </c>
      <c r="C475">
        <v>2185</v>
      </c>
      <c r="D475" t="s">
        <v>8</v>
      </c>
      <c r="E475" t="str">
        <f>IF(june[[#This Row],[ShiftCounter]]&gt;0, "Running", "Down")</f>
        <v>Running</v>
      </c>
    </row>
    <row r="476" spans="1:5" x14ac:dyDescent="0.25">
      <c r="A476" s="8">
        <v>44717</v>
      </c>
      <c r="B476" t="s">
        <v>10</v>
      </c>
      <c r="C476">
        <v>2233</v>
      </c>
      <c r="D476" t="s">
        <v>6</v>
      </c>
      <c r="E476" t="str">
        <f>IF(june[[#This Row],[ShiftCounter]]&gt;0, "Running", "Down")</f>
        <v>Running</v>
      </c>
    </row>
    <row r="477" spans="1:5" x14ac:dyDescent="0.25">
      <c r="A477" s="8">
        <v>44717</v>
      </c>
      <c r="B477" t="s">
        <v>10</v>
      </c>
      <c r="C477">
        <v>2209</v>
      </c>
      <c r="D477" t="s">
        <v>7</v>
      </c>
      <c r="E477" t="str">
        <f>IF(june[[#This Row],[ShiftCounter]]&gt;0, "Running", "Down")</f>
        <v>Running</v>
      </c>
    </row>
    <row r="478" spans="1:5" x14ac:dyDescent="0.25">
      <c r="A478" s="8">
        <v>44717</v>
      </c>
      <c r="B478" t="s">
        <v>10</v>
      </c>
      <c r="C478">
        <v>2009</v>
      </c>
      <c r="D478" t="s">
        <v>8</v>
      </c>
      <c r="E478" t="str">
        <f>IF(june[[#This Row],[ShiftCounter]]&gt;0, "Running", "Down")</f>
        <v>Running</v>
      </c>
    </row>
    <row r="479" spans="1:5" x14ac:dyDescent="0.25">
      <c r="A479" s="8">
        <v>44717</v>
      </c>
      <c r="B479" t="s">
        <v>12</v>
      </c>
      <c r="C479">
        <v>2389</v>
      </c>
      <c r="D479" t="s">
        <v>6</v>
      </c>
      <c r="E479" t="str">
        <f>IF(june[[#This Row],[ShiftCounter]]&gt;0, "Running", "Down")</f>
        <v>Running</v>
      </c>
    </row>
    <row r="480" spans="1:5" x14ac:dyDescent="0.25">
      <c r="A480" s="8">
        <v>44717</v>
      </c>
      <c r="B480" t="s">
        <v>12</v>
      </c>
      <c r="C480">
        <v>2214</v>
      </c>
      <c r="D480" t="s">
        <v>7</v>
      </c>
      <c r="E480" t="str">
        <f>IF(june[[#This Row],[ShiftCounter]]&gt;0, "Running", "Down")</f>
        <v>Running</v>
      </c>
    </row>
    <row r="481" spans="1:5" x14ac:dyDescent="0.25">
      <c r="A481" s="8">
        <v>44717</v>
      </c>
      <c r="B481" t="s">
        <v>12</v>
      </c>
      <c r="C481">
        <v>2017</v>
      </c>
      <c r="D481" t="s">
        <v>8</v>
      </c>
      <c r="E481" t="str">
        <f>IF(june[[#This Row],[ShiftCounter]]&gt;0, "Running", "Down")</f>
        <v>Running</v>
      </c>
    </row>
    <row r="482" spans="1:5" x14ac:dyDescent="0.25">
      <c r="A482" s="8">
        <v>44717</v>
      </c>
      <c r="B482" t="s">
        <v>13</v>
      </c>
      <c r="C482">
        <v>2207</v>
      </c>
      <c r="D482" t="s">
        <v>6</v>
      </c>
      <c r="E482" t="str">
        <f>IF(june[[#This Row],[ShiftCounter]]&gt;0, "Running", "Down")</f>
        <v>Running</v>
      </c>
    </row>
    <row r="483" spans="1:5" x14ac:dyDescent="0.25">
      <c r="A483" s="8">
        <v>44717</v>
      </c>
      <c r="B483" t="s">
        <v>13</v>
      </c>
      <c r="C483">
        <v>2120</v>
      </c>
      <c r="D483" t="s">
        <v>7</v>
      </c>
      <c r="E483" t="str">
        <f>IF(june[[#This Row],[ShiftCounter]]&gt;0, "Running", "Down")</f>
        <v>Running</v>
      </c>
    </row>
    <row r="484" spans="1:5" x14ac:dyDescent="0.25">
      <c r="A484" s="8">
        <v>44717</v>
      </c>
      <c r="B484" t="s">
        <v>13</v>
      </c>
      <c r="C484">
        <v>1855</v>
      </c>
      <c r="D484" t="s">
        <v>8</v>
      </c>
      <c r="E484" t="str">
        <f>IF(june[[#This Row],[ShiftCounter]]&gt;0, "Running", "Down")</f>
        <v>Running</v>
      </c>
    </row>
    <row r="485" spans="1:5" x14ac:dyDescent="0.25">
      <c r="A485" s="8">
        <v>44717</v>
      </c>
      <c r="B485" t="s">
        <v>101</v>
      </c>
      <c r="C485">
        <v>2120</v>
      </c>
      <c r="D485" t="s">
        <v>6</v>
      </c>
      <c r="E485" t="str">
        <f>IF(june[[#This Row],[ShiftCounter]]&gt;0, "Running", "Down")</f>
        <v>Running</v>
      </c>
    </row>
    <row r="486" spans="1:5" x14ac:dyDescent="0.25">
      <c r="A486" s="8">
        <v>44717</v>
      </c>
      <c r="B486" t="s">
        <v>101</v>
      </c>
      <c r="C486">
        <v>2050</v>
      </c>
      <c r="D486" t="s">
        <v>7</v>
      </c>
      <c r="E486" t="str">
        <f>IF(june[[#This Row],[ShiftCounter]]&gt;0, "Running", "Down")</f>
        <v>Running</v>
      </c>
    </row>
    <row r="487" spans="1:5" x14ac:dyDescent="0.25">
      <c r="A487" s="8">
        <v>44717</v>
      </c>
      <c r="B487" t="s">
        <v>101</v>
      </c>
      <c r="C487">
        <v>1790</v>
      </c>
      <c r="D487" t="s">
        <v>8</v>
      </c>
      <c r="E487" t="str">
        <f>IF(june[[#This Row],[ShiftCounter]]&gt;0, "Running", "Down")</f>
        <v>Running</v>
      </c>
    </row>
    <row r="488" spans="1:5" x14ac:dyDescent="0.25">
      <c r="A488" s="8">
        <v>44717</v>
      </c>
      <c r="B488" t="s">
        <v>14</v>
      </c>
      <c r="C488">
        <v>1871</v>
      </c>
      <c r="D488" t="s">
        <v>6</v>
      </c>
      <c r="E488" t="str">
        <f>IF(june[[#This Row],[ShiftCounter]]&gt;0, "Running", "Down")</f>
        <v>Running</v>
      </c>
    </row>
    <row r="489" spans="1:5" x14ac:dyDescent="0.25">
      <c r="A489" s="8">
        <v>44717</v>
      </c>
      <c r="B489" t="s">
        <v>14</v>
      </c>
      <c r="C489">
        <v>1840</v>
      </c>
      <c r="D489" t="s">
        <v>7</v>
      </c>
      <c r="E489" t="str">
        <f>IF(june[[#This Row],[ShiftCounter]]&gt;0, "Running", "Down")</f>
        <v>Running</v>
      </c>
    </row>
    <row r="490" spans="1:5" x14ac:dyDescent="0.25">
      <c r="A490" s="8">
        <v>44717</v>
      </c>
      <c r="B490" t="s">
        <v>14</v>
      </c>
      <c r="C490">
        <v>1590</v>
      </c>
      <c r="D490" t="s">
        <v>8</v>
      </c>
      <c r="E490" t="str">
        <f>IF(june[[#This Row],[ShiftCounter]]&gt;0, "Running", "Down")</f>
        <v>Running</v>
      </c>
    </row>
    <row r="491" spans="1:5" x14ac:dyDescent="0.25">
      <c r="A491" s="8">
        <v>44717</v>
      </c>
      <c r="B491" t="s">
        <v>15</v>
      </c>
      <c r="C491">
        <v>2129</v>
      </c>
      <c r="D491" t="s">
        <v>6</v>
      </c>
      <c r="E491" t="str">
        <f>IF(june[[#This Row],[ShiftCounter]]&gt;0, "Running", "Down")</f>
        <v>Running</v>
      </c>
    </row>
    <row r="492" spans="1:5" x14ac:dyDescent="0.25">
      <c r="A492" s="8">
        <v>44717</v>
      </c>
      <c r="B492" t="s">
        <v>15</v>
      </c>
      <c r="C492">
        <v>1917</v>
      </c>
      <c r="D492" t="s">
        <v>7</v>
      </c>
      <c r="E492" t="str">
        <f>IF(june[[#This Row],[ShiftCounter]]&gt;0, "Running", "Down")</f>
        <v>Running</v>
      </c>
    </row>
    <row r="493" spans="1:5" x14ac:dyDescent="0.25">
      <c r="A493" s="8">
        <v>44717</v>
      </c>
      <c r="B493" t="s">
        <v>15</v>
      </c>
      <c r="C493">
        <v>1687</v>
      </c>
      <c r="D493" t="s">
        <v>8</v>
      </c>
      <c r="E493" t="str">
        <f>IF(june[[#This Row],[ShiftCounter]]&gt;0, "Running", "Down")</f>
        <v>Running</v>
      </c>
    </row>
    <row r="494" spans="1:5" x14ac:dyDescent="0.25">
      <c r="A494" s="8">
        <v>44717</v>
      </c>
      <c r="B494" t="s">
        <v>16</v>
      </c>
      <c r="C494">
        <v>2196</v>
      </c>
      <c r="D494" t="s">
        <v>6</v>
      </c>
      <c r="E494" t="str">
        <f>IF(june[[#This Row],[ShiftCounter]]&gt;0, "Running", "Down")</f>
        <v>Running</v>
      </c>
    </row>
    <row r="495" spans="1:5" x14ac:dyDescent="0.25">
      <c r="A495" s="8">
        <v>44717</v>
      </c>
      <c r="B495" t="s">
        <v>16</v>
      </c>
      <c r="C495">
        <v>2238</v>
      </c>
      <c r="D495" t="s">
        <v>7</v>
      </c>
      <c r="E495" t="str">
        <f>IF(june[[#This Row],[ShiftCounter]]&gt;0, "Running", "Down")</f>
        <v>Running</v>
      </c>
    </row>
    <row r="496" spans="1:5" x14ac:dyDescent="0.25">
      <c r="A496" s="8">
        <v>44717</v>
      </c>
      <c r="B496" t="s">
        <v>16</v>
      </c>
      <c r="C496">
        <v>1834</v>
      </c>
      <c r="D496" t="s">
        <v>8</v>
      </c>
      <c r="E496" t="str">
        <f>IF(june[[#This Row],[ShiftCounter]]&gt;0, "Running", "Down")</f>
        <v>Running</v>
      </c>
    </row>
    <row r="497" spans="1:5" x14ac:dyDescent="0.25">
      <c r="A497" s="8">
        <v>44717</v>
      </c>
      <c r="B497" t="s">
        <v>17</v>
      </c>
      <c r="C497">
        <v>2314</v>
      </c>
      <c r="D497" t="s">
        <v>6</v>
      </c>
      <c r="E497" t="str">
        <f>IF(june[[#This Row],[ShiftCounter]]&gt;0, "Running", "Down")</f>
        <v>Running</v>
      </c>
    </row>
    <row r="498" spans="1:5" x14ac:dyDescent="0.25">
      <c r="A498" s="8">
        <v>44717</v>
      </c>
      <c r="B498" t="s">
        <v>17</v>
      </c>
      <c r="C498">
        <v>2323</v>
      </c>
      <c r="D498" t="s">
        <v>7</v>
      </c>
      <c r="E498" t="str">
        <f>IF(june[[#This Row],[ShiftCounter]]&gt;0, "Running", "Down")</f>
        <v>Running</v>
      </c>
    </row>
    <row r="499" spans="1:5" x14ac:dyDescent="0.25">
      <c r="A499" s="8">
        <v>44717</v>
      </c>
      <c r="B499" t="s">
        <v>17</v>
      </c>
      <c r="C499">
        <v>2021</v>
      </c>
      <c r="D499" t="s">
        <v>8</v>
      </c>
      <c r="E499" t="str">
        <f>IF(june[[#This Row],[ShiftCounter]]&gt;0, "Running", "Down")</f>
        <v>Running</v>
      </c>
    </row>
    <row r="500" spans="1:5" x14ac:dyDescent="0.25">
      <c r="A500" s="8">
        <v>44717</v>
      </c>
      <c r="B500" t="s">
        <v>18</v>
      </c>
      <c r="C500">
        <v>2389</v>
      </c>
      <c r="D500" t="s">
        <v>6</v>
      </c>
      <c r="E500" t="str">
        <f>IF(june[[#This Row],[ShiftCounter]]&gt;0, "Running", "Down")</f>
        <v>Running</v>
      </c>
    </row>
    <row r="501" spans="1:5" x14ac:dyDescent="0.25">
      <c r="A501" s="8">
        <v>44717</v>
      </c>
      <c r="B501" t="s">
        <v>18</v>
      </c>
      <c r="C501">
        <v>2245</v>
      </c>
      <c r="D501" t="s">
        <v>7</v>
      </c>
      <c r="E501" t="str">
        <f>IF(june[[#This Row],[ShiftCounter]]&gt;0, "Running", "Down")</f>
        <v>Running</v>
      </c>
    </row>
    <row r="502" spans="1:5" x14ac:dyDescent="0.25">
      <c r="A502" s="8">
        <v>44717</v>
      </c>
      <c r="B502" t="s">
        <v>18</v>
      </c>
      <c r="C502">
        <v>1852</v>
      </c>
      <c r="D502" t="s">
        <v>8</v>
      </c>
      <c r="E502" t="str">
        <f>IF(june[[#This Row],[ShiftCounter]]&gt;0, "Running", "Down")</f>
        <v>Running</v>
      </c>
    </row>
    <row r="503" spans="1:5" x14ac:dyDescent="0.25">
      <c r="A503" s="8">
        <v>44717</v>
      </c>
      <c r="B503" t="s">
        <v>19</v>
      </c>
      <c r="C503">
        <v>0</v>
      </c>
      <c r="D503" t="s">
        <v>6</v>
      </c>
      <c r="E503" t="str">
        <f>IF(june[[#This Row],[ShiftCounter]]&gt;0, "Running", "Down")</f>
        <v>Down</v>
      </c>
    </row>
    <row r="504" spans="1:5" x14ac:dyDescent="0.25">
      <c r="A504" s="8">
        <v>44717</v>
      </c>
      <c r="B504" t="s">
        <v>19</v>
      </c>
      <c r="C504">
        <v>0</v>
      </c>
      <c r="D504" t="s">
        <v>7</v>
      </c>
      <c r="E504" t="str">
        <f>IF(june[[#This Row],[ShiftCounter]]&gt;0, "Running", "Down")</f>
        <v>Down</v>
      </c>
    </row>
    <row r="505" spans="1:5" x14ac:dyDescent="0.25">
      <c r="A505" s="8">
        <v>44717</v>
      </c>
      <c r="B505" t="s">
        <v>19</v>
      </c>
      <c r="C505">
        <v>1770</v>
      </c>
      <c r="D505" t="s">
        <v>8</v>
      </c>
      <c r="E505" t="str">
        <f>IF(june[[#This Row],[ShiftCounter]]&gt;0, "Running", "Down")</f>
        <v>Running</v>
      </c>
    </row>
    <row r="506" spans="1:5" x14ac:dyDescent="0.25">
      <c r="A506" s="8">
        <v>44717</v>
      </c>
      <c r="B506" t="s">
        <v>42</v>
      </c>
      <c r="C506">
        <v>2031</v>
      </c>
      <c r="D506" t="s">
        <v>6</v>
      </c>
      <c r="E506" t="str">
        <f>IF(june[[#This Row],[ShiftCounter]]&gt;0, "Running", "Down")</f>
        <v>Running</v>
      </c>
    </row>
    <row r="507" spans="1:5" x14ac:dyDescent="0.25">
      <c r="A507" s="8">
        <v>44717</v>
      </c>
      <c r="B507" t="s">
        <v>42</v>
      </c>
      <c r="C507">
        <v>1526</v>
      </c>
      <c r="D507" t="s">
        <v>7</v>
      </c>
      <c r="E507" t="str">
        <f>IF(june[[#This Row],[ShiftCounter]]&gt;0, "Running", "Down")</f>
        <v>Running</v>
      </c>
    </row>
    <row r="508" spans="1:5" x14ac:dyDescent="0.25">
      <c r="A508" s="8">
        <v>44717</v>
      </c>
      <c r="B508" t="s">
        <v>42</v>
      </c>
      <c r="C508">
        <v>1847</v>
      </c>
      <c r="D508" t="s">
        <v>8</v>
      </c>
      <c r="E508" t="str">
        <f>IF(june[[#This Row],[ShiftCounter]]&gt;0, "Running", "Down")</f>
        <v>Running</v>
      </c>
    </row>
    <row r="509" spans="1:5" x14ac:dyDescent="0.25">
      <c r="A509" s="8">
        <v>44717</v>
      </c>
      <c r="B509" t="s">
        <v>38</v>
      </c>
      <c r="C509">
        <v>2086</v>
      </c>
      <c r="D509" t="s">
        <v>6</v>
      </c>
      <c r="E509" t="str">
        <f>IF(june[[#This Row],[ShiftCounter]]&gt;0, "Running", "Down")</f>
        <v>Running</v>
      </c>
    </row>
    <row r="510" spans="1:5" x14ac:dyDescent="0.25">
      <c r="A510" s="8">
        <v>44717</v>
      </c>
      <c r="B510" t="s">
        <v>38</v>
      </c>
      <c r="C510">
        <v>2288</v>
      </c>
      <c r="D510" t="s">
        <v>7</v>
      </c>
      <c r="E510" t="str">
        <f>IF(june[[#This Row],[ShiftCounter]]&gt;0, "Running", "Down")</f>
        <v>Running</v>
      </c>
    </row>
    <row r="511" spans="1:5" x14ac:dyDescent="0.25">
      <c r="A511" s="8">
        <v>44717</v>
      </c>
      <c r="B511" t="s">
        <v>38</v>
      </c>
      <c r="C511">
        <v>1903</v>
      </c>
      <c r="D511" t="s">
        <v>8</v>
      </c>
      <c r="E511" t="str">
        <f>IF(june[[#This Row],[ShiftCounter]]&gt;0, "Running", "Down")</f>
        <v>Running</v>
      </c>
    </row>
    <row r="512" spans="1:5" x14ac:dyDescent="0.25">
      <c r="A512" s="8">
        <v>44717</v>
      </c>
      <c r="B512" t="s">
        <v>20</v>
      </c>
      <c r="C512">
        <v>2344</v>
      </c>
      <c r="D512" t="s">
        <v>6</v>
      </c>
      <c r="E512" t="str">
        <f>IF(june[[#This Row],[ShiftCounter]]&gt;0, "Running", "Down")</f>
        <v>Running</v>
      </c>
    </row>
    <row r="513" spans="1:5" x14ac:dyDescent="0.25">
      <c r="A513" s="8">
        <v>44717</v>
      </c>
      <c r="B513" t="s">
        <v>20</v>
      </c>
      <c r="C513">
        <v>2295</v>
      </c>
      <c r="D513" t="s">
        <v>7</v>
      </c>
      <c r="E513" t="str">
        <f>IF(june[[#This Row],[ShiftCounter]]&gt;0, "Running", "Down")</f>
        <v>Running</v>
      </c>
    </row>
    <row r="514" spans="1:5" x14ac:dyDescent="0.25">
      <c r="A514" s="8">
        <v>44717</v>
      </c>
      <c r="B514" t="s">
        <v>20</v>
      </c>
      <c r="C514">
        <v>2114</v>
      </c>
      <c r="D514" t="s">
        <v>8</v>
      </c>
      <c r="E514" t="str">
        <f>IF(june[[#This Row],[ShiftCounter]]&gt;0, "Running", "Down")</f>
        <v>Running</v>
      </c>
    </row>
    <row r="515" spans="1:5" x14ac:dyDescent="0.25">
      <c r="A515" s="8">
        <v>44717</v>
      </c>
      <c r="B515" t="s">
        <v>21</v>
      </c>
      <c r="C515">
        <v>2115</v>
      </c>
      <c r="D515" t="s">
        <v>6</v>
      </c>
      <c r="E515" t="str">
        <f>IF(june[[#This Row],[ShiftCounter]]&gt;0, "Running", "Down")</f>
        <v>Running</v>
      </c>
    </row>
    <row r="516" spans="1:5" x14ac:dyDescent="0.25">
      <c r="A516" s="8">
        <v>44717</v>
      </c>
      <c r="B516" t="s">
        <v>21</v>
      </c>
      <c r="C516">
        <v>2088</v>
      </c>
      <c r="D516" t="s">
        <v>7</v>
      </c>
      <c r="E516" t="str">
        <f>IF(june[[#This Row],[ShiftCounter]]&gt;0, "Running", "Down")</f>
        <v>Running</v>
      </c>
    </row>
    <row r="517" spans="1:5" x14ac:dyDescent="0.25">
      <c r="A517" s="8">
        <v>44717</v>
      </c>
      <c r="B517" t="s">
        <v>21</v>
      </c>
      <c r="C517">
        <v>1894</v>
      </c>
      <c r="D517" t="s">
        <v>8</v>
      </c>
      <c r="E517" t="str">
        <f>IF(june[[#This Row],[ShiftCounter]]&gt;0, "Running", "Down")</f>
        <v>Running</v>
      </c>
    </row>
    <row r="518" spans="1:5" x14ac:dyDescent="0.25">
      <c r="A518" s="8">
        <v>44717</v>
      </c>
      <c r="B518" t="s">
        <v>22</v>
      </c>
      <c r="C518">
        <v>2266</v>
      </c>
      <c r="D518" t="s">
        <v>6</v>
      </c>
      <c r="E518" t="str">
        <f>IF(june[[#This Row],[ShiftCounter]]&gt;0, "Running", "Down")</f>
        <v>Running</v>
      </c>
    </row>
    <row r="519" spans="1:5" x14ac:dyDescent="0.25">
      <c r="A519" s="8">
        <v>44717</v>
      </c>
      <c r="B519" t="s">
        <v>22</v>
      </c>
      <c r="C519">
        <v>2262</v>
      </c>
      <c r="D519" t="s">
        <v>7</v>
      </c>
      <c r="E519" t="str">
        <f>IF(june[[#This Row],[ShiftCounter]]&gt;0, "Running", "Down")</f>
        <v>Running</v>
      </c>
    </row>
    <row r="520" spans="1:5" x14ac:dyDescent="0.25">
      <c r="A520" s="8">
        <v>44717</v>
      </c>
      <c r="B520" t="s">
        <v>22</v>
      </c>
      <c r="C520">
        <v>1956</v>
      </c>
      <c r="D520" t="s">
        <v>8</v>
      </c>
      <c r="E520" t="str">
        <f>IF(june[[#This Row],[ShiftCounter]]&gt;0, "Running", "Down")</f>
        <v>Running</v>
      </c>
    </row>
    <row r="521" spans="1:5" x14ac:dyDescent="0.25">
      <c r="A521" s="8">
        <v>44717</v>
      </c>
      <c r="B521" t="s">
        <v>23</v>
      </c>
      <c r="C521">
        <v>2306</v>
      </c>
      <c r="D521" t="s">
        <v>6</v>
      </c>
      <c r="E521" t="str">
        <f>IF(june[[#This Row],[ShiftCounter]]&gt;0, "Running", "Down")</f>
        <v>Running</v>
      </c>
    </row>
    <row r="522" spans="1:5" x14ac:dyDescent="0.25">
      <c r="A522" s="8">
        <v>44717</v>
      </c>
      <c r="B522" t="s">
        <v>23</v>
      </c>
      <c r="C522">
        <v>2325</v>
      </c>
      <c r="D522" t="s">
        <v>7</v>
      </c>
      <c r="E522" t="str">
        <f>IF(june[[#This Row],[ShiftCounter]]&gt;0, "Running", "Down")</f>
        <v>Running</v>
      </c>
    </row>
    <row r="523" spans="1:5" x14ac:dyDescent="0.25">
      <c r="A523" s="8">
        <v>44717</v>
      </c>
      <c r="B523" t="s">
        <v>23</v>
      </c>
      <c r="C523">
        <v>2088</v>
      </c>
      <c r="D523" t="s">
        <v>8</v>
      </c>
      <c r="E523" t="str">
        <f>IF(june[[#This Row],[ShiftCounter]]&gt;0, "Running", "Down")</f>
        <v>Running</v>
      </c>
    </row>
    <row r="524" spans="1:5" x14ac:dyDescent="0.25">
      <c r="A524" s="8">
        <v>44717</v>
      </c>
      <c r="B524" t="s">
        <v>24</v>
      </c>
      <c r="C524">
        <v>2160</v>
      </c>
      <c r="D524" t="s">
        <v>6</v>
      </c>
      <c r="E524" t="str">
        <f>IF(june[[#This Row],[ShiftCounter]]&gt;0, "Running", "Down")</f>
        <v>Running</v>
      </c>
    </row>
    <row r="525" spans="1:5" x14ac:dyDescent="0.25">
      <c r="A525" s="8">
        <v>44717</v>
      </c>
      <c r="B525" t="s">
        <v>24</v>
      </c>
      <c r="C525">
        <v>2212</v>
      </c>
      <c r="D525" t="s">
        <v>7</v>
      </c>
      <c r="E525" t="str">
        <f>IF(june[[#This Row],[ShiftCounter]]&gt;0, "Running", "Down")</f>
        <v>Running</v>
      </c>
    </row>
    <row r="526" spans="1:5" x14ac:dyDescent="0.25">
      <c r="A526" s="8">
        <v>44717</v>
      </c>
      <c r="B526" t="s">
        <v>24</v>
      </c>
      <c r="C526">
        <v>1862</v>
      </c>
      <c r="D526" t="s">
        <v>8</v>
      </c>
      <c r="E526" t="str">
        <f>IF(june[[#This Row],[ShiftCounter]]&gt;0, "Running", "Down")</f>
        <v>Running</v>
      </c>
    </row>
    <row r="527" spans="1:5" x14ac:dyDescent="0.25">
      <c r="A527" s="8">
        <v>44717</v>
      </c>
      <c r="B527" t="s">
        <v>25</v>
      </c>
      <c r="C527">
        <v>2317</v>
      </c>
      <c r="D527" t="s">
        <v>6</v>
      </c>
      <c r="E527" t="str">
        <f>IF(june[[#This Row],[ShiftCounter]]&gt;0, "Running", "Down")</f>
        <v>Running</v>
      </c>
    </row>
    <row r="528" spans="1:5" x14ac:dyDescent="0.25">
      <c r="A528" s="8">
        <v>44717</v>
      </c>
      <c r="B528" t="s">
        <v>25</v>
      </c>
      <c r="C528">
        <v>2349</v>
      </c>
      <c r="D528" t="s">
        <v>7</v>
      </c>
      <c r="E528" t="str">
        <f>IF(june[[#This Row],[ShiftCounter]]&gt;0, "Running", "Down")</f>
        <v>Running</v>
      </c>
    </row>
    <row r="529" spans="1:5" x14ac:dyDescent="0.25">
      <c r="A529" s="8">
        <v>44717</v>
      </c>
      <c r="B529" t="s">
        <v>25</v>
      </c>
      <c r="C529">
        <v>2092</v>
      </c>
      <c r="D529" t="s">
        <v>8</v>
      </c>
      <c r="E529" t="str">
        <f>IF(june[[#This Row],[ShiftCounter]]&gt;0, "Running", "Down")</f>
        <v>Running</v>
      </c>
    </row>
    <row r="530" spans="1:5" x14ac:dyDescent="0.25">
      <c r="A530" s="8">
        <v>44717</v>
      </c>
      <c r="B530" t="s">
        <v>26</v>
      </c>
      <c r="C530">
        <v>2120</v>
      </c>
      <c r="D530" t="s">
        <v>6</v>
      </c>
      <c r="E530" t="str">
        <f>IF(june[[#This Row],[ShiftCounter]]&gt;0, "Running", "Down")</f>
        <v>Running</v>
      </c>
    </row>
    <row r="531" spans="1:5" x14ac:dyDescent="0.25">
      <c r="A531" s="8">
        <v>44717</v>
      </c>
      <c r="B531" t="s">
        <v>26</v>
      </c>
      <c r="C531">
        <v>2158</v>
      </c>
      <c r="D531" t="s">
        <v>7</v>
      </c>
      <c r="E531" t="str">
        <f>IF(june[[#This Row],[ShiftCounter]]&gt;0, "Running", "Down")</f>
        <v>Running</v>
      </c>
    </row>
    <row r="532" spans="1:5" x14ac:dyDescent="0.25">
      <c r="A532" s="8">
        <v>44717</v>
      </c>
      <c r="B532" t="s">
        <v>26</v>
      </c>
      <c r="C532">
        <v>1881</v>
      </c>
      <c r="D532" t="s">
        <v>8</v>
      </c>
      <c r="E532" t="str">
        <f>IF(june[[#This Row],[ShiftCounter]]&gt;0, "Running", "Down")</f>
        <v>Running</v>
      </c>
    </row>
    <row r="533" spans="1:5" x14ac:dyDescent="0.25">
      <c r="A533" s="8">
        <v>44717</v>
      </c>
      <c r="B533" t="s">
        <v>27</v>
      </c>
      <c r="C533">
        <v>2270</v>
      </c>
      <c r="D533" t="s">
        <v>6</v>
      </c>
      <c r="E533" t="str">
        <f>IF(june[[#This Row],[ShiftCounter]]&gt;0, "Running", "Down")</f>
        <v>Running</v>
      </c>
    </row>
    <row r="534" spans="1:5" x14ac:dyDescent="0.25">
      <c r="A534" s="8">
        <v>44717</v>
      </c>
      <c r="B534" t="s">
        <v>27</v>
      </c>
      <c r="C534">
        <v>1682</v>
      </c>
      <c r="D534" t="s">
        <v>7</v>
      </c>
      <c r="E534" t="str">
        <f>IF(june[[#This Row],[ShiftCounter]]&gt;0, "Running", "Down")</f>
        <v>Running</v>
      </c>
    </row>
    <row r="535" spans="1:5" x14ac:dyDescent="0.25">
      <c r="A535" s="8">
        <v>44717</v>
      </c>
      <c r="B535" t="s">
        <v>27</v>
      </c>
      <c r="C535">
        <v>2041</v>
      </c>
      <c r="D535" t="s">
        <v>8</v>
      </c>
      <c r="E535" t="str">
        <f>IF(june[[#This Row],[ShiftCounter]]&gt;0, "Running", "Down")</f>
        <v>Running</v>
      </c>
    </row>
    <row r="536" spans="1:5" x14ac:dyDescent="0.25">
      <c r="A536" s="8">
        <v>44717</v>
      </c>
      <c r="B536" t="s">
        <v>28</v>
      </c>
      <c r="C536">
        <v>2204</v>
      </c>
      <c r="D536" t="s">
        <v>6</v>
      </c>
      <c r="E536" t="str">
        <f>IF(june[[#This Row],[ShiftCounter]]&gt;0, "Running", "Down")</f>
        <v>Running</v>
      </c>
    </row>
    <row r="537" spans="1:5" x14ac:dyDescent="0.25">
      <c r="A537" s="8">
        <v>44717</v>
      </c>
      <c r="B537" t="s">
        <v>28</v>
      </c>
      <c r="C537">
        <v>2286</v>
      </c>
      <c r="D537" t="s">
        <v>7</v>
      </c>
      <c r="E537" t="str">
        <f>IF(june[[#This Row],[ShiftCounter]]&gt;0, "Running", "Down")</f>
        <v>Running</v>
      </c>
    </row>
    <row r="538" spans="1:5" x14ac:dyDescent="0.25">
      <c r="A538" s="8">
        <v>44717</v>
      </c>
      <c r="B538" t="s">
        <v>28</v>
      </c>
      <c r="C538">
        <v>1978</v>
      </c>
      <c r="D538" t="s">
        <v>8</v>
      </c>
      <c r="E538" t="str">
        <f>IF(june[[#This Row],[ShiftCounter]]&gt;0, "Running", "Down")</f>
        <v>Running</v>
      </c>
    </row>
    <row r="539" spans="1:5" x14ac:dyDescent="0.25">
      <c r="A539" s="8">
        <v>44717</v>
      </c>
      <c r="B539" t="s">
        <v>29</v>
      </c>
      <c r="C539">
        <v>2033</v>
      </c>
      <c r="D539" t="s">
        <v>6</v>
      </c>
      <c r="E539" t="str">
        <f>IF(june[[#This Row],[ShiftCounter]]&gt;0, "Running", "Down")</f>
        <v>Running</v>
      </c>
    </row>
    <row r="540" spans="1:5" x14ac:dyDescent="0.25">
      <c r="A540" s="8">
        <v>44717</v>
      </c>
      <c r="B540" t="s">
        <v>29</v>
      </c>
      <c r="C540">
        <v>2139</v>
      </c>
      <c r="D540" t="s">
        <v>7</v>
      </c>
      <c r="E540" t="str">
        <f>IF(june[[#This Row],[ShiftCounter]]&gt;0, "Running", "Down")</f>
        <v>Running</v>
      </c>
    </row>
    <row r="541" spans="1:5" x14ac:dyDescent="0.25">
      <c r="A541" s="8">
        <v>44717</v>
      </c>
      <c r="B541" t="s">
        <v>29</v>
      </c>
      <c r="C541">
        <v>1795</v>
      </c>
      <c r="D541" t="s">
        <v>8</v>
      </c>
      <c r="E541" t="str">
        <f>IF(june[[#This Row],[ShiftCounter]]&gt;0, "Running", "Down")</f>
        <v>Running</v>
      </c>
    </row>
    <row r="542" spans="1:5" x14ac:dyDescent="0.25">
      <c r="A542" s="8">
        <v>44717</v>
      </c>
      <c r="B542" t="s">
        <v>30</v>
      </c>
      <c r="C542">
        <v>2267</v>
      </c>
      <c r="D542" t="s">
        <v>6</v>
      </c>
      <c r="E542" t="str">
        <f>IF(june[[#This Row],[ShiftCounter]]&gt;0, "Running", "Down")</f>
        <v>Running</v>
      </c>
    </row>
    <row r="543" spans="1:5" x14ac:dyDescent="0.25">
      <c r="A543" s="8">
        <v>44717</v>
      </c>
      <c r="B543" t="s">
        <v>30</v>
      </c>
      <c r="C543">
        <v>2175</v>
      </c>
      <c r="D543" t="s">
        <v>7</v>
      </c>
      <c r="E543" t="str">
        <f>IF(june[[#This Row],[ShiftCounter]]&gt;0, "Running", "Down")</f>
        <v>Running</v>
      </c>
    </row>
    <row r="544" spans="1:5" x14ac:dyDescent="0.25">
      <c r="A544" s="8">
        <v>44717</v>
      </c>
      <c r="B544" t="s">
        <v>30</v>
      </c>
      <c r="C544">
        <v>1985</v>
      </c>
      <c r="D544" t="s">
        <v>8</v>
      </c>
      <c r="E544" t="str">
        <f>IF(june[[#This Row],[ShiftCounter]]&gt;0, "Running", "Down")</f>
        <v>Running</v>
      </c>
    </row>
    <row r="545" spans="1:5" x14ac:dyDescent="0.25">
      <c r="A545" s="8">
        <v>44717</v>
      </c>
      <c r="B545" t="s">
        <v>31</v>
      </c>
      <c r="C545">
        <v>2096</v>
      </c>
      <c r="D545" t="s">
        <v>6</v>
      </c>
      <c r="E545" t="str">
        <f>IF(june[[#This Row],[ShiftCounter]]&gt;0, "Running", "Down")</f>
        <v>Running</v>
      </c>
    </row>
    <row r="546" spans="1:5" x14ac:dyDescent="0.25">
      <c r="A546" s="8">
        <v>44717</v>
      </c>
      <c r="B546" t="s">
        <v>31</v>
      </c>
      <c r="C546">
        <v>2069</v>
      </c>
      <c r="D546" t="s">
        <v>7</v>
      </c>
      <c r="E546" t="str">
        <f>IF(june[[#This Row],[ShiftCounter]]&gt;0, "Running", "Down")</f>
        <v>Running</v>
      </c>
    </row>
    <row r="547" spans="1:5" x14ac:dyDescent="0.25">
      <c r="A547" s="8">
        <v>44717</v>
      </c>
      <c r="B547" t="s">
        <v>31</v>
      </c>
      <c r="C547">
        <v>1832</v>
      </c>
      <c r="D547" t="s">
        <v>8</v>
      </c>
      <c r="E547" t="str">
        <f>IF(june[[#This Row],[ShiftCounter]]&gt;0, "Running", "Down")</f>
        <v>Running</v>
      </c>
    </row>
    <row r="548" spans="1:5" x14ac:dyDescent="0.25">
      <c r="A548" s="8">
        <v>44717</v>
      </c>
      <c r="B548" t="s">
        <v>32</v>
      </c>
      <c r="C548">
        <v>2241</v>
      </c>
      <c r="D548" t="s">
        <v>6</v>
      </c>
      <c r="E548" t="str">
        <f>IF(june[[#This Row],[ShiftCounter]]&gt;0, "Running", "Down")</f>
        <v>Running</v>
      </c>
    </row>
    <row r="549" spans="1:5" x14ac:dyDescent="0.25">
      <c r="A549" s="8">
        <v>44717</v>
      </c>
      <c r="B549" t="s">
        <v>32</v>
      </c>
      <c r="C549">
        <v>2229</v>
      </c>
      <c r="D549" t="s">
        <v>7</v>
      </c>
      <c r="E549" t="str">
        <f>IF(june[[#This Row],[ShiftCounter]]&gt;0, "Running", "Down")</f>
        <v>Running</v>
      </c>
    </row>
    <row r="550" spans="1:5" x14ac:dyDescent="0.25">
      <c r="A550" s="8">
        <v>44717</v>
      </c>
      <c r="B550" t="s">
        <v>32</v>
      </c>
      <c r="C550">
        <v>1975</v>
      </c>
      <c r="D550" t="s">
        <v>8</v>
      </c>
      <c r="E550" t="str">
        <f>IF(june[[#This Row],[ShiftCounter]]&gt;0, "Running", "Down")</f>
        <v>Running</v>
      </c>
    </row>
    <row r="551" spans="1:5" x14ac:dyDescent="0.25">
      <c r="A551" s="8">
        <v>44717</v>
      </c>
      <c r="B551" t="s">
        <v>67</v>
      </c>
      <c r="C551">
        <v>2205</v>
      </c>
      <c r="D551" t="s">
        <v>6</v>
      </c>
      <c r="E551" t="str">
        <f>IF(june[[#This Row],[ShiftCounter]]&gt;0, "Running", "Down")</f>
        <v>Running</v>
      </c>
    </row>
    <row r="552" spans="1:5" x14ac:dyDescent="0.25">
      <c r="A552" s="8">
        <v>44717</v>
      </c>
      <c r="B552" t="s">
        <v>67</v>
      </c>
      <c r="C552">
        <v>2123</v>
      </c>
      <c r="D552" t="s">
        <v>7</v>
      </c>
      <c r="E552" t="str">
        <f>IF(june[[#This Row],[ShiftCounter]]&gt;0, "Running", "Down")</f>
        <v>Running</v>
      </c>
    </row>
    <row r="553" spans="1:5" x14ac:dyDescent="0.25">
      <c r="A553" s="8">
        <v>44717</v>
      </c>
      <c r="B553" t="s">
        <v>67</v>
      </c>
      <c r="C553">
        <v>1900</v>
      </c>
      <c r="D553" t="s">
        <v>8</v>
      </c>
      <c r="E553" t="str">
        <f>IF(june[[#This Row],[ShiftCounter]]&gt;0, "Running", "Down")</f>
        <v>Running</v>
      </c>
    </row>
    <row r="554" spans="1:5" x14ac:dyDescent="0.25">
      <c r="A554" s="8">
        <v>44717</v>
      </c>
      <c r="B554" t="s">
        <v>33</v>
      </c>
      <c r="C554">
        <v>2498</v>
      </c>
      <c r="D554" t="s">
        <v>6</v>
      </c>
      <c r="E554" t="str">
        <f>IF(june[[#This Row],[ShiftCounter]]&gt;0, "Running", "Down")</f>
        <v>Running</v>
      </c>
    </row>
    <row r="555" spans="1:5" x14ac:dyDescent="0.25">
      <c r="A555" s="8">
        <v>44717</v>
      </c>
      <c r="B555" t="s">
        <v>33</v>
      </c>
      <c r="C555">
        <v>2370</v>
      </c>
      <c r="D555" t="s">
        <v>7</v>
      </c>
      <c r="E555" t="str">
        <f>IF(june[[#This Row],[ShiftCounter]]&gt;0, "Running", "Down")</f>
        <v>Running</v>
      </c>
    </row>
    <row r="556" spans="1:5" x14ac:dyDescent="0.25">
      <c r="A556" s="8">
        <v>44717</v>
      </c>
      <c r="B556" t="s">
        <v>33</v>
      </c>
      <c r="C556">
        <v>2202</v>
      </c>
      <c r="D556" t="s">
        <v>8</v>
      </c>
      <c r="E556" t="str">
        <f>IF(june[[#This Row],[ShiftCounter]]&gt;0, "Running", "Down")</f>
        <v>Running</v>
      </c>
    </row>
    <row r="557" spans="1:5" x14ac:dyDescent="0.25">
      <c r="A557" s="8">
        <v>44717</v>
      </c>
      <c r="B557" t="s">
        <v>34</v>
      </c>
      <c r="C557">
        <v>2050</v>
      </c>
      <c r="D557" t="s">
        <v>6</v>
      </c>
      <c r="E557" t="str">
        <f>IF(june[[#This Row],[ShiftCounter]]&gt;0, "Running", "Down")</f>
        <v>Running</v>
      </c>
    </row>
    <row r="558" spans="1:5" x14ac:dyDescent="0.25">
      <c r="A558" s="8">
        <v>44717</v>
      </c>
      <c r="B558" t="s">
        <v>34</v>
      </c>
      <c r="C558">
        <v>2007</v>
      </c>
      <c r="D558" t="s">
        <v>7</v>
      </c>
      <c r="E558" t="str">
        <f>IF(june[[#This Row],[ShiftCounter]]&gt;0, "Running", "Down")</f>
        <v>Running</v>
      </c>
    </row>
    <row r="559" spans="1:5" x14ac:dyDescent="0.25">
      <c r="A559" s="8">
        <v>44717</v>
      </c>
      <c r="B559" t="s">
        <v>34</v>
      </c>
      <c r="C559">
        <v>2000</v>
      </c>
      <c r="D559" t="s">
        <v>8</v>
      </c>
      <c r="E559" t="str">
        <f>IF(june[[#This Row],[ShiftCounter]]&gt;0, "Running", "Down")</f>
        <v>Running</v>
      </c>
    </row>
    <row r="560" spans="1:5" x14ac:dyDescent="0.25">
      <c r="A560" s="8">
        <v>44717</v>
      </c>
      <c r="B560" t="s">
        <v>35</v>
      </c>
      <c r="C560">
        <v>2150</v>
      </c>
      <c r="D560" t="s">
        <v>6</v>
      </c>
      <c r="E560" t="str">
        <f>IF(june[[#This Row],[ShiftCounter]]&gt;0, "Running", "Down")</f>
        <v>Running</v>
      </c>
    </row>
    <row r="561" spans="1:5" x14ac:dyDescent="0.25">
      <c r="A561" s="8">
        <v>44717</v>
      </c>
      <c r="B561" t="s">
        <v>35</v>
      </c>
      <c r="C561">
        <v>2105</v>
      </c>
      <c r="D561" t="s">
        <v>7</v>
      </c>
      <c r="E561" t="str">
        <f>IF(june[[#This Row],[ShiftCounter]]&gt;0, "Running", "Down")</f>
        <v>Running</v>
      </c>
    </row>
    <row r="562" spans="1:5" x14ac:dyDescent="0.25">
      <c r="A562" s="8">
        <v>44717</v>
      </c>
      <c r="B562" t="s">
        <v>35</v>
      </c>
      <c r="C562">
        <v>2193</v>
      </c>
      <c r="D562" t="s">
        <v>8</v>
      </c>
      <c r="E562" t="str">
        <f>IF(june[[#This Row],[ShiftCounter]]&gt;0, "Running", "Down")</f>
        <v>Running</v>
      </c>
    </row>
    <row r="563" spans="1:5" x14ac:dyDescent="0.25">
      <c r="A563" s="8">
        <v>44717</v>
      </c>
      <c r="B563" t="s">
        <v>36</v>
      </c>
      <c r="C563">
        <v>2410</v>
      </c>
      <c r="D563" t="s">
        <v>6</v>
      </c>
      <c r="E563" t="str">
        <f>IF(june[[#This Row],[ShiftCounter]]&gt;0, "Running", "Down")</f>
        <v>Running</v>
      </c>
    </row>
    <row r="564" spans="1:5" x14ac:dyDescent="0.25">
      <c r="A564" s="8">
        <v>44717</v>
      </c>
      <c r="B564" t="s">
        <v>36</v>
      </c>
      <c r="C564">
        <v>2291</v>
      </c>
      <c r="D564" t="s">
        <v>7</v>
      </c>
      <c r="E564" t="str">
        <f>IF(june[[#This Row],[ShiftCounter]]&gt;0, "Running", "Down")</f>
        <v>Running</v>
      </c>
    </row>
    <row r="565" spans="1:5" x14ac:dyDescent="0.25">
      <c r="A565" s="8">
        <v>44717</v>
      </c>
      <c r="B565" t="s">
        <v>36</v>
      </c>
      <c r="C565">
        <v>2209</v>
      </c>
      <c r="D565" t="s">
        <v>8</v>
      </c>
      <c r="E565" t="str">
        <f>IF(june[[#This Row],[ShiftCounter]]&gt;0, "Running", "Down")</f>
        <v>Running</v>
      </c>
    </row>
    <row r="566" spans="1:5" x14ac:dyDescent="0.25">
      <c r="A566" s="8">
        <v>44717</v>
      </c>
      <c r="B566" t="s">
        <v>37</v>
      </c>
      <c r="C566">
        <v>2305</v>
      </c>
      <c r="D566" t="s">
        <v>6</v>
      </c>
      <c r="E566" t="str">
        <f>IF(june[[#This Row],[ShiftCounter]]&gt;0, "Running", "Down")</f>
        <v>Running</v>
      </c>
    </row>
    <row r="567" spans="1:5" x14ac:dyDescent="0.25">
      <c r="A567" s="8">
        <v>44717</v>
      </c>
      <c r="B567" t="s">
        <v>37</v>
      </c>
      <c r="C567">
        <v>2239</v>
      </c>
      <c r="D567" t="s">
        <v>7</v>
      </c>
      <c r="E567" t="str">
        <f>IF(june[[#This Row],[ShiftCounter]]&gt;0, "Running", "Down")</f>
        <v>Running</v>
      </c>
    </row>
    <row r="568" spans="1:5" x14ac:dyDescent="0.25">
      <c r="A568" s="8">
        <v>44717</v>
      </c>
      <c r="B568" t="s">
        <v>37</v>
      </c>
      <c r="C568">
        <v>2216</v>
      </c>
      <c r="D568" t="s">
        <v>8</v>
      </c>
      <c r="E568" t="str">
        <f>IF(june[[#This Row],[ShiftCounter]]&gt;0, "Running", "Down")</f>
        <v>Running</v>
      </c>
    </row>
    <row r="569" spans="1:5" x14ac:dyDescent="0.25">
      <c r="A569" s="8">
        <v>44718</v>
      </c>
      <c r="B569" t="s">
        <v>135</v>
      </c>
      <c r="C569">
        <v>1982</v>
      </c>
      <c r="D569" t="s">
        <v>6</v>
      </c>
      <c r="E569" t="str">
        <f>IF(june[[#This Row],[ShiftCounter]]&gt;0, "Running", "Down")</f>
        <v>Running</v>
      </c>
    </row>
    <row r="570" spans="1:5" x14ac:dyDescent="0.25">
      <c r="A570" s="8">
        <v>44718</v>
      </c>
      <c r="B570" t="s">
        <v>135</v>
      </c>
      <c r="C570">
        <v>2017</v>
      </c>
      <c r="D570" t="s">
        <v>7</v>
      </c>
      <c r="E570" t="str">
        <f>IF(june[[#This Row],[ShiftCounter]]&gt;0, "Running", "Down")</f>
        <v>Running</v>
      </c>
    </row>
    <row r="571" spans="1:5" x14ac:dyDescent="0.25">
      <c r="A571" s="8">
        <v>44718</v>
      </c>
      <c r="B571" t="s">
        <v>135</v>
      </c>
      <c r="C571">
        <v>1967</v>
      </c>
      <c r="D571" t="s">
        <v>8</v>
      </c>
      <c r="E571" t="str">
        <f>IF(june[[#This Row],[ShiftCounter]]&gt;0, "Running", "Down")</f>
        <v>Running</v>
      </c>
    </row>
    <row r="572" spans="1:5" x14ac:dyDescent="0.25">
      <c r="A572" s="8">
        <v>44718</v>
      </c>
      <c r="B572" t="s">
        <v>40</v>
      </c>
      <c r="C572">
        <v>2472</v>
      </c>
      <c r="D572" t="s">
        <v>6</v>
      </c>
      <c r="E572" t="str">
        <f>IF(june[[#This Row],[ShiftCounter]]&gt;0, "Running", "Down")</f>
        <v>Running</v>
      </c>
    </row>
    <row r="573" spans="1:5" x14ac:dyDescent="0.25">
      <c r="A573" s="8">
        <v>44718</v>
      </c>
      <c r="B573" t="s">
        <v>40</v>
      </c>
      <c r="C573">
        <v>2249</v>
      </c>
      <c r="D573" t="s">
        <v>7</v>
      </c>
      <c r="E573" t="str">
        <f>IF(june[[#This Row],[ShiftCounter]]&gt;0, "Running", "Down")</f>
        <v>Running</v>
      </c>
    </row>
    <row r="574" spans="1:5" x14ac:dyDescent="0.25">
      <c r="A574" s="8">
        <v>44718</v>
      </c>
      <c r="B574" t="s">
        <v>40</v>
      </c>
      <c r="C574">
        <v>2218</v>
      </c>
      <c r="D574" t="s">
        <v>8</v>
      </c>
      <c r="E574" t="str">
        <f>IF(june[[#This Row],[ShiftCounter]]&gt;0, "Running", "Down")</f>
        <v>Running</v>
      </c>
    </row>
    <row r="575" spans="1:5" x14ac:dyDescent="0.25">
      <c r="A575" s="8">
        <v>44718</v>
      </c>
      <c r="B575" t="s">
        <v>39</v>
      </c>
      <c r="C575">
        <v>1785</v>
      </c>
      <c r="D575" t="s">
        <v>6</v>
      </c>
      <c r="E575" t="str">
        <f>IF(june[[#This Row],[ShiftCounter]]&gt;0, "Running", "Down")</f>
        <v>Running</v>
      </c>
    </row>
    <row r="576" spans="1:5" x14ac:dyDescent="0.25">
      <c r="A576" s="8">
        <v>44718</v>
      </c>
      <c r="B576" t="s">
        <v>39</v>
      </c>
      <c r="C576">
        <v>1960</v>
      </c>
      <c r="D576" t="s">
        <v>7</v>
      </c>
      <c r="E576" t="str">
        <f>IF(june[[#This Row],[ShiftCounter]]&gt;0, "Running", "Down")</f>
        <v>Running</v>
      </c>
    </row>
    <row r="577" spans="1:5" x14ac:dyDescent="0.25">
      <c r="A577" s="8">
        <v>44718</v>
      </c>
      <c r="B577" t="s">
        <v>39</v>
      </c>
      <c r="C577">
        <v>1941</v>
      </c>
      <c r="D577" t="s">
        <v>8</v>
      </c>
      <c r="E577" t="str">
        <f>IF(june[[#This Row],[ShiftCounter]]&gt;0, "Running", "Down")</f>
        <v>Running</v>
      </c>
    </row>
    <row r="578" spans="1:5" x14ac:dyDescent="0.25">
      <c r="A578" s="8">
        <v>44718</v>
      </c>
      <c r="B578" t="s">
        <v>41</v>
      </c>
      <c r="C578">
        <v>2250</v>
      </c>
      <c r="D578" t="s">
        <v>6</v>
      </c>
      <c r="E578" t="str">
        <f>IF(june[[#This Row],[ShiftCounter]]&gt;0, "Running", "Down")</f>
        <v>Running</v>
      </c>
    </row>
    <row r="579" spans="1:5" x14ac:dyDescent="0.25">
      <c r="A579" s="8">
        <v>44718</v>
      </c>
      <c r="B579" t="s">
        <v>41</v>
      </c>
      <c r="C579">
        <v>2252</v>
      </c>
      <c r="D579" t="s">
        <v>7</v>
      </c>
      <c r="E579" t="str">
        <f>IF(june[[#This Row],[ShiftCounter]]&gt;0, "Running", "Down")</f>
        <v>Running</v>
      </c>
    </row>
    <row r="580" spans="1:5" x14ac:dyDescent="0.25">
      <c r="A580" s="8">
        <v>44718</v>
      </c>
      <c r="B580" t="s">
        <v>41</v>
      </c>
      <c r="C580">
        <v>2216</v>
      </c>
      <c r="D580" t="s">
        <v>8</v>
      </c>
      <c r="E580" t="str">
        <f>IF(june[[#This Row],[ShiftCounter]]&gt;0, "Running", "Down")</f>
        <v>Running</v>
      </c>
    </row>
    <row r="581" spans="1:5" x14ac:dyDescent="0.25">
      <c r="A581" s="8">
        <v>44718</v>
      </c>
      <c r="B581" t="s">
        <v>5</v>
      </c>
      <c r="C581">
        <v>2367</v>
      </c>
      <c r="D581" t="s">
        <v>6</v>
      </c>
      <c r="E581" t="str">
        <f>IF(june[[#This Row],[ShiftCounter]]&gt;0, "Running", "Down")</f>
        <v>Running</v>
      </c>
    </row>
    <row r="582" spans="1:5" x14ac:dyDescent="0.25">
      <c r="A582" s="8">
        <v>44718</v>
      </c>
      <c r="B582" t="s">
        <v>5</v>
      </c>
      <c r="C582">
        <v>2233</v>
      </c>
      <c r="D582" t="s">
        <v>7</v>
      </c>
      <c r="E582" t="str">
        <f>IF(june[[#This Row],[ShiftCounter]]&gt;0, "Running", "Down")</f>
        <v>Running</v>
      </c>
    </row>
    <row r="583" spans="1:5" x14ac:dyDescent="0.25">
      <c r="A583" s="8">
        <v>44718</v>
      </c>
      <c r="B583" t="s">
        <v>5</v>
      </c>
      <c r="C583">
        <v>2193</v>
      </c>
      <c r="D583" t="s">
        <v>8</v>
      </c>
      <c r="E583" t="str">
        <f>IF(june[[#This Row],[ShiftCounter]]&gt;0, "Running", "Down")</f>
        <v>Running</v>
      </c>
    </row>
    <row r="584" spans="1:5" x14ac:dyDescent="0.25">
      <c r="A584" s="8">
        <v>44718</v>
      </c>
      <c r="B584" t="s">
        <v>9</v>
      </c>
      <c r="C584">
        <v>2480</v>
      </c>
      <c r="D584" t="s">
        <v>6</v>
      </c>
      <c r="E584" t="str">
        <f>IF(june[[#This Row],[ShiftCounter]]&gt;0, "Running", "Down")</f>
        <v>Running</v>
      </c>
    </row>
    <row r="585" spans="1:5" x14ac:dyDescent="0.25">
      <c r="A585" s="8">
        <v>44718</v>
      </c>
      <c r="B585" t="s">
        <v>9</v>
      </c>
      <c r="C585">
        <v>2260</v>
      </c>
      <c r="D585" t="s">
        <v>7</v>
      </c>
      <c r="E585" t="str">
        <f>IF(june[[#This Row],[ShiftCounter]]&gt;0, "Running", "Down")</f>
        <v>Running</v>
      </c>
    </row>
    <row r="586" spans="1:5" x14ac:dyDescent="0.25">
      <c r="A586" s="8">
        <v>44718</v>
      </c>
      <c r="B586" t="s">
        <v>9</v>
      </c>
      <c r="C586">
        <v>2204</v>
      </c>
      <c r="D586" t="s">
        <v>8</v>
      </c>
      <c r="E586" t="str">
        <f>IF(june[[#This Row],[ShiftCounter]]&gt;0, "Running", "Down")</f>
        <v>Running</v>
      </c>
    </row>
    <row r="587" spans="1:5" x14ac:dyDescent="0.25">
      <c r="A587" s="8">
        <v>44718</v>
      </c>
      <c r="B587" t="s">
        <v>10</v>
      </c>
      <c r="C587">
        <v>2119</v>
      </c>
      <c r="D587" t="s">
        <v>6</v>
      </c>
      <c r="E587" t="str">
        <f>IF(june[[#This Row],[ShiftCounter]]&gt;0, "Running", "Down")</f>
        <v>Running</v>
      </c>
    </row>
    <row r="588" spans="1:5" x14ac:dyDescent="0.25">
      <c r="A588" s="8">
        <v>44718</v>
      </c>
      <c r="B588" t="s">
        <v>10</v>
      </c>
      <c r="C588">
        <v>2239</v>
      </c>
      <c r="D588" t="s">
        <v>7</v>
      </c>
      <c r="E588" t="str">
        <f>IF(june[[#This Row],[ShiftCounter]]&gt;0, "Running", "Down")</f>
        <v>Running</v>
      </c>
    </row>
    <row r="589" spans="1:5" x14ac:dyDescent="0.25">
      <c r="A589" s="8">
        <v>44718</v>
      </c>
      <c r="B589" t="s">
        <v>10</v>
      </c>
      <c r="C589">
        <v>2150</v>
      </c>
      <c r="D589" t="s">
        <v>8</v>
      </c>
      <c r="E589" t="str">
        <f>IF(june[[#This Row],[ShiftCounter]]&gt;0, "Running", "Down")</f>
        <v>Running</v>
      </c>
    </row>
    <row r="590" spans="1:5" x14ac:dyDescent="0.25">
      <c r="A590" s="8">
        <v>44718</v>
      </c>
      <c r="B590" t="s">
        <v>11</v>
      </c>
      <c r="C590">
        <v>0</v>
      </c>
      <c r="D590" t="s">
        <v>6</v>
      </c>
      <c r="E590" t="str">
        <f>IF(june[[#This Row],[ShiftCounter]]&gt;0, "Running", "Down")</f>
        <v>Down</v>
      </c>
    </row>
    <row r="591" spans="1:5" x14ac:dyDescent="0.25">
      <c r="A591" s="8">
        <v>44718</v>
      </c>
      <c r="B591" t="s">
        <v>11</v>
      </c>
      <c r="C591">
        <v>1716</v>
      </c>
      <c r="D591" t="s">
        <v>7</v>
      </c>
      <c r="E591" t="str">
        <f>IF(june[[#This Row],[ShiftCounter]]&gt;0, "Running", "Down")</f>
        <v>Running</v>
      </c>
    </row>
    <row r="592" spans="1:5" x14ac:dyDescent="0.25">
      <c r="A592" s="8">
        <v>44718</v>
      </c>
      <c r="B592" t="s">
        <v>11</v>
      </c>
      <c r="C592">
        <v>2043</v>
      </c>
      <c r="D592" t="s">
        <v>8</v>
      </c>
      <c r="E592" t="str">
        <f>IF(june[[#This Row],[ShiftCounter]]&gt;0, "Running", "Down")</f>
        <v>Running</v>
      </c>
    </row>
    <row r="593" spans="1:5" x14ac:dyDescent="0.25">
      <c r="A593" s="8">
        <v>44718</v>
      </c>
      <c r="B593" t="s">
        <v>12</v>
      </c>
      <c r="C593">
        <v>2326</v>
      </c>
      <c r="D593" t="s">
        <v>6</v>
      </c>
      <c r="E593" t="str">
        <f>IF(june[[#This Row],[ShiftCounter]]&gt;0, "Running", "Down")</f>
        <v>Running</v>
      </c>
    </row>
    <row r="594" spans="1:5" x14ac:dyDescent="0.25">
      <c r="A594" s="8">
        <v>44718</v>
      </c>
      <c r="B594" t="s">
        <v>12</v>
      </c>
      <c r="C594">
        <v>2287</v>
      </c>
      <c r="D594" t="s">
        <v>7</v>
      </c>
      <c r="E594" t="str">
        <f>IF(june[[#This Row],[ShiftCounter]]&gt;0, "Running", "Down")</f>
        <v>Running</v>
      </c>
    </row>
    <row r="595" spans="1:5" x14ac:dyDescent="0.25">
      <c r="A595" s="8">
        <v>44718</v>
      </c>
      <c r="B595" t="s">
        <v>12</v>
      </c>
      <c r="C595">
        <v>2051</v>
      </c>
      <c r="D595" t="s">
        <v>8</v>
      </c>
      <c r="E595" t="str">
        <f>IF(june[[#This Row],[ShiftCounter]]&gt;0, "Running", "Down")</f>
        <v>Running</v>
      </c>
    </row>
    <row r="596" spans="1:5" x14ac:dyDescent="0.25">
      <c r="A596" s="8">
        <v>44718</v>
      </c>
      <c r="B596" t="s">
        <v>13</v>
      </c>
      <c r="C596">
        <v>2229</v>
      </c>
      <c r="D596" t="s">
        <v>6</v>
      </c>
      <c r="E596" t="str">
        <f>IF(june[[#This Row],[ShiftCounter]]&gt;0, "Running", "Down")</f>
        <v>Running</v>
      </c>
    </row>
    <row r="597" spans="1:5" x14ac:dyDescent="0.25">
      <c r="A597" s="8">
        <v>44718</v>
      </c>
      <c r="B597" t="s">
        <v>13</v>
      </c>
      <c r="C597">
        <v>2015</v>
      </c>
      <c r="D597" t="s">
        <v>7</v>
      </c>
      <c r="E597" t="str">
        <f>IF(june[[#This Row],[ShiftCounter]]&gt;0, "Running", "Down")</f>
        <v>Running</v>
      </c>
    </row>
    <row r="598" spans="1:5" x14ac:dyDescent="0.25">
      <c r="A598" s="8">
        <v>44718</v>
      </c>
      <c r="B598" t="s">
        <v>13</v>
      </c>
      <c r="C598">
        <v>1893</v>
      </c>
      <c r="D598" t="s">
        <v>8</v>
      </c>
      <c r="E598" t="str">
        <f>IF(june[[#This Row],[ShiftCounter]]&gt;0, "Running", "Down")</f>
        <v>Running</v>
      </c>
    </row>
    <row r="599" spans="1:5" x14ac:dyDescent="0.25">
      <c r="A599" s="8">
        <v>44718</v>
      </c>
      <c r="B599" t="s">
        <v>101</v>
      </c>
      <c r="C599">
        <v>2142</v>
      </c>
      <c r="D599" t="s">
        <v>6</v>
      </c>
      <c r="E599" t="str">
        <f>IF(june[[#This Row],[ShiftCounter]]&gt;0, "Running", "Down")</f>
        <v>Running</v>
      </c>
    </row>
    <row r="600" spans="1:5" x14ac:dyDescent="0.25">
      <c r="A600" s="8">
        <v>44718</v>
      </c>
      <c r="B600" t="s">
        <v>101</v>
      </c>
      <c r="C600">
        <v>1942</v>
      </c>
      <c r="D600" t="s">
        <v>7</v>
      </c>
      <c r="E600" t="str">
        <f>IF(june[[#This Row],[ShiftCounter]]&gt;0, "Running", "Down")</f>
        <v>Running</v>
      </c>
    </row>
    <row r="601" spans="1:5" x14ac:dyDescent="0.25">
      <c r="A601" s="8">
        <v>44718</v>
      </c>
      <c r="B601" t="s">
        <v>101</v>
      </c>
      <c r="C601">
        <v>1837</v>
      </c>
      <c r="D601" t="s">
        <v>8</v>
      </c>
      <c r="E601" t="str">
        <f>IF(june[[#This Row],[ShiftCounter]]&gt;0, "Running", "Down")</f>
        <v>Running</v>
      </c>
    </row>
    <row r="602" spans="1:5" x14ac:dyDescent="0.25">
      <c r="A602" s="8">
        <v>44718</v>
      </c>
      <c r="B602" t="s">
        <v>14</v>
      </c>
      <c r="C602">
        <v>2482</v>
      </c>
      <c r="D602" t="s">
        <v>6</v>
      </c>
      <c r="E602" t="str">
        <f>IF(june[[#This Row],[ShiftCounter]]&gt;0, "Running", "Down")</f>
        <v>Running</v>
      </c>
    </row>
    <row r="603" spans="1:5" x14ac:dyDescent="0.25">
      <c r="A603" s="8">
        <v>44718</v>
      </c>
      <c r="B603" t="s">
        <v>14</v>
      </c>
      <c r="C603">
        <v>2320</v>
      </c>
      <c r="D603" t="s">
        <v>7</v>
      </c>
      <c r="E603" t="str">
        <f>IF(june[[#This Row],[ShiftCounter]]&gt;0, "Running", "Down")</f>
        <v>Running</v>
      </c>
    </row>
    <row r="604" spans="1:5" x14ac:dyDescent="0.25">
      <c r="A604" s="8">
        <v>44718</v>
      </c>
      <c r="B604" t="s">
        <v>14</v>
      </c>
      <c r="C604">
        <v>2207</v>
      </c>
      <c r="D604" t="s">
        <v>8</v>
      </c>
      <c r="E604" t="str">
        <f>IF(june[[#This Row],[ShiftCounter]]&gt;0, "Running", "Down")</f>
        <v>Running</v>
      </c>
    </row>
    <row r="605" spans="1:5" x14ac:dyDescent="0.25">
      <c r="A605" s="8">
        <v>44718</v>
      </c>
      <c r="B605" t="s">
        <v>15</v>
      </c>
      <c r="C605">
        <v>2155</v>
      </c>
      <c r="D605" t="s">
        <v>6</v>
      </c>
      <c r="E605" t="str">
        <f>IF(june[[#This Row],[ShiftCounter]]&gt;0, "Running", "Down")</f>
        <v>Running</v>
      </c>
    </row>
    <row r="606" spans="1:5" x14ac:dyDescent="0.25">
      <c r="A606" s="8">
        <v>44718</v>
      </c>
      <c r="B606" t="s">
        <v>15</v>
      </c>
      <c r="C606">
        <v>1982</v>
      </c>
      <c r="D606" t="s">
        <v>7</v>
      </c>
      <c r="E606" t="str">
        <f>IF(june[[#This Row],[ShiftCounter]]&gt;0, "Running", "Down")</f>
        <v>Running</v>
      </c>
    </row>
    <row r="607" spans="1:5" x14ac:dyDescent="0.25">
      <c r="A607" s="8">
        <v>44718</v>
      </c>
      <c r="B607" t="s">
        <v>15</v>
      </c>
      <c r="C607">
        <v>1838</v>
      </c>
      <c r="D607" t="s">
        <v>8</v>
      </c>
      <c r="E607" t="str">
        <f>IF(june[[#This Row],[ShiftCounter]]&gt;0, "Running", "Down")</f>
        <v>Running</v>
      </c>
    </row>
    <row r="608" spans="1:5" x14ac:dyDescent="0.25">
      <c r="A608" s="8">
        <v>44718</v>
      </c>
      <c r="B608" t="s">
        <v>16</v>
      </c>
      <c r="C608">
        <v>2252</v>
      </c>
      <c r="D608" t="s">
        <v>6</v>
      </c>
      <c r="E608" t="str">
        <f>IF(june[[#This Row],[ShiftCounter]]&gt;0, "Running", "Down")</f>
        <v>Running</v>
      </c>
    </row>
    <row r="609" spans="1:5" x14ac:dyDescent="0.25">
      <c r="A609" s="8">
        <v>44718</v>
      </c>
      <c r="B609" t="s">
        <v>16</v>
      </c>
      <c r="C609">
        <v>2049</v>
      </c>
      <c r="D609" t="s">
        <v>7</v>
      </c>
      <c r="E609" t="str">
        <f>IF(june[[#This Row],[ShiftCounter]]&gt;0, "Running", "Down")</f>
        <v>Running</v>
      </c>
    </row>
    <row r="610" spans="1:5" x14ac:dyDescent="0.25">
      <c r="A610" s="8">
        <v>44718</v>
      </c>
      <c r="B610" t="s">
        <v>16</v>
      </c>
      <c r="C610">
        <v>1874</v>
      </c>
      <c r="D610" t="s">
        <v>8</v>
      </c>
      <c r="E610" t="str">
        <f>IF(june[[#This Row],[ShiftCounter]]&gt;0, "Running", "Down")</f>
        <v>Running</v>
      </c>
    </row>
    <row r="611" spans="1:5" x14ac:dyDescent="0.25">
      <c r="A611" s="8">
        <v>44718</v>
      </c>
      <c r="B611" t="s">
        <v>17</v>
      </c>
      <c r="C611">
        <v>2396</v>
      </c>
      <c r="D611" t="s">
        <v>6</v>
      </c>
      <c r="E611" t="str">
        <f>IF(june[[#This Row],[ShiftCounter]]&gt;0, "Running", "Down")</f>
        <v>Running</v>
      </c>
    </row>
    <row r="612" spans="1:5" x14ac:dyDescent="0.25">
      <c r="A612" s="8">
        <v>44718</v>
      </c>
      <c r="B612" t="s">
        <v>17</v>
      </c>
      <c r="C612">
        <v>2252</v>
      </c>
      <c r="D612" t="s">
        <v>7</v>
      </c>
      <c r="E612" t="str">
        <f>IF(june[[#This Row],[ShiftCounter]]&gt;0, "Running", "Down")</f>
        <v>Running</v>
      </c>
    </row>
    <row r="613" spans="1:5" x14ac:dyDescent="0.25">
      <c r="A613" s="8">
        <v>44718</v>
      </c>
      <c r="B613" t="s">
        <v>17</v>
      </c>
      <c r="C613">
        <v>2100</v>
      </c>
      <c r="D613" t="s">
        <v>8</v>
      </c>
      <c r="E613" t="str">
        <f>IF(june[[#This Row],[ShiftCounter]]&gt;0, "Running", "Down")</f>
        <v>Running</v>
      </c>
    </row>
    <row r="614" spans="1:5" x14ac:dyDescent="0.25">
      <c r="A614" s="8">
        <v>44718</v>
      </c>
      <c r="B614" t="s">
        <v>19</v>
      </c>
      <c r="C614">
        <v>1224</v>
      </c>
      <c r="D614" t="s">
        <v>6</v>
      </c>
      <c r="E614" t="str">
        <f>IF(june[[#This Row],[ShiftCounter]]&gt;0, "Running", "Down")</f>
        <v>Running</v>
      </c>
    </row>
    <row r="615" spans="1:5" x14ac:dyDescent="0.25">
      <c r="A615" s="8">
        <v>44718</v>
      </c>
      <c r="B615" t="s">
        <v>19</v>
      </c>
      <c r="C615">
        <v>1827</v>
      </c>
      <c r="D615" t="s">
        <v>7</v>
      </c>
      <c r="E615" t="str">
        <f>IF(june[[#This Row],[ShiftCounter]]&gt;0, "Running", "Down")</f>
        <v>Running</v>
      </c>
    </row>
    <row r="616" spans="1:5" x14ac:dyDescent="0.25">
      <c r="A616" s="8">
        <v>44718</v>
      </c>
      <c r="B616" t="s">
        <v>19</v>
      </c>
      <c r="C616">
        <v>1430</v>
      </c>
      <c r="D616" t="s">
        <v>8</v>
      </c>
      <c r="E616" t="str">
        <f>IF(june[[#This Row],[ShiftCounter]]&gt;0, "Running", "Down")</f>
        <v>Running</v>
      </c>
    </row>
    <row r="617" spans="1:5" x14ac:dyDescent="0.25">
      <c r="A617" s="8">
        <v>44718</v>
      </c>
      <c r="B617" t="s">
        <v>18</v>
      </c>
      <c r="C617">
        <v>2233</v>
      </c>
      <c r="D617" t="s">
        <v>6</v>
      </c>
      <c r="E617" t="str">
        <f>IF(june[[#This Row],[ShiftCounter]]&gt;0, "Running", "Down")</f>
        <v>Running</v>
      </c>
    </row>
    <row r="618" spans="1:5" x14ac:dyDescent="0.25">
      <c r="A618" s="8">
        <v>44718</v>
      </c>
      <c r="B618" t="s">
        <v>18</v>
      </c>
      <c r="C618">
        <v>2322</v>
      </c>
      <c r="D618" t="s">
        <v>7</v>
      </c>
      <c r="E618" t="str">
        <f>IF(june[[#This Row],[ShiftCounter]]&gt;0, "Running", "Down")</f>
        <v>Running</v>
      </c>
    </row>
    <row r="619" spans="1:5" x14ac:dyDescent="0.25">
      <c r="A619" s="8">
        <v>44718</v>
      </c>
      <c r="B619" t="s">
        <v>18</v>
      </c>
      <c r="C619">
        <v>1950</v>
      </c>
      <c r="D619" t="s">
        <v>8</v>
      </c>
      <c r="E619" t="str">
        <f>IF(june[[#This Row],[ShiftCounter]]&gt;0, "Running", "Down")</f>
        <v>Running</v>
      </c>
    </row>
    <row r="620" spans="1:5" x14ac:dyDescent="0.25">
      <c r="A620" s="8">
        <v>44718</v>
      </c>
      <c r="B620" t="s">
        <v>42</v>
      </c>
      <c r="C620">
        <v>0</v>
      </c>
      <c r="D620" t="s">
        <v>6</v>
      </c>
      <c r="E620" t="str">
        <f>IF(june[[#This Row],[ShiftCounter]]&gt;0, "Running", "Down")</f>
        <v>Down</v>
      </c>
    </row>
    <row r="621" spans="1:5" x14ac:dyDescent="0.25">
      <c r="A621" s="8">
        <v>44718</v>
      </c>
      <c r="B621" t="s">
        <v>42</v>
      </c>
      <c r="C621">
        <v>0</v>
      </c>
      <c r="D621" t="s">
        <v>7</v>
      </c>
      <c r="E621" t="str">
        <f>IF(june[[#This Row],[ShiftCounter]]&gt;0, "Running", "Down")</f>
        <v>Down</v>
      </c>
    </row>
    <row r="622" spans="1:5" x14ac:dyDescent="0.25">
      <c r="A622" s="8">
        <v>44718</v>
      </c>
      <c r="B622" t="s">
        <v>42</v>
      </c>
      <c r="C622">
        <v>0</v>
      </c>
      <c r="D622" t="s">
        <v>8</v>
      </c>
      <c r="E622" t="str">
        <f>IF(june[[#This Row],[ShiftCounter]]&gt;0, "Running", "Down")</f>
        <v>Down</v>
      </c>
    </row>
    <row r="623" spans="1:5" x14ac:dyDescent="0.25">
      <c r="A623" s="8">
        <v>44718</v>
      </c>
      <c r="B623" t="s">
        <v>38</v>
      </c>
      <c r="C623">
        <v>2184</v>
      </c>
      <c r="D623" t="s">
        <v>6</v>
      </c>
      <c r="E623" t="str">
        <f>IF(june[[#This Row],[ShiftCounter]]&gt;0, "Running", "Down")</f>
        <v>Running</v>
      </c>
    </row>
    <row r="624" spans="1:5" x14ac:dyDescent="0.25">
      <c r="A624" s="8">
        <v>44718</v>
      </c>
      <c r="B624" t="s">
        <v>38</v>
      </c>
      <c r="C624">
        <v>2342</v>
      </c>
      <c r="D624" t="s">
        <v>7</v>
      </c>
      <c r="E624" t="str">
        <f>IF(june[[#This Row],[ShiftCounter]]&gt;0, "Running", "Down")</f>
        <v>Running</v>
      </c>
    </row>
    <row r="625" spans="1:5" x14ac:dyDescent="0.25">
      <c r="A625" s="8">
        <v>44718</v>
      </c>
      <c r="B625" t="s">
        <v>38</v>
      </c>
      <c r="C625">
        <v>1985</v>
      </c>
      <c r="D625" t="s">
        <v>8</v>
      </c>
      <c r="E625" t="str">
        <f>IF(june[[#This Row],[ShiftCounter]]&gt;0, "Running", "Down")</f>
        <v>Running</v>
      </c>
    </row>
    <row r="626" spans="1:5" x14ac:dyDescent="0.25">
      <c r="A626" s="8">
        <v>44718</v>
      </c>
      <c r="B626" t="s">
        <v>20</v>
      </c>
      <c r="C626">
        <v>2235</v>
      </c>
      <c r="D626" t="s">
        <v>6</v>
      </c>
      <c r="E626" t="str">
        <f>IF(june[[#This Row],[ShiftCounter]]&gt;0, "Running", "Down")</f>
        <v>Running</v>
      </c>
    </row>
    <row r="627" spans="1:5" x14ac:dyDescent="0.25">
      <c r="A627" s="8">
        <v>44718</v>
      </c>
      <c r="B627" t="s">
        <v>20</v>
      </c>
      <c r="C627">
        <v>2334</v>
      </c>
      <c r="D627" t="s">
        <v>7</v>
      </c>
      <c r="E627" t="str">
        <f>IF(june[[#This Row],[ShiftCounter]]&gt;0, "Running", "Down")</f>
        <v>Running</v>
      </c>
    </row>
    <row r="628" spans="1:5" x14ac:dyDescent="0.25">
      <c r="A628" s="8">
        <v>44718</v>
      </c>
      <c r="B628" t="s">
        <v>20</v>
      </c>
      <c r="C628">
        <v>1957</v>
      </c>
      <c r="D628" t="s">
        <v>8</v>
      </c>
      <c r="E628" t="str">
        <f>IF(june[[#This Row],[ShiftCounter]]&gt;0, "Running", "Down")</f>
        <v>Running</v>
      </c>
    </row>
    <row r="629" spans="1:5" x14ac:dyDescent="0.25">
      <c r="A629" s="8">
        <v>44718</v>
      </c>
      <c r="B629" t="s">
        <v>21</v>
      </c>
      <c r="C629">
        <v>2013</v>
      </c>
      <c r="D629" t="s">
        <v>6</v>
      </c>
      <c r="E629" t="str">
        <f>IF(june[[#This Row],[ShiftCounter]]&gt;0, "Running", "Down")</f>
        <v>Running</v>
      </c>
    </row>
    <row r="630" spans="1:5" x14ac:dyDescent="0.25">
      <c r="A630" s="8">
        <v>44718</v>
      </c>
      <c r="B630" t="s">
        <v>21</v>
      </c>
      <c r="C630">
        <v>2117</v>
      </c>
      <c r="D630" t="s">
        <v>7</v>
      </c>
      <c r="E630" t="str">
        <f>IF(june[[#This Row],[ShiftCounter]]&gt;0, "Running", "Down")</f>
        <v>Running</v>
      </c>
    </row>
    <row r="631" spans="1:5" x14ac:dyDescent="0.25">
      <c r="A631" s="8">
        <v>44718</v>
      </c>
      <c r="B631" t="s">
        <v>21</v>
      </c>
      <c r="C631">
        <v>1815</v>
      </c>
      <c r="D631" t="s">
        <v>8</v>
      </c>
      <c r="E631" t="str">
        <f>IF(june[[#This Row],[ShiftCounter]]&gt;0, "Running", "Down")</f>
        <v>Running</v>
      </c>
    </row>
    <row r="632" spans="1:5" x14ac:dyDescent="0.25">
      <c r="A632" s="8">
        <v>44718</v>
      </c>
      <c r="B632" t="s">
        <v>22</v>
      </c>
      <c r="C632">
        <v>2040</v>
      </c>
      <c r="D632" t="s">
        <v>6</v>
      </c>
      <c r="E632" t="str">
        <f>IF(june[[#This Row],[ShiftCounter]]&gt;0, "Running", "Down")</f>
        <v>Running</v>
      </c>
    </row>
    <row r="633" spans="1:5" x14ac:dyDescent="0.25">
      <c r="A633" s="8">
        <v>44718</v>
      </c>
      <c r="B633" t="s">
        <v>22</v>
      </c>
      <c r="C633">
        <v>2202</v>
      </c>
      <c r="D633" t="s">
        <v>7</v>
      </c>
      <c r="E633" t="str">
        <f>IF(june[[#This Row],[ShiftCounter]]&gt;0, "Running", "Down")</f>
        <v>Running</v>
      </c>
    </row>
    <row r="634" spans="1:5" x14ac:dyDescent="0.25">
      <c r="A634" s="8">
        <v>44718</v>
      </c>
      <c r="B634" t="s">
        <v>22</v>
      </c>
      <c r="C634">
        <v>1769</v>
      </c>
      <c r="D634" t="s">
        <v>8</v>
      </c>
      <c r="E634" t="str">
        <f>IF(june[[#This Row],[ShiftCounter]]&gt;0, "Running", "Down")</f>
        <v>Running</v>
      </c>
    </row>
    <row r="635" spans="1:5" x14ac:dyDescent="0.25">
      <c r="A635" s="8">
        <v>44718</v>
      </c>
      <c r="B635" t="s">
        <v>23</v>
      </c>
      <c r="C635">
        <v>2247</v>
      </c>
      <c r="D635" t="s">
        <v>6</v>
      </c>
      <c r="E635" t="str">
        <f>IF(june[[#This Row],[ShiftCounter]]&gt;0, "Running", "Down")</f>
        <v>Running</v>
      </c>
    </row>
    <row r="636" spans="1:5" x14ac:dyDescent="0.25">
      <c r="A636" s="8">
        <v>44718</v>
      </c>
      <c r="B636" t="s">
        <v>23</v>
      </c>
      <c r="C636">
        <v>2503</v>
      </c>
      <c r="D636" t="s">
        <v>7</v>
      </c>
      <c r="E636" t="str">
        <f>IF(june[[#This Row],[ShiftCounter]]&gt;0, "Running", "Down")</f>
        <v>Running</v>
      </c>
    </row>
    <row r="637" spans="1:5" x14ac:dyDescent="0.25">
      <c r="A637" s="8">
        <v>44718</v>
      </c>
      <c r="B637" t="s">
        <v>23</v>
      </c>
      <c r="C637">
        <v>2160</v>
      </c>
      <c r="D637" t="s">
        <v>8</v>
      </c>
      <c r="E637" t="str">
        <f>IF(june[[#This Row],[ShiftCounter]]&gt;0, "Running", "Down")</f>
        <v>Running</v>
      </c>
    </row>
    <row r="638" spans="1:5" x14ac:dyDescent="0.25">
      <c r="A638" s="8">
        <v>44718</v>
      </c>
      <c r="B638" t="s">
        <v>24</v>
      </c>
      <c r="C638">
        <v>2097</v>
      </c>
      <c r="D638" t="s">
        <v>6</v>
      </c>
      <c r="E638" t="str">
        <f>IF(june[[#This Row],[ShiftCounter]]&gt;0, "Running", "Down")</f>
        <v>Running</v>
      </c>
    </row>
    <row r="639" spans="1:5" x14ac:dyDescent="0.25">
      <c r="A639" s="8">
        <v>44718</v>
      </c>
      <c r="B639" t="s">
        <v>24</v>
      </c>
      <c r="C639">
        <v>2102</v>
      </c>
      <c r="D639" t="s">
        <v>7</v>
      </c>
      <c r="E639" t="str">
        <f>IF(june[[#This Row],[ShiftCounter]]&gt;0, "Running", "Down")</f>
        <v>Running</v>
      </c>
    </row>
    <row r="640" spans="1:5" x14ac:dyDescent="0.25">
      <c r="A640" s="8">
        <v>44718</v>
      </c>
      <c r="B640" t="s">
        <v>24</v>
      </c>
      <c r="C640">
        <v>1789</v>
      </c>
      <c r="D640" t="s">
        <v>8</v>
      </c>
      <c r="E640" t="str">
        <f>IF(june[[#This Row],[ShiftCounter]]&gt;0, "Running", "Down")</f>
        <v>Running</v>
      </c>
    </row>
    <row r="641" spans="1:5" x14ac:dyDescent="0.25">
      <c r="A641" s="8">
        <v>44718</v>
      </c>
      <c r="B641" t="s">
        <v>25</v>
      </c>
      <c r="C641">
        <v>1834</v>
      </c>
      <c r="D641" t="s">
        <v>6</v>
      </c>
      <c r="E641" t="str">
        <f>IF(june[[#This Row],[ShiftCounter]]&gt;0, "Running", "Down")</f>
        <v>Running</v>
      </c>
    </row>
    <row r="642" spans="1:5" x14ac:dyDescent="0.25">
      <c r="A642" s="8">
        <v>44718</v>
      </c>
      <c r="B642" t="s">
        <v>25</v>
      </c>
      <c r="C642">
        <v>2258</v>
      </c>
      <c r="D642" t="s">
        <v>7</v>
      </c>
      <c r="E642" t="str">
        <f>IF(june[[#This Row],[ShiftCounter]]&gt;0, "Running", "Down")</f>
        <v>Running</v>
      </c>
    </row>
    <row r="643" spans="1:5" x14ac:dyDescent="0.25">
      <c r="A643" s="8">
        <v>44718</v>
      </c>
      <c r="B643" t="s">
        <v>25</v>
      </c>
      <c r="C643">
        <v>1702</v>
      </c>
      <c r="D643" t="s">
        <v>8</v>
      </c>
      <c r="E643" t="str">
        <f>IF(june[[#This Row],[ShiftCounter]]&gt;0, "Running", "Down")</f>
        <v>Running</v>
      </c>
    </row>
    <row r="644" spans="1:5" x14ac:dyDescent="0.25">
      <c r="A644" s="8">
        <v>44718</v>
      </c>
      <c r="B644" t="s">
        <v>27</v>
      </c>
      <c r="C644">
        <v>2044</v>
      </c>
      <c r="D644" t="s">
        <v>6</v>
      </c>
      <c r="E644" t="str">
        <f>IF(june[[#This Row],[ShiftCounter]]&gt;0, "Running", "Down")</f>
        <v>Running</v>
      </c>
    </row>
    <row r="645" spans="1:5" x14ac:dyDescent="0.25">
      <c r="A645" s="8">
        <v>44718</v>
      </c>
      <c r="B645" t="s">
        <v>27</v>
      </c>
      <c r="C645">
        <v>2258</v>
      </c>
      <c r="D645" t="s">
        <v>7</v>
      </c>
      <c r="E645" t="str">
        <f>IF(june[[#This Row],[ShiftCounter]]&gt;0, "Running", "Down")</f>
        <v>Running</v>
      </c>
    </row>
    <row r="646" spans="1:5" x14ac:dyDescent="0.25">
      <c r="A646" s="8">
        <v>44718</v>
      </c>
      <c r="B646" t="s">
        <v>27</v>
      </c>
      <c r="C646">
        <v>2120</v>
      </c>
      <c r="D646" t="s">
        <v>8</v>
      </c>
      <c r="E646" t="str">
        <f>IF(june[[#This Row],[ShiftCounter]]&gt;0, "Running", "Down")</f>
        <v>Running</v>
      </c>
    </row>
    <row r="647" spans="1:5" x14ac:dyDescent="0.25">
      <c r="A647" s="8">
        <v>44718</v>
      </c>
      <c r="B647" t="s">
        <v>28</v>
      </c>
      <c r="C647">
        <v>1955</v>
      </c>
      <c r="D647" t="s">
        <v>6</v>
      </c>
      <c r="E647" t="str">
        <f>IF(june[[#This Row],[ShiftCounter]]&gt;0, "Running", "Down")</f>
        <v>Running</v>
      </c>
    </row>
    <row r="648" spans="1:5" x14ac:dyDescent="0.25">
      <c r="A648" s="8">
        <v>44718</v>
      </c>
      <c r="B648" t="s">
        <v>28</v>
      </c>
      <c r="C648">
        <v>2215</v>
      </c>
      <c r="D648" t="s">
        <v>7</v>
      </c>
      <c r="E648" t="str">
        <f>IF(june[[#This Row],[ShiftCounter]]&gt;0, "Running", "Down")</f>
        <v>Running</v>
      </c>
    </row>
    <row r="649" spans="1:5" x14ac:dyDescent="0.25">
      <c r="A649" s="8">
        <v>44718</v>
      </c>
      <c r="B649" t="s">
        <v>28</v>
      </c>
      <c r="C649">
        <v>1967</v>
      </c>
      <c r="D649" t="s">
        <v>8</v>
      </c>
      <c r="E649" t="str">
        <f>IF(june[[#This Row],[ShiftCounter]]&gt;0, "Running", "Down")</f>
        <v>Running</v>
      </c>
    </row>
    <row r="650" spans="1:5" x14ac:dyDescent="0.25">
      <c r="A650" s="8">
        <v>44718</v>
      </c>
      <c r="B650" t="s">
        <v>29</v>
      </c>
      <c r="C650">
        <v>2111</v>
      </c>
      <c r="D650" t="s">
        <v>6</v>
      </c>
      <c r="E650" t="str">
        <f>IF(june[[#This Row],[ShiftCounter]]&gt;0, "Running", "Down")</f>
        <v>Running</v>
      </c>
    </row>
    <row r="651" spans="1:5" x14ac:dyDescent="0.25">
      <c r="A651" s="8">
        <v>44718</v>
      </c>
      <c r="B651" t="s">
        <v>29</v>
      </c>
      <c r="C651">
        <v>2015</v>
      </c>
      <c r="D651" t="s">
        <v>7</v>
      </c>
      <c r="E651" t="str">
        <f>IF(june[[#This Row],[ShiftCounter]]&gt;0, "Running", "Down")</f>
        <v>Running</v>
      </c>
    </row>
    <row r="652" spans="1:5" x14ac:dyDescent="0.25">
      <c r="A652" s="8">
        <v>44718</v>
      </c>
      <c r="B652" t="s">
        <v>29</v>
      </c>
      <c r="C652">
        <v>1791</v>
      </c>
      <c r="D652" t="s">
        <v>8</v>
      </c>
      <c r="E652" t="str">
        <f>IF(june[[#This Row],[ShiftCounter]]&gt;0, "Running", "Down")</f>
        <v>Running</v>
      </c>
    </row>
    <row r="653" spans="1:5" x14ac:dyDescent="0.25">
      <c r="A653" s="8">
        <v>44718</v>
      </c>
      <c r="B653" t="s">
        <v>30</v>
      </c>
      <c r="C653">
        <v>1419</v>
      </c>
      <c r="D653" t="s">
        <v>6</v>
      </c>
      <c r="E653" t="str">
        <f>IF(june[[#This Row],[ShiftCounter]]&gt;0, "Running", "Down")</f>
        <v>Running</v>
      </c>
    </row>
    <row r="654" spans="1:5" x14ac:dyDescent="0.25">
      <c r="A654" s="8">
        <v>44718</v>
      </c>
      <c r="B654" t="s">
        <v>30</v>
      </c>
      <c r="C654">
        <v>2254</v>
      </c>
      <c r="D654" t="s">
        <v>7</v>
      </c>
      <c r="E654" t="str">
        <f>IF(june[[#This Row],[ShiftCounter]]&gt;0, "Running", "Down")</f>
        <v>Running</v>
      </c>
    </row>
    <row r="655" spans="1:5" x14ac:dyDescent="0.25">
      <c r="A655" s="8">
        <v>44718</v>
      </c>
      <c r="B655" t="s">
        <v>30</v>
      </c>
      <c r="C655">
        <v>2014</v>
      </c>
      <c r="D655" t="s">
        <v>8</v>
      </c>
      <c r="E655" t="str">
        <f>IF(june[[#This Row],[ShiftCounter]]&gt;0, "Running", "Down")</f>
        <v>Running</v>
      </c>
    </row>
    <row r="656" spans="1:5" x14ac:dyDescent="0.25">
      <c r="A656" s="8">
        <v>44718</v>
      </c>
      <c r="B656" t="s">
        <v>31</v>
      </c>
      <c r="C656">
        <v>1613</v>
      </c>
      <c r="D656" t="s">
        <v>6</v>
      </c>
      <c r="E656" t="str">
        <f>IF(june[[#This Row],[ShiftCounter]]&gt;0, "Running", "Down")</f>
        <v>Running</v>
      </c>
    </row>
    <row r="657" spans="1:5" x14ac:dyDescent="0.25">
      <c r="A657" s="8">
        <v>44718</v>
      </c>
      <c r="B657" t="s">
        <v>31</v>
      </c>
      <c r="C657">
        <v>2107</v>
      </c>
      <c r="D657" t="s">
        <v>7</v>
      </c>
      <c r="E657" t="str">
        <f>IF(june[[#This Row],[ShiftCounter]]&gt;0, "Running", "Down")</f>
        <v>Running</v>
      </c>
    </row>
    <row r="658" spans="1:5" x14ac:dyDescent="0.25">
      <c r="A658" s="8">
        <v>44718</v>
      </c>
      <c r="B658" t="s">
        <v>31</v>
      </c>
      <c r="C658">
        <v>1993</v>
      </c>
      <c r="D658" t="s">
        <v>8</v>
      </c>
      <c r="E658" t="str">
        <f>IF(june[[#This Row],[ShiftCounter]]&gt;0, "Running", "Down")</f>
        <v>Running</v>
      </c>
    </row>
    <row r="659" spans="1:5" x14ac:dyDescent="0.25">
      <c r="A659" s="8">
        <v>44718</v>
      </c>
      <c r="B659" t="s">
        <v>32</v>
      </c>
      <c r="C659">
        <v>2366</v>
      </c>
      <c r="D659" t="s">
        <v>6</v>
      </c>
      <c r="E659" t="str">
        <f>IF(june[[#This Row],[ShiftCounter]]&gt;0, "Running", "Down")</f>
        <v>Running</v>
      </c>
    </row>
    <row r="660" spans="1:5" x14ac:dyDescent="0.25">
      <c r="A660" s="8">
        <v>44718</v>
      </c>
      <c r="B660" t="s">
        <v>32</v>
      </c>
      <c r="C660">
        <v>2168</v>
      </c>
      <c r="D660" t="s">
        <v>7</v>
      </c>
      <c r="E660" t="str">
        <f>IF(june[[#This Row],[ShiftCounter]]&gt;0, "Running", "Down")</f>
        <v>Running</v>
      </c>
    </row>
    <row r="661" spans="1:5" x14ac:dyDescent="0.25">
      <c r="A661" s="8">
        <v>44718</v>
      </c>
      <c r="B661" t="s">
        <v>32</v>
      </c>
      <c r="C661">
        <v>1895</v>
      </c>
      <c r="D661" t="s">
        <v>8</v>
      </c>
      <c r="E661" t="str">
        <f>IF(june[[#This Row],[ShiftCounter]]&gt;0, "Running", "Down")</f>
        <v>Running</v>
      </c>
    </row>
    <row r="662" spans="1:5" x14ac:dyDescent="0.25">
      <c r="A662" s="8">
        <v>44718</v>
      </c>
      <c r="B662" t="s">
        <v>67</v>
      </c>
      <c r="C662">
        <v>2255</v>
      </c>
      <c r="D662" t="s">
        <v>6</v>
      </c>
      <c r="E662" t="str">
        <f>IF(june[[#This Row],[ShiftCounter]]&gt;0, "Running", "Down")</f>
        <v>Running</v>
      </c>
    </row>
    <row r="663" spans="1:5" x14ac:dyDescent="0.25">
      <c r="A663" s="8">
        <v>44718</v>
      </c>
      <c r="B663" t="s">
        <v>67</v>
      </c>
      <c r="C663">
        <v>2097</v>
      </c>
      <c r="D663" t="s">
        <v>7</v>
      </c>
      <c r="E663" t="str">
        <f>IF(june[[#This Row],[ShiftCounter]]&gt;0, "Running", "Down")</f>
        <v>Running</v>
      </c>
    </row>
    <row r="664" spans="1:5" x14ac:dyDescent="0.25">
      <c r="A664" s="8">
        <v>44718</v>
      </c>
      <c r="B664" t="s">
        <v>67</v>
      </c>
      <c r="C664">
        <v>1825</v>
      </c>
      <c r="D664" t="s">
        <v>8</v>
      </c>
      <c r="E664" t="str">
        <f>IF(june[[#This Row],[ShiftCounter]]&gt;0, "Running", "Down")</f>
        <v>Running</v>
      </c>
    </row>
    <row r="665" spans="1:5" x14ac:dyDescent="0.25">
      <c r="A665" s="8">
        <v>44718</v>
      </c>
      <c r="B665" t="s">
        <v>33</v>
      </c>
      <c r="C665">
        <v>2607</v>
      </c>
      <c r="D665" t="s">
        <v>6</v>
      </c>
      <c r="E665" t="str">
        <f>IF(june[[#This Row],[ShiftCounter]]&gt;0, "Running", "Down")</f>
        <v>Running</v>
      </c>
    </row>
    <row r="666" spans="1:5" x14ac:dyDescent="0.25">
      <c r="A666" s="8">
        <v>44718</v>
      </c>
      <c r="B666" t="s">
        <v>33</v>
      </c>
      <c r="C666">
        <v>2415</v>
      </c>
      <c r="D666" t="s">
        <v>7</v>
      </c>
      <c r="E666" t="str">
        <f>IF(june[[#This Row],[ShiftCounter]]&gt;0, "Running", "Down")</f>
        <v>Running</v>
      </c>
    </row>
    <row r="667" spans="1:5" x14ac:dyDescent="0.25">
      <c r="A667" s="8">
        <v>44718</v>
      </c>
      <c r="B667" t="s">
        <v>33</v>
      </c>
      <c r="C667">
        <v>2171</v>
      </c>
      <c r="D667" t="s">
        <v>8</v>
      </c>
      <c r="E667" t="str">
        <f>IF(june[[#This Row],[ShiftCounter]]&gt;0, "Running", "Down")</f>
        <v>Running</v>
      </c>
    </row>
    <row r="668" spans="1:5" x14ac:dyDescent="0.25">
      <c r="A668" s="8">
        <v>44718</v>
      </c>
      <c r="B668" t="s">
        <v>34</v>
      </c>
      <c r="C668">
        <v>1963</v>
      </c>
      <c r="D668" t="s">
        <v>6</v>
      </c>
      <c r="E668" t="str">
        <f>IF(june[[#This Row],[ShiftCounter]]&gt;0, "Running", "Down")</f>
        <v>Running</v>
      </c>
    </row>
    <row r="669" spans="1:5" x14ac:dyDescent="0.25">
      <c r="A669" s="8">
        <v>44718</v>
      </c>
      <c r="B669" t="s">
        <v>34</v>
      </c>
      <c r="C669">
        <v>1896</v>
      </c>
      <c r="D669" t="s">
        <v>7</v>
      </c>
      <c r="E669" t="str">
        <f>IF(june[[#This Row],[ShiftCounter]]&gt;0, "Running", "Down")</f>
        <v>Running</v>
      </c>
    </row>
    <row r="670" spans="1:5" x14ac:dyDescent="0.25">
      <c r="A670" s="8">
        <v>44718</v>
      </c>
      <c r="B670" t="s">
        <v>34</v>
      </c>
      <c r="C670">
        <v>1773</v>
      </c>
      <c r="D670" t="s">
        <v>8</v>
      </c>
      <c r="E670" t="str">
        <f>IF(june[[#This Row],[ShiftCounter]]&gt;0, "Running", "Down")</f>
        <v>Running</v>
      </c>
    </row>
    <row r="671" spans="1:5" x14ac:dyDescent="0.25">
      <c r="A671" s="8">
        <v>44718</v>
      </c>
      <c r="B671" t="s">
        <v>36</v>
      </c>
      <c r="C671">
        <v>2374</v>
      </c>
      <c r="D671" t="s">
        <v>6</v>
      </c>
      <c r="E671" t="str">
        <f>IF(june[[#This Row],[ShiftCounter]]&gt;0, "Running", "Down")</f>
        <v>Running</v>
      </c>
    </row>
    <row r="672" spans="1:5" x14ac:dyDescent="0.25">
      <c r="A672" s="8">
        <v>44718</v>
      </c>
      <c r="B672" t="s">
        <v>36</v>
      </c>
      <c r="C672">
        <v>2247</v>
      </c>
      <c r="D672" t="s">
        <v>7</v>
      </c>
      <c r="E672" t="str">
        <f>IF(june[[#This Row],[ShiftCounter]]&gt;0, "Running", "Down")</f>
        <v>Running</v>
      </c>
    </row>
    <row r="673" spans="1:5" x14ac:dyDescent="0.25">
      <c r="A673" s="8">
        <v>44718</v>
      </c>
      <c r="B673" t="s">
        <v>36</v>
      </c>
      <c r="C673">
        <v>2132</v>
      </c>
      <c r="D673" t="s">
        <v>8</v>
      </c>
      <c r="E673" t="str">
        <f>IF(june[[#This Row],[ShiftCounter]]&gt;0, "Running", "Down")</f>
        <v>Running</v>
      </c>
    </row>
    <row r="674" spans="1:5" x14ac:dyDescent="0.25">
      <c r="A674" s="8">
        <v>44718</v>
      </c>
      <c r="B674" t="s">
        <v>37</v>
      </c>
      <c r="C674">
        <v>2264</v>
      </c>
      <c r="D674" t="s">
        <v>6</v>
      </c>
      <c r="E674" t="str">
        <f>IF(june[[#This Row],[ShiftCounter]]&gt;0, "Running", "Down")</f>
        <v>Running</v>
      </c>
    </row>
    <row r="675" spans="1:5" x14ac:dyDescent="0.25">
      <c r="A675" s="8">
        <v>44718</v>
      </c>
      <c r="B675" t="s">
        <v>37</v>
      </c>
      <c r="C675">
        <v>2024</v>
      </c>
      <c r="D675" t="s">
        <v>7</v>
      </c>
      <c r="E675" t="str">
        <f>IF(june[[#This Row],[ShiftCounter]]&gt;0, "Running", "Down")</f>
        <v>Running</v>
      </c>
    </row>
    <row r="676" spans="1:5" x14ac:dyDescent="0.25">
      <c r="A676" s="8">
        <v>44718</v>
      </c>
      <c r="B676" t="s">
        <v>37</v>
      </c>
      <c r="C676">
        <v>2144</v>
      </c>
      <c r="D676" t="s">
        <v>8</v>
      </c>
      <c r="E676" t="str">
        <f>IF(june[[#This Row],[ShiftCounter]]&gt;0, "Running", "Down")</f>
        <v>Running</v>
      </c>
    </row>
    <row r="677" spans="1:5" x14ac:dyDescent="0.25">
      <c r="A677" s="8">
        <v>44719</v>
      </c>
      <c r="B677" t="s">
        <v>136</v>
      </c>
      <c r="C677">
        <v>0</v>
      </c>
      <c r="D677" t="s">
        <v>6</v>
      </c>
      <c r="E677" t="str">
        <f>IF(june[[#This Row],[ShiftCounter]]&gt;0, "Running", "Down")</f>
        <v>Down</v>
      </c>
    </row>
    <row r="678" spans="1:5" x14ac:dyDescent="0.25">
      <c r="A678" s="8">
        <v>44719</v>
      </c>
      <c r="B678" t="s">
        <v>136</v>
      </c>
      <c r="C678">
        <v>1475</v>
      </c>
      <c r="D678" t="s">
        <v>7</v>
      </c>
      <c r="E678" t="str">
        <f>IF(june[[#This Row],[ShiftCounter]]&gt;0, "Running", "Down")</f>
        <v>Running</v>
      </c>
    </row>
    <row r="679" spans="1:5" x14ac:dyDescent="0.25">
      <c r="A679" s="8">
        <v>44719</v>
      </c>
      <c r="B679" t="s">
        <v>136</v>
      </c>
      <c r="C679">
        <v>2200</v>
      </c>
      <c r="D679" t="s">
        <v>8</v>
      </c>
      <c r="E679" t="str">
        <f>IF(june[[#This Row],[ShiftCounter]]&gt;0, "Running", "Down")</f>
        <v>Running</v>
      </c>
    </row>
    <row r="680" spans="1:5" x14ac:dyDescent="0.25">
      <c r="A680" s="8">
        <v>44719</v>
      </c>
      <c r="B680" t="s">
        <v>135</v>
      </c>
      <c r="C680">
        <v>2048</v>
      </c>
      <c r="D680" t="s">
        <v>6</v>
      </c>
      <c r="E680" t="str">
        <f>IF(june[[#This Row],[ShiftCounter]]&gt;0, "Running", "Down")</f>
        <v>Running</v>
      </c>
    </row>
    <row r="681" spans="1:5" x14ac:dyDescent="0.25">
      <c r="A681" s="8">
        <v>44719</v>
      </c>
      <c r="B681" t="s">
        <v>135</v>
      </c>
      <c r="C681">
        <v>2110</v>
      </c>
      <c r="D681" t="s">
        <v>7</v>
      </c>
      <c r="E681" t="str">
        <f>IF(june[[#This Row],[ShiftCounter]]&gt;0, "Running", "Down")</f>
        <v>Running</v>
      </c>
    </row>
    <row r="682" spans="1:5" x14ac:dyDescent="0.25">
      <c r="A682" s="8">
        <v>44719</v>
      </c>
      <c r="B682" t="s">
        <v>135</v>
      </c>
      <c r="C682">
        <v>1841</v>
      </c>
      <c r="D682" t="s">
        <v>8</v>
      </c>
      <c r="E682" t="str">
        <f>IF(june[[#This Row],[ShiftCounter]]&gt;0, "Running", "Down")</f>
        <v>Running</v>
      </c>
    </row>
    <row r="683" spans="1:5" x14ac:dyDescent="0.25">
      <c r="A683" s="8">
        <v>44719</v>
      </c>
      <c r="B683" t="s">
        <v>40</v>
      </c>
      <c r="C683">
        <v>2272</v>
      </c>
      <c r="D683" t="s">
        <v>6</v>
      </c>
      <c r="E683" t="str">
        <f>IF(june[[#This Row],[ShiftCounter]]&gt;0, "Running", "Down")</f>
        <v>Running</v>
      </c>
    </row>
    <row r="684" spans="1:5" x14ac:dyDescent="0.25">
      <c r="A684" s="8">
        <v>44719</v>
      </c>
      <c r="B684" t="s">
        <v>40</v>
      </c>
      <c r="C684">
        <v>2277</v>
      </c>
      <c r="D684" t="s">
        <v>7</v>
      </c>
      <c r="E684" t="str">
        <f>IF(june[[#This Row],[ShiftCounter]]&gt;0, "Running", "Down")</f>
        <v>Running</v>
      </c>
    </row>
    <row r="685" spans="1:5" x14ac:dyDescent="0.25">
      <c r="A685" s="8">
        <v>44719</v>
      </c>
      <c r="B685" t="s">
        <v>40</v>
      </c>
      <c r="C685">
        <v>2040</v>
      </c>
      <c r="D685" t="s">
        <v>8</v>
      </c>
      <c r="E685" t="str">
        <f>IF(june[[#This Row],[ShiftCounter]]&gt;0, "Running", "Down")</f>
        <v>Running</v>
      </c>
    </row>
    <row r="686" spans="1:5" x14ac:dyDescent="0.25">
      <c r="A686" s="8">
        <v>44719</v>
      </c>
      <c r="B686" t="s">
        <v>39</v>
      </c>
      <c r="C686">
        <v>1975</v>
      </c>
      <c r="D686" t="s">
        <v>6</v>
      </c>
      <c r="E686" t="str">
        <f>IF(june[[#This Row],[ShiftCounter]]&gt;0, "Running", "Down")</f>
        <v>Running</v>
      </c>
    </row>
    <row r="687" spans="1:5" x14ac:dyDescent="0.25">
      <c r="A687" s="8">
        <v>44719</v>
      </c>
      <c r="B687" t="s">
        <v>39</v>
      </c>
      <c r="C687">
        <v>1977</v>
      </c>
      <c r="D687" t="s">
        <v>7</v>
      </c>
      <c r="E687" t="str">
        <f>IF(june[[#This Row],[ShiftCounter]]&gt;0, "Running", "Down")</f>
        <v>Running</v>
      </c>
    </row>
    <row r="688" spans="1:5" x14ac:dyDescent="0.25">
      <c r="A688" s="8">
        <v>44719</v>
      </c>
      <c r="B688" t="s">
        <v>39</v>
      </c>
      <c r="C688">
        <v>1649</v>
      </c>
      <c r="D688" t="s">
        <v>8</v>
      </c>
      <c r="E688" t="str">
        <f>IF(june[[#This Row],[ShiftCounter]]&gt;0, "Running", "Down")</f>
        <v>Running</v>
      </c>
    </row>
    <row r="689" spans="1:5" x14ac:dyDescent="0.25">
      <c r="A689" s="8">
        <v>44719</v>
      </c>
      <c r="B689" t="s">
        <v>41</v>
      </c>
      <c r="C689">
        <v>2301</v>
      </c>
      <c r="D689" t="s">
        <v>6</v>
      </c>
      <c r="E689" t="str">
        <f>IF(june[[#This Row],[ShiftCounter]]&gt;0, "Running", "Down")</f>
        <v>Running</v>
      </c>
    </row>
    <row r="690" spans="1:5" x14ac:dyDescent="0.25">
      <c r="A690" s="8">
        <v>44719</v>
      </c>
      <c r="B690" t="s">
        <v>41</v>
      </c>
      <c r="C690">
        <v>2285</v>
      </c>
      <c r="D690" t="s">
        <v>7</v>
      </c>
      <c r="E690" t="str">
        <f>IF(june[[#This Row],[ShiftCounter]]&gt;0, "Running", "Down")</f>
        <v>Running</v>
      </c>
    </row>
    <row r="691" spans="1:5" x14ac:dyDescent="0.25">
      <c r="A691" s="8">
        <v>44719</v>
      </c>
      <c r="B691" t="s">
        <v>41</v>
      </c>
      <c r="C691">
        <v>2052</v>
      </c>
      <c r="D691" t="s">
        <v>8</v>
      </c>
      <c r="E691" t="str">
        <f>IF(june[[#This Row],[ShiftCounter]]&gt;0, "Running", "Down")</f>
        <v>Running</v>
      </c>
    </row>
    <row r="692" spans="1:5" x14ac:dyDescent="0.25">
      <c r="A692" s="8">
        <v>44719</v>
      </c>
      <c r="B692" t="s">
        <v>5</v>
      </c>
      <c r="C692">
        <v>2283</v>
      </c>
      <c r="D692" t="s">
        <v>6</v>
      </c>
      <c r="E692" t="str">
        <f>IF(june[[#This Row],[ShiftCounter]]&gt;0, "Running", "Down")</f>
        <v>Running</v>
      </c>
    </row>
    <row r="693" spans="1:5" x14ac:dyDescent="0.25">
      <c r="A693" s="8">
        <v>44719</v>
      </c>
      <c r="B693" t="s">
        <v>5</v>
      </c>
      <c r="C693">
        <v>2294</v>
      </c>
      <c r="D693" t="s">
        <v>7</v>
      </c>
      <c r="E693" t="str">
        <f>IF(june[[#This Row],[ShiftCounter]]&gt;0, "Running", "Down")</f>
        <v>Running</v>
      </c>
    </row>
    <row r="694" spans="1:5" x14ac:dyDescent="0.25">
      <c r="A694" s="8">
        <v>44719</v>
      </c>
      <c r="B694" t="s">
        <v>5</v>
      </c>
      <c r="C694">
        <v>1835</v>
      </c>
      <c r="D694" t="s">
        <v>8</v>
      </c>
      <c r="E694" t="str">
        <f>IF(june[[#This Row],[ShiftCounter]]&gt;0, "Running", "Down")</f>
        <v>Running</v>
      </c>
    </row>
    <row r="695" spans="1:5" x14ac:dyDescent="0.25">
      <c r="A695" s="8">
        <v>44719</v>
      </c>
      <c r="B695" t="s">
        <v>9</v>
      </c>
      <c r="C695">
        <v>654</v>
      </c>
      <c r="D695" t="s">
        <v>6</v>
      </c>
      <c r="E695" t="str">
        <f>IF(june[[#This Row],[ShiftCounter]]&gt;0, "Running", "Down")</f>
        <v>Running</v>
      </c>
    </row>
    <row r="696" spans="1:5" x14ac:dyDescent="0.25">
      <c r="A696" s="8">
        <v>44719</v>
      </c>
      <c r="B696" t="s">
        <v>9</v>
      </c>
      <c r="C696">
        <v>2098</v>
      </c>
      <c r="D696" t="s">
        <v>7</v>
      </c>
      <c r="E696" t="str">
        <f>IF(june[[#This Row],[ShiftCounter]]&gt;0, "Running", "Down")</f>
        <v>Running</v>
      </c>
    </row>
    <row r="697" spans="1:5" x14ac:dyDescent="0.25">
      <c r="A697" s="8">
        <v>44719</v>
      </c>
      <c r="B697" t="s">
        <v>9</v>
      </c>
      <c r="C697">
        <v>2028</v>
      </c>
      <c r="D697" t="s">
        <v>8</v>
      </c>
      <c r="E697" t="str">
        <f>IF(june[[#This Row],[ShiftCounter]]&gt;0, "Running", "Down")</f>
        <v>Running</v>
      </c>
    </row>
    <row r="698" spans="1:5" x14ac:dyDescent="0.25">
      <c r="A698" s="8">
        <v>44719</v>
      </c>
      <c r="B698" t="s">
        <v>10</v>
      </c>
      <c r="C698">
        <v>2261</v>
      </c>
      <c r="D698" t="s">
        <v>6</v>
      </c>
      <c r="E698" t="str">
        <f>IF(june[[#This Row],[ShiftCounter]]&gt;0, "Running", "Down")</f>
        <v>Running</v>
      </c>
    </row>
    <row r="699" spans="1:5" x14ac:dyDescent="0.25">
      <c r="A699" s="8">
        <v>44719</v>
      </c>
      <c r="B699" t="s">
        <v>10</v>
      </c>
      <c r="C699">
        <v>2300</v>
      </c>
      <c r="D699" t="s">
        <v>7</v>
      </c>
      <c r="E699" t="str">
        <f>IF(june[[#This Row],[ShiftCounter]]&gt;0, "Running", "Down")</f>
        <v>Running</v>
      </c>
    </row>
    <row r="700" spans="1:5" x14ac:dyDescent="0.25">
      <c r="A700" s="8">
        <v>44719</v>
      </c>
      <c r="B700" t="s">
        <v>10</v>
      </c>
      <c r="C700">
        <v>2047</v>
      </c>
      <c r="D700" t="s">
        <v>8</v>
      </c>
      <c r="E700" t="str">
        <f>IF(june[[#This Row],[ShiftCounter]]&gt;0, "Running", "Down")</f>
        <v>Running</v>
      </c>
    </row>
    <row r="701" spans="1:5" x14ac:dyDescent="0.25">
      <c r="A701" s="8">
        <v>44719</v>
      </c>
      <c r="B701" t="s">
        <v>11</v>
      </c>
      <c r="C701">
        <v>2162</v>
      </c>
      <c r="D701" t="s">
        <v>6</v>
      </c>
      <c r="E701" t="str">
        <f>IF(june[[#This Row],[ShiftCounter]]&gt;0, "Running", "Down")</f>
        <v>Running</v>
      </c>
    </row>
    <row r="702" spans="1:5" x14ac:dyDescent="0.25">
      <c r="A702" s="8">
        <v>44719</v>
      </c>
      <c r="B702" t="s">
        <v>11</v>
      </c>
      <c r="C702">
        <v>2179</v>
      </c>
      <c r="D702" t="s">
        <v>7</v>
      </c>
      <c r="E702" t="str">
        <f>IF(june[[#This Row],[ShiftCounter]]&gt;0, "Running", "Down")</f>
        <v>Running</v>
      </c>
    </row>
    <row r="703" spans="1:5" x14ac:dyDescent="0.25">
      <c r="A703" s="8">
        <v>44719</v>
      </c>
      <c r="B703" t="s">
        <v>11</v>
      </c>
      <c r="C703">
        <v>1879</v>
      </c>
      <c r="D703" t="s">
        <v>8</v>
      </c>
      <c r="E703" t="str">
        <f>IF(june[[#This Row],[ShiftCounter]]&gt;0, "Running", "Down")</f>
        <v>Running</v>
      </c>
    </row>
    <row r="704" spans="1:5" x14ac:dyDescent="0.25">
      <c r="A704" s="8">
        <v>44719</v>
      </c>
      <c r="B704" t="s">
        <v>12</v>
      </c>
      <c r="C704">
        <v>2405</v>
      </c>
      <c r="D704" t="s">
        <v>6</v>
      </c>
      <c r="E704" t="str">
        <f>IF(june[[#This Row],[ShiftCounter]]&gt;0, "Running", "Down")</f>
        <v>Running</v>
      </c>
    </row>
    <row r="705" spans="1:5" x14ac:dyDescent="0.25">
      <c r="A705" s="8">
        <v>44719</v>
      </c>
      <c r="B705" t="s">
        <v>12</v>
      </c>
      <c r="C705">
        <v>2392</v>
      </c>
      <c r="D705" t="s">
        <v>7</v>
      </c>
      <c r="E705" t="str">
        <f>IF(june[[#This Row],[ShiftCounter]]&gt;0, "Running", "Down")</f>
        <v>Running</v>
      </c>
    </row>
    <row r="706" spans="1:5" x14ac:dyDescent="0.25">
      <c r="A706" s="8">
        <v>44719</v>
      </c>
      <c r="B706" t="s">
        <v>12</v>
      </c>
      <c r="C706">
        <v>2029</v>
      </c>
      <c r="D706" t="s">
        <v>8</v>
      </c>
      <c r="E706" t="str">
        <f>IF(june[[#This Row],[ShiftCounter]]&gt;0, "Running", "Down")</f>
        <v>Running</v>
      </c>
    </row>
    <row r="707" spans="1:5" x14ac:dyDescent="0.25">
      <c r="A707" s="8">
        <v>44719</v>
      </c>
      <c r="B707" t="s">
        <v>13</v>
      </c>
      <c r="C707">
        <v>2232</v>
      </c>
      <c r="D707" t="s">
        <v>6</v>
      </c>
      <c r="E707" t="str">
        <f>IF(june[[#This Row],[ShiftCounter]]&gt;0, "Running", "Down")</f>
        <v>Running</v>
      </c>
    </row>
    <row r="708" spans="1:5" x14ac:dyDescent="0.25">
      <c r="A708" s="8">
        <v>44719</v>
      </c>
      <c r="B708" t="s">
        <v>13</v>
      </c>
      <c r="C708">
        <v>2142</v>
      </c>
      <c r="D708" t="s">
        <v>7</v>
      </c>
      <c r="E708" t="str">
        <f>IF(june[[#This Row],[ShiftCounter]]&gt;0, "Running", "Down")</f>
        <v>Running</v>
      </c>
    </row>
    <row r="709" spans="1:5" x14ac:dyDescent="0.25">
      <c r="A709" s="8">
        <v>44719</v>
      </c>
      <c r="B709" t="s">
        <v>13</v>
      </c>
      <c r="C709">
        <v>1849</v>
      </c>
      <c r="D709" t="s">
        <v>8</v>
      </c>
      <c r="E709" t="str">
        <f>IF(june[[#This Row],[ShiftCounter]]&gt;0, "Running", "Down")</f>
        <v>Running</v>
      </c>
    </row>
    <row r="710" spans="1:5" x14ac:dyDescent="0.25">
      <c r="A710" s="8">
        <v>44719</v>
      </c>
      <c r="B710" t="s">
        <v>101</v>
      </c>
      <c r="C710">
        <v>2150</v>
      </c>
      <c r="D710" t="s">
        <v>6</v>
      </c>
      <c r="E710" t="str">
        <f>IF(june[[#This Row],[ShiftCounter]]&gt;0, "Running", "Down")</f>
        <v>Running</v>
      </c>
    </row>
    <row r="711" spans="1:5" x14ac:dyDescent="0.25">
      <c r="A711" s="8">
        <v>44719</v>
      </c>
      <c r="B711" t="s">
        <v>101</v>
      </c>
      <c r="C711">
        <v>2017</v>
      </c>
      <c r="D711" t="s">
        <v>7</v>
      </c>
      <c r="E711" t="str">
        <f>IF(june[[#This Row],[ShiftCounter]]&gt;0, "Running", "Down")</f>
        <v>Running</v>
      </c>
    </row>
    <row r="712" spans="1:5" x14ac:dyDescent="0.25">
      <c r="A712" s="8">
        <v>44719</v>
      </c>
      <c r="B712" t="s">
        <v>101</v>
      </c>
      <c r="C712">
        <v>1772</v>
      </c>
      <c r="D712" t="s">
        <v>8</v>
      </c>
      <c r="E712" t="str">
        <f>IF(june[[#This Row],[ShiftCounter]]&gt;0, "Running", "Down")</f>
        <v>Running</v>
      </c>
    </row>
    <row r="713" spans="1:5" x14ac:dyDescent="0.25">
      <c r="A713" s="8">
        <v>44719</v>
      </c>
      <c r="B713" t="s">
        <v>14</v>
      </c>
      <c r="C713">
        <v>2510</v>
      </c>
      <c r="D713" t="s">
        <v>6</v>
      </c>
      <c r="E713" t="str">
        <f>IF(june[[#This Row],[ShiftCounter]]&gt;0, "Running", "Down")</f>
        <v>Running</v>
      </c>
    </row>
    <row r="714" spans="1:5" x14ac:dyDescent="0.25">
      <c r="A714" s="8">
        <v>44719</v>
      </c>
      <c r="B714" t="s">
        <v>14</v>
      </c>
      <c r="C714">
        <v>2253</v>
      </c>
      <c r="D714" t="s">
        <v>7</v>
      </c>
      <c r="E714" t="str">
        <f>IF(june[[#This Row],[ShiftCounter]]&gt;0, "Running", "Down")</f>
        <v>Running</v>
      </c>
    </row>
    <row r="715" spans="1:5" x14ac:dyDescent="0.25">
      <c r="A715" s="8">
        <v>44719</v>
      </c>
      <c r="B715" t="s">
        <v>14</v>
      </c>
      <c r="C715">
        <v>1963</v>
      </c>
      <c r="D715" t="s">
        <v>8</v>
      </c>
      <c r="E715" t="str">
        <f>IF(june[[#This Row],[ShiftCounter]]&gt;0, "Running", "Down")</f>
        <v>Running</v>
      </c>
    </row>
    <row r="716" spans="1:5" x14ac:dyDescent="0.25">
      <c r="A716" s="8">
        <v>44719</v>
      </c>
      <c r="B716" t="s">
        <v>15</v>
      </c>
      <c r="C716">
        <v>2197</v>
      </c>
      <c r="D716" t="s">
        <v>6</v>
      </c>
      <c r="E716" t="str">
        <f>IF(june[[#This Row],[ShiftCounter]]&gt;0, "Running", "Down")</f>
        <v>Running</v>
      </c>
    </row>
    <row r="717" spans="1:5" x14ac:dyDescent="0.25">
      <c r="A717" s="8">
        <v>44719</v>
      </c>
      <c r="B717" t="s">
        <v>15</v>
      </c>
      <c r="C717">
        <v>2045</v>
      </c>
      <c r="D717" t="s">
        <v>7</v>
      </c>
      <c r="E717" t="str">
        <f>IF(june[[#This Row],[ShiftCounter]]&gt;0, "Running", "Down")</f>
        <v>Running</v>
      </c>
    </row>
    <row r="718" spans="1:5" x14ac:dyDescent="0.25">
      <c r="A718" s="8">
        <v>44719</v>
      </c>
      <c r="B718" t="s">
        <v>15</v>
      </c>
      <c r="C718">
        <v>1801</v>
      </c>
      <c r="D718" t="s">
        <v>8</v>
      </c>
      <c r="E718" t="str">
        <f>IF(june[[#This Row],[ShiftCounter]]&gt;0, "Running", "Down")</f>
        <v>Running</v>
      </c>
    </row>
    <row r="719" spans="1:5" x14ac:dyDescent="0.25">
      <c r="A719" s="8">
        <v>44719</v>
      </c>
      <c r="B719" t="s">
        <v>16</v>
      </c>
      <c r="C719">
        <v>2320</v>
      </c>
      <c r="D719" t="s">
        <v>6</v>
      </c>
      <c r="E719" t="str">
        <f>IF(june[[#This Row],[ShiftCounter]]&gt;0, "Running", "Down")</f>
        <v>Running</v>
      </c>
    </row>
    <row r="720" spans="1:5" x14ac:dyDescent="0.25">
      <c r="A720" s="8">
        <v>44719</v>
      </c>
      <c r="B720" t="s">
        <v>16</v>
      </c>
      <c r="C720">
        <v>2162</v>
      </c>
      <c r="D720" t="s">
        <v>7</v>
      </c>
      <c r="E720" t="str">
        <f>IF(june[[#This Row],[ShiftCounter]]&gt;0, "Running", "Down")</f>
        <v>Running</v>
      </c>
    </row>
    <row r="721" spans="1:5" x14ac:dyDescent="0.25">
      <c r="A721" s="8">
        <v>44719</v>
      </c>
      <c r="B721" t="s">
        <v>16</v>
      </c>
      <c r="C721">
        <v>1740</v>
      </c>
      <c r="D721" t="s">
        <v>8</v>
      </c>
      <c r="E721" t="str">
        <f>IF(june[[#This Row],[ShiftCounter]]&gt;0, "Running", "Down")</f>
        <v>Running</v>
      </c>
    </row>
    <row r="722" spans="1:5" x14ac:dyDescent="0.25">
      <c r="A722" s="8">
        <v>44719</v>
      </c>
      <c r="B722" t="s">
        <v>17</v>
      </c>
      <c r="C722">
        <v>2485</v>
      </c>
      <c r="D722" t="s">
        <v>6</v>
      </c>
      <c r="E722" t="str">
        <f>IF(june[[#This Row],[ShiftCounter]]&gt;0, "Running", "Down")</f>
        <v>Running</v>
      </c>
    </row>
    <row r="723" spans="1:5" x14ac:dyDescent="0.25">
      <c r="A723" s="8">
        <v>44719</v>
      </c>
      <c r="B723" t="s">
        <v>17</v>
      </c>
      <c r="C723">
        <v>2038</v>
      </c>
      <c r="D723" t="s">
        <v>7</v>
      </c>
      <c r="E723" t="str">
        <f>IF(june[[#This Row],[ShiftCounter]]&gt;0, "Running", "Down")</f>
        <v>Running</v>
      </c>
    </row>
    <row r="724" spans="1:5" x14ac:dyDescent="0.25">
      <c r="A724" s="8">
        <v>44719</v>
      </c>
      <c r="B724" t="s">
        <v>17</v>
      </c>
      <c r="C724">
        <v>1992</v>
      </c>
      <c r="D724" t="s">
        <v>8</v>
      </c>
      <c r="E724" t="str">
        <f>IF(june[[#This Row],[ShiftCounter]]&gt;0, "Running", "Down")</f>
        <v>Running</v>
      </c>
    </row>
    <row r="725" spans="1:5" x14ac:dyDescent="0.25">
      <c r="A725" s="8">
        <v>44719</v>
      </c>
      <c r="B725" t="s">
        <v>19</v>
      </c>
      <c r="C725">
        <v>1529</v>
      </c>
      <c r="D725" t="s">
        <v>6</v>
      </c>
      <c r="E725" t="str">
        <f>IF(june[[#This Row],[ShiftCounter]]&gt;0, "Running", "Down")</f>
        <v>Running</v>
      </c>
    </row>
    <row r="726" spans="1:5" x14ac:dyDescent="0.25">
      <c r="A726" s="8">
        <v>44719</v>
      </c>
      <c r="B726" t="s">
        <v>19</v>
      </c>
      <c r="C726">
        <v>1945</v>
      </c>
      <c r="D726" t="s">
        <v>7</v>
      </c>
      <c r="E726" t="str">
        <f>IF(june[[#This Row],[ShiftCounter]]&gt;0, "Running", "Down")</f>
        <v>Running</v>
      </c>
    </row>
    <row r="727" spans="1:5" x14ac:dyDescent="0.25">
      <c r="A727" s="8">
        <v>44719</v>
      </c>
      <c r="B727" t="s">
        <v>19</v>
      </c>
      <c r="C727">
        <v>1681</v>
      </c>
      <c r="D727" t="s">
        <v>8</v>
      </c>
      <c r="E727" t="str">
        <f>IF(june[[#This Row],[ShiftCounter]]&gt;0, "Running", "Down")</f>
        <v>Running</v>
      </c>
    </row>
    <row r="728" spans="1:5" x14ac:dyDescent="0.25">
      <c r="A728" s="8">
        <v>44719</v>
      </c>
      <c r="B728" t="s">
        <v>18</v>
      </c>
      <c r="C728">
        <v>1759</v>
      </c>
      <c r="D728" t="s">
        <v>6</v>
      </c>
      <c r="E728" t="str">
        <f>IF(june[[#This Row],[ShiftCounter]]&gt;0, "Running", "Down")</f>
        <v>Running</v>
      </c>
    </row>
    <row r="729" spans="1:5" x14ac:dyDescent="0.25">
      <c r="A729" s="8">
        <v>44719</v>
      </c>
      <c r="B729" t="s">
        <v>18</v>
      </c>
      <c r="C729">
        <v>2248</v>
      </c>
      <c r="D729" t="s">
        <v>7</v>
      </c>
      <c r="E729" t="str">
        <f>IF(june[[#This Row],[ShiftCounter]]&gt;0, "Running", "Down")</f>
        <v>Running</v>
      </c>
    </row>
    <row r="730" spans="1:5" x14ac:dyDescent="0.25">
      <c r="A730" s="8">
        <v>44719</v>
      </c>
      <c r="B730" t="s">
        <v>18</v>
      </c>
      <c r="C730">
        <v>2288</v>
      </c>
      <c r="D730" t="s">
        <v>8</v>
      </c>
      <c r="E730" t="str">
        <f>IF(june[[#This Row],[ShiftCounter]]&gt;0, "Running", "Down")</f>
        <v>Running</v>
      </c>
    </row>
    <row r="731" spans="1:5" x14ac:dyDescent="0.25">
      <c r="A731" s="8">
        <v>44719</v>
      </c>
      <c r="B731" t="s">
        <v>38</v>
      </c>
      <c r="C731">
        <v>2395</v>
      </c>
      <c r="D731" t="s">
        <v>6</v>
      </c>
      <c r="E731" t="str">
        <f>IF(june[[#This Row],[ShiftCounter]]&gt;0, "Running", "Down")</f>
        <v>Running</v>
      </c>
    </row>
    <row r="732" spans="1:5" x14ac:dyDescent="0.25">
      <c r="A732" s="8">
        <v>44719</v>
      </c>
      <c r="B732" t="s">
        <v>38</v>
      </c>
      <c r="C732">
        <v>2208</v>
      </c>
      <c r="D732" t="s">
        <v>7</v>
      </c>
      <c r="E732" t="str">
        <f>IF(june[[#This Row],[ShiftCounter]]&gt;0, "Running", "Down")</f>
        <v>Running</v>
      </c>
    </row>
    <row r="733" spans="1:5" x14ac:dyDescent="0.25">
      <c r="A733" s="8">
        <v>44719</v>
      </c>
      <c r="B733" t="s">
        <v>38</v>
      </c>
      <c r="C733">
        <v>2171</v>
      </c>
      <c r="D733" t="s">
        <v>8</v>
      </c>
      <c r="E733" t="str">
        <f>IF(june[[#This Row],[ShiftCounter]]&gt;0, "Running", "Down")</f>
        <v>Running</v>
      </c>
    </row>
    <row r="734" spans="1:5" x14ac:dyDescent="0.25">
      <c r="A734" s="8">
        <v>44719</v>
      </c>
      <c r="B734" t="s">
        <v>20</v>
      </c>
      <c r="C734">
        <v>2430</v>
      </c>
      <c r="D734" t="s">
        <v>6</v>
      </c>
      <c r="E734" t="str">
        <f>IF(june[[#This Row],[ShiftCounter]]&gt;0, "Running", "Down")</f>
        <v>Running</v>
      </c>
    </row>
    <row r="735" spans="1:5" x14ac:dyDescent="0.25">
      <c r="A735" s="8">
        <v>44719</v>
      </c>
      <c r="B735" t="s">
        <v>20</v>
      </c>
      <c r="C735">
        <v>2247</v>
      </c>
      <c r="D735" t="s">
        <v>7</v>
      </c>
      <c r="E735" t="str">
        <f>IF(june[[#This Row],[ShiftCounter]]&gt;0, "Running", "Down")</f>
        <v>Running</v>
      </c>
    </row>
    <row r="736" spans="1:5" x14ac:dyDescent="0.25">
      <c r="A736" s="8">
        <v>44719</v>
      </c>
      <c r="B736" t="s">
        <v>20</v>
      </c>
      <c r="C736">
        <v>2141</v>
      </c>
      <c r="D736" t="s">
        <v>8</v>
      </c>
      <c r="E736" t="str">
        <f>IF(june[[#This Row],[ShiftCounter]]&gt;0, "Running", "Down")</f>
        <v>Running</v>
      </c>
    </row>
    <row r="737" spans="1:5" x14ac:dyDescent="0.25">
      <c r="A737" s="8">
        <v>44719</v>
      </c>
      <c r="B737" t="s">
        <v>21</v>
      </c>
      <c r="C737">
        <v>2072</v>
      </c>
      <c r="D737" t="s">
        <v>6</v>
      </c>
      <c r="E737" t="str">
        <f>IF(june[[#This Row],[ShiftCounter]]&gt;0, "Running", "Down")</f>
        <v>Running</v>
      </c>
    </row>
    <row r="738" spans="1:5" x14ac:dyDescent="0.25">
      <c r="A738" s="8">
        <v>44719</v>
      </c>
      <c r="B738" t="s">
        <v>21</v>
      </c>
      <c r="C738">
        <v>2034</v>
      </c>
      <c r="D738" t="s">
        <v>7</v>
      </c>
      <c r="E738" t="str">
        <f>IF(june[[#This Row],[ShiftCounter]]&gt;0, "Running", "Down")</f>
        <v>Running</v>
      </c>
    </row>
    <row r="739" spans="1:5" x14ac:dyDescent="0.25">
      <c r="A739" s="8">
        <v>44719</v>
      </c>
      <c r="B739" t="s">
        <v>21</v>
      </c>
      <c r="C739">
        <v>1905</v>
      </c>
      <c r="D739" t="s">
        <v>8</v>
      </c>
      <c r="E739" t="str">
        <f>IF(june[[#This Row],[ShiftCounter]]&gt;0, "Running", "Down")</f>
        <v>Running</v>
      </c>
    </row>
    <row r="740" spans="1:5" x14ac:dyDescent="0.25">
      <c r="A740" s="8">
        <v>44719</v>
      </c>
      <c r="B740" t="s">
        <v>22</v>
      </c>
      <c r="C740">
        <v>1995</v>
      </c>
      <c r="D740" t="s">
        <v>6</v>
      </c>
      <c r="E740" t="str">
        <f>IF(june[[#This Row],[ShiftCounter]]&gt;0, "Running", "Down")</f>
        <v>Running</v>
      </c>
    </row>
    <row r="741" spans="1:5" x14ac:dyDescent="0.25">
      <c r="A741" s="8">
        <v>44719</v>
      </c>
      <c r="B741" t="s">
        <v>22</v>
      </c>
      <c r="C741">
        <v>2158</v>
      </c>
      <c r="D741" t="s">
        <v>7</v>
      </c>
      <c r="E741" t="str">
        <f>IF(june[[#This Row],[ShiftCounter]]&gt;0, "Running", "Down")</f>
        <v>Running</v>
      </c>
    </row>
    <row r="742" spans="1:5" x14ac:dyDescent="0.25">
      <c r="A742" s="8">
        <v>44719</v>
      </c>
      <c r="B742" t="s">
        <v>22</v>
      </c>
      <c r="C742">
        <v>2406</v>
      </c>
      <c r="D742" t="s">
        <v>8</v>
      </c>
      <c r="E742" t="str">
        <f>IF(june[[#This Row],[ShiftCounter]]&gt;0, "Running", "Down")</f>
        <v>Running</v>
      </c>
    </row>
    <row r="743" spans="1:5" x14ac:dyDescent="0.25">
      <c r="A743" s="8">
        <v>44719</v>
      </c>
      <c r="B743" t="s">
        <v>23</v>
      </c>
      <c r="C743">
        <v>2592</v>
      </c>
      <c r="D743" t="s">
        <v>6</v>
      </c>
      <c r="E743" t="str">
        <f>IF(june[[#This Row],[ShiftCounter]]&gt;0, "Running", "Down")</f>
        <v>Running</v>
      </c>
    </row>
    <row r="744" spans="1:5" x14ac:dyDescent="0.25">
      <c r="A744" s="8">
        <v>44719</v>
      </c>
      <c r="B744" t="s">
        <v>23</v>
      </c>
      <c r="C744">
        <v>2468</v>
      </c>
      <c r="D744" t="s">
        <v>7</v>
      </c>
      <c r="E744" t="str">
        <f>IF(june[[#This Row],[ShiftCounter]]&gt;0, "Running", "Down")</f>
        <v>Running</v>
      </c>
    </row>
    <row r="745" spans="1:5" x14ac:dyDescent="0.25">
      <c r="A745" s="8">
        <v>44719</v>
      </c>
      <c r="B745" t="s">
        <v>23</v>
      </c>
      <c r="C745">
        <v>2383</v>
      </c>
      <c r="D745" t="s">
        <v>8</v>
      </c>
      <c r="E745" t="str">
        <f>IF(june[[#This Row],[ShiftCounter]]&gt;0, "Running", "Down")</f>
        <v>Running</v>
      </c>
    </row>
    <row r="746" spans="1:5" x14ac:dyDescent="0.25">
      <c r="A746" s="8">
        <v>44719</v>
      </c>
      <c r="B746" t="s">
        <v>24</v>
      </c>
      <c r="C746">
        <v>2046</v>
      </c>
      <c r="D746" t="s">
        <v>6</v>
      </c>
      <c r="E746" t="str">
        <f>IF(june[[#This Row],[ShiftCounter]]&gt;0, "Running", "Down")</f>
        <v>Running</v>
      </c>
    </row>
    <row r="747" spans="1:5" x14ac:dyDescent="0.25">
      <c r="A747" s="8">
        <v>44719</v>
      </c>
      <c r="B747" t="s">
        <v>24</v>
      </c>
      <c r="C747">
        <v>2085</v>
      </c>
      <c r="D747" t="s">
        <v>7</v>
      </c>
      <c r="E747" t="str">
        <f>IF(june[[#This Row],[ShiftCounter]]&gt;0, "Running", "Down")</f>
        <v>Running</v>
      </c>
    </row>
    <row r="748" spans="1:5" x14ac:dyDescent="0.25">
      <c r="A748" s="8">
        <v>44719</v>
      </c>
      <c r="B748" t="s">
        <v>24</v>
      </c>
      <c r="C748">
        <v>1818</v>
      </c>
      <c r="D748" t="s">
        <v>8</v>
      </c>
      <c r="E748" t="str">
        <f>IF(june[[#This Row],[ShiftCounter]]&gt;0, "Running", "Down")</f>
        <v>Running</v>
      </c>
    </row>
    <row r="749" spans="1:5" x14ac:dyDescent="0.25">
      <c r="A749" s="8">
        <v>44719</v>
      </c>
      <c r="B749" t="s">
        <v>25</v>
      </c>
      <c r="C749">
        <v>2015</v>
      </c>
      <c r="D749" t="s">
        <v>6</v>
      </c>
      <c r="E749" t="str">
        <f>IF(june[[#This Row],[ShiftCounter]]&gt;0, "Running", "Down")</f>
        <v>Running</v>
      </c>
    </row>
    <row r="750" spans="1:5" x14ac:dyDescent="0.25">
      <c r="A750" s="8">
        <v>44719</v>
      </c>
      <c r="B750" t="s">
        <v>25</v>
      </c>
      <c r="C750">
        <v>2215</v>
      </c>
      <c r="D750" t="s">
        <v>7</v>
      </c>
      <c r="E750" t="str">
        <f>IF(june[[#This Row],[ShiftCounter]]&gt;0, "Running", "Down")</f>
        <v>Running</v>
      </c>
    </row>
    <row r="751" spans="1:5" x14ac:dyDescent="0.25">
      <c r="A751" s="8">
        <v>44719</v>
      </c>
      <c r="B751" t="s">
        <v>25</v>
      </c>
      <c r="C751">
        <v>2026</v>
      </c>
      <c r="D751" t="s">
        <v>8</v>
      </c>
      <c r="E751" t="str">
        <f>IF(june[[#This Row],[ShiftCounter]]&gt;0, "Running", "Down")</f>
        <v>Running</v>
      </c>
    </row>
    <row r="752" spans="1:5" x14ac:dyDescent="0.25">
      <c r="A752" s="8">
        <v>44719</v>
      </c>
      <c r="B752" t="s">
        <v>26</v>
      </c>
      <c r="C752">
        <v>0</v>
      </c>
      <c r="D752" t="s">
        <v>6</v>
      </c>
      <c r="E752" t="str">
        <f>IF(june[[#This Row],[ShiftCounter]]&gt;0, "Running", "Down")</f>
        <v>Down</v>
      </c>
    </row>
    <row r="753" spans="1:7" x14ac:dyDescent="0.25">
      <c r="A753" s="8">
        <v>44719</v>
      </c>
      <c r="B753" t="s">
        <v>26</v>
      </c>
      <c r="C753">
        <v>2550</v>
      </c>
      <c r="D753" t="s">
        <v>7</v>
      </c>
      <c r="E753" t="str">
        <f>IF(june[[#This Row],[ShiftCounter]]&gt;0, "Running", "Down")</f>
        <v>Running</v>
      </c>
    </row>
    <row r="754" spans="1:7" x14ac:dyDescent="0.25">
      <c r="A754" s="8">
        <v>44719</v>
      </c>
      <c r="B754" t="s">
        <v>26</v>
      </c>
      <c r="C754">
        <v>1822</v>
      </c>
      <c r="D754" t="s">
        <v>8</v>
      </c>
      <c r="E754" t="str">
        <f>IF(june[[#This Row],[ShiftCounter]]&gt;0, "Running", "Down")</f>
        <v>Running</v>
      </c>
    </row>
    <row r="755" spans="1:7" x14ac:dyDescent="0.25">
      <c r="A755" s="8">
        <v>44719</v>
      </c>
      <c r="B755" t="s">
        <v>27</v>
      </c>
      <c r="C755">
        <v>2115</v>
      </c>
      <c r="D755" t="s">
        <v>6</v>
      </c>
      <c r="E755" t="str">
        <f>IF(june[[#This Row],[ShiftCounter]]&gt;0, "Running", "Down")</f>
        <v>Running</v>
      </c>
    </row>
    <row r="756" spans="1:7" x14ac:dyDescent="0.25">
      <c r="A756" s="8">
        <v>44719</v>
      </c>
      <c r="B756" t="s">
        <v>27</v>
      </c>
      <c r="C756">
        <v>2154</v>
      </c>
      <c r="D756" t="s">
        <v>7</v>
      </c>
      <c r="E756" t="str">
        <f>IF(june[[#This Row],[ShiftCounter]]&gt;0, "Running", "Down")</f>
        <v>Running</v>
      </c>
    </row>
    <row r="757" spans="1:7" x14ac:dyDescent="0.25">
      <c r="A757" s="8">
        <v>44719</v>
      </c>
      <c r="B757" t="s">
        <v>27</v>
      </c>
      <c r="C757">
        <v>1882</v>
      </c>
      <c r="D757" t="s">
        <v>8</v>
      </c>
      <c r="E757" t="str">
        <f>IF(june[[#This Row],[ShiftCounter]]&gt;0, "Running", "Down")</f>
        <v>Running</v>
      </c>
    </row>
    <row r="758" spans="1:7" x14ac:dyDescent="0.25">
      <c r="A758" s="8">
        <v>44719</v>
      </c>
      <c r="B758" t="s">
        <v>28</v>
      </c>
      <c r="C758">
        <v>1774</v>
      </c>
      <c r="D758" t="s">
        <v>6</v>
      </c>
      <c r="E758" t="str">
        <f>IF(june[[#This Row],[ShiftCounter]]&gt;0, "Running", "Down")</f>
        <v>Running</v>
      </c>
      <c r="G758">
        <f>3549/2</f>
        <v>1774.5</v>
      </c>
    </row>
    <row r="759" spans="1:7" x14ac:dyDescent="0.25">
      <c r="A759" s="8">
        <v>44719</v>
      </c>
      <c r="B759" t="s">
        <v>28</v>
      </c>
      <c r="C759">
        <v>1775</v>
      </c>
      <c r="D759" t="s">
        <v>7</v>
      </c>
      <c r="E759" t="str">
        <f>IF(june[[#This Row],[ShiftCounter]]&gt;0, "Running", "Down")</f>
        <v>Running</v>
      </c>
      <c r="G759">
        <v>1774</v>
      </c>
    </row>
    <row r="760" spans="1:7" x14ac:dyDescent="0.25">
      <c r="A760" s="8">
        <v>44719</v>
      </c>
      <c r="B760" t="s">
        <v>28</v>
      </c>
      <c r="C760">
        <v>1913</v>
      </c>
      <c r="D760" t="s">
        <v>8</v>
      </c>
      <c r="E760" t="str">
        <f>IF(june[[#This Row],[ShiftCounter]]&gt;0, "Running", "Down")</f>
        <v>Running</v>
      </c>
      <c r="G760">
        <v>1775</v>
      </c>
    </row>
    <row r="761" spans="1:7" x14ac:dyDescent="0.25">
      <c r="A761" s="8">
        <v>44719</v>
      </c>
      <c r="B761" t="s">
        <v>29</v>
      </c>
      <c r="C761">
        <v>2378</v>
      </c>
      <c r="D761" t="s">
        <v>6</v>
      </c>
      <c r="E761" t="str">
        <f>IF(june[[#This Row],[ShiftCounter]]&gt;0, "Running", "Down")</f>
        <v>Running</v>
      </c>
      <c r="G761">
        <f>G759+G760</f>
        <v>3549</v>
      </c>
    </row>
    <row r="762" spans="1:7" x14ac:dyDescent="0.25">
      <c r="A762" s="8">
        <v>44719</v>
      </c>
      <c r="B762" t="s">
        <v>29</v>
      </c>
      <c r="C762">
        <v>2026</v>
      </c>
      <c r="D762" t="s">
        <v>7</v>
      </c>
      <c r="E762" t="str">
        <f>IF(june[[#This Row],[ShiftCounter]]&gt;0, "Running", "Down")</f>
        <v>Running</v>
      </c>
    </row>
    <row r="763" spans="1:7" x14ac:dyDescent="0.25">
      <c r="A763" s="8">
        <v>44719</v>
      </c>
      <c r="B763" t="s">
        <v>29</v>
      </c>
      <c r="C763">
        <v>1880</v>
      </c>
      <c r="D763" t="s">
        <v>8</v>
      </c>
      <c r="E763" t="str">
        <f>IF(june[[#This Row],[ShiftCounter]]&gt;0, "Running", "Down")</f>
        <v>Running</v>
      </c>
    </row>
    <row r="764" spans="1:7" x14ac:dyDescent="0.25">
      <c r="A764" s="8">
        <v>44719</v>
      </c>
      <c r="B764" t="s">
        <v>30</v>
      </c>
      <c r="C764">
        <v>2415</v>
      </c>
      <c r="D764" t="s">
        <v>6</v>
      </c>
      <c r="E764" t="str">
        <f>IF(june[[#This Row],[ShiftCounter]]&gt;0, "Running", "Down")</f>
        <v>Running</v>
      </c>
    </row>
    <row r="765" spans="1:7" x14ac:dyDescent="0.25">
      <c r="A765" s="8">
        <v>44719</v>
      </c>
      <c r="B765" t="s">
        <v>30</v>
      </c>
      <c r="C765">
        <v>2321</v>
      </c>
      <c r="D765" t="s">
        <v>7</v>
      </c>
      <c r="E765" t="str">
        <f>IF(june[[#This Row],[ShiftCounter]]&gt;0, "Running", "Down")</f>
        <v>Running</v>
      </c>
    </row>
    <row r="766" spans="1:7" x14ac:dyDescent="0.25">
      <c r="A766" s="8">
        <v>44719</v>
      </c>
      <c r="B766" t="s">
        <v>30</v>
      </c>
      <c r="C766">
        <v>2141</v>
      </c>
      <c r="D766" t="s">
        <v>8</v>
      </c>
      <c r="E766" t="str">
        <f>IF(june[[#This Row],[ShiftCounter]]&gt;0, "Running", "Down")</f>
        <v>Running</v>
      </c>
    </row>
    <row r="767" spans="1:7" x14ac:dyDescent="0.25">
      <c r="A767" s="8">
        <v>44719</v>
      </c>
      <c r="B767" t="s">
        <v>32</v>
      </c>
      <c r="C767">
        <v>0</v>
      </c>
      <c r="D767" t="s">
        <v>6</v>
      </c>
      <c r="E767" t="str">
        <f>IF(june[[#This Row],[ShiftCounter]]&gt;0, "Running", "Down")</f>
        <v>Down</v>
      </c>
    </row>
    <row r="768" spans="1:7" x14ac:dyDescent="0.25">
      <c r="A768" s="8">
        <v>44719</v>
      </c>
      <c r="B768" t="s">
        <v>32</v>
      </c>
      <c r="C768">
        <v>2453</v>
      </c>
      <c r="D768" t="s">
        <v>7</v>
      </c>
      <c r="E768" t="str">
        <f>IF(june[[#This Row],[ShiftCounter]]&gt;0, "Running", "Down")</f>
        <v>Running</v>
      </c>
    </row>
    <row r="769" spans="1:5" x14ac:dyDescent="0.25">
      <c r="A769" s="8">
        <v>44719</v>
      </c>
      <c r="B769" t="s">
        <v>32</v>
      </c>
      <c r="C769">
        <v>1930</v>
      </c>
      <c r="D769" t="s">
        <v>8</v>
      </c>
      <c r="E769" t="str">
        <f>IF(june[[#This Row],[ShiftCounter]]&gt;0, "Running", "Down")</f>
        <v>Running</v>
      </c>
    </row>
    <row r="770" spans="1:5" x14ac:dyDescent="0.25">
      <c r="A770" s="8">
        <v>44719</v>
      </c>
      <c r="B770" t="s">
        <v>31</v>
      </c>
      <c r="C770">
        <v>2362</v>
      </c>
      <c r="D770" t="s">
        <v>6</v>
      </c>
      <c r="E770" t="str">
        <f>IF(june[[#This Row],[ShiftCounter]]&gt;0, "Running", "Down")</f>
        <v>Running</v>
      </c>
    </row>
    <row r="771" spans="1:5" x14ac:dyDescent="0.25">
      <c r="A771" s="8">
        <v>44719</v>
      </c>
      <c r="B771" t="s">
        <v>31</v>
      </c>
      <c r="C771">
        <v>2370</v>
      </c>
      <c r="D771" t="s">
        <v>7</v>
      </c>
      <c r="E771" t="str">
        <f>IF(june[[#This Row],[ShiftCounter]]&gt;0, "Running", "Down")</f>
        <v>Running</v>
      </c>
    </row>
    <row r="772" spans="1:5" x14ac:dyDescent="0.25">
      <c r="A772" s="8">
        <v>44719</v>
      </c>
      <c r="B772" t="s">
        <v>31</v>
      </c>
      <c r="C772">
        <v>2088</v>
      </c>
      <c r="D772" t="s">
        <v>8</v>
      </c>
      <c r="E772" t="str">
        <f>IF(june[[#This Row],[ShiftCounter]]&gt;0, "Running", "Down")</f>
        <v>Running</v>
      </c>
    </row>
    <row r="773" spans="1:5" x14ac:dyDescent="0.25">
      <c r="A773" s="8">
        <v>44719</v>
      </c>
      <c r="B773" t="s">
        <v>67</v>
      </c>
      <c r="C773">
        <v>2276</v>
      </c>
      <c r="D773" t="s">
        <v>6</v>
      </c>
      <c r="E773" t="str">
        <f>IF(june[[#This Row],[ShiftCounter]]&gt;0, "Running", "Down")</f>
        <v>Running</v>
      </c>
    </row>
    <row r="774" spans="1:5" x14ac:dyDescent="0.25">
      <c r="A774" s="8">
        <v>44719</v>
      </c>
      <c r="B774" t="s">
        <v>67</v>
      </c>
      <c r="C774">
        <v>2107</v>
      </c>
      <c r="D774" t="s">
        <v>7</v>
      </c>
      <c r="E774" t="str">
        <f>IF(june[[#This Row],[ShiftCounter]]&gt;0, "Running", "Down")</f>
        <v>Running</v>
      </c>
    </row>
    <row r="775" spans="1:5" x14ac:dyDescent="0.25">
      <c r="A775" s="8">
        <v>44719</v>
      </c>
      <c r="B775" t="s">
        <v>67</v>
      </c>
      <c r="C775">
        <v>1770</v>
      </c>
      <c r="D775" t="s">
        <v>8</v>
      </c>
      <c r="E775" t="str">
        <f>IF(june[[#This Row],[ShiftCounter]]&gt;0, "Running", "Down")</f>
        <v>Running</v>
      </c>
    </row>
    <row r="776" spans="1:5" x14ac:dyDescent="0.25">
      <c r="A776" s="8">
        <v>44719</v>
      </c>
      <c r="B776" t="s">
        <v>33</v>
      </c>
      <c r="C776">
        <v>2572</v>
      </c>
      <c r="D776" t="s">
        <v>6</v>
      </c>
      <c r="E776" t="str">
        <f>IF(june[[#This Row],[ShiftCounter]]&gt;0, "Running", "Down")</f>
        <v>Running</v>
      </c>
    </row>
    <row r="777" spans="1:5" x14ac:dyDescent="0.25">
      <c r="A777" s="8">
        <v>44719</v>
      </c>
      <c r="B777" t="s">
        <v>33</v>
      </c>
      <c r="C777">
        <v>2410</v>
      </c>
      <c r="D777" t="s">
        <v>7</v>
      </c>
      <c r="E777" t="str">
        <f>IF(june[[#This Row],[ShiftCounter]]&gt;0, "Running", "Down")</f>
        <v>Running</v>
      </c>
    </row>
    <row r="778" spans="1:5" x14ac:dyDescent="0.25">
      <c r="A778" s="8">
        <v>44719</v>
      </c>
      <c r="B778" t="s">
        <v>33</v>
      </c>
      <c r="C778">
        <v>2314</v>
      </c>
      <c r="D778" t="s">
        <v>8</v>
      </c>
      <c r="E778" t="str">
        <f>IF(june[[#This Row],[ShiftCounter]]&gt;0, "Running", "Down")</f>
        <v>Running</v>
      </c>
    </row>
    <row r="779" spans="1:5" x14ac:dyDescent="0.25">
      <c r="A779" s="8">
        <v>44719</v>
      </c>
      <c r="B779" t="s">
        <v>34</v>
      </c>
      <c r="C779">
        <v>2087</v>
      </c>
      <c r="D779" t="s">
        <v>6</v>
      </c>
      <c r="E779" t="str">
        <f>IF(june[[#This Row],[ShiftCounter]]&gt;0, "Running", "Down")</f>
        <v>Running</v>
      </c>
    </row>
    <row r="780" spans="1:5" x14ac:dyDescent="0.25">
      <c r="A780" s="8">
        <v>44719</v>
      </c>
      <c r="B780" t="s">
        <v>34</v>
      </c>
      <c r="C780">
        <v>2027</v>
      </c>
      <c r="D780" t="s">
        <v>7</v>
      </c>
      <c r="E780" t="str">
        <f>IF(june[[#This Row],[ShiftCounter]]&gt;0, "Running", "Down")</f>
        <v>Running</v>
      </c>
    </row>
    <row r="781" spans="1:5" x14ac:dyDescent="0.25">
      <c r="A781" s="8">
        <v>44719</v>
      </c>
      <c r="B781" t="s">
        <v>34</v>
      </c>
      <c r="C781">
        <v>1792</v>
      </c>
      <c r="D781" t="s">
        <v>8</v>
      </c>
      <c r="E781" t="str">
        <f>IF(june[[#This Row],[ShiftCounter]]&gt;0, "Running", "Down")</f>
        <v>Running</v>
      </c>
    </row>
    <row r="782" spans="1:5" x14ac:dyDescent="0.25">
      <c r="A782" s="8">
        <v>44719</v>
      </c>
      <c r="B782" t="s">
        <v>35</v>
      </c>
      <c r="C782">
        <v>1243</v>
      </c>
      <c r="D782" t="s">
        <v>6</v>
      </c>
      <c r="E782" t="str">
        <f>IF(june[[#This Row],[ShiftCounter]]&gt;0, "Running", "Down")</f>
        <v>Running</v>
      </c>
    </row>
    <row r="783" spans="1:5" x14ac:dyDescent="0.25">
      <c r="A783" s="8">
        <v>44719</v>
      </c>
      <c r="B783" t="s">
        <v>35</v>
      </c>
      <c r="C783">
        <v>2005</v>
      </c>
      <c r="D783" t="s">
        <v>7</v>
      </c>
      <c r="E783" t="str">
        <f>IF(june[[#This Row],[ShiftCounter]]&gt;0, "Running", "Down")</f>
        <v>Running</v>
      </c>
    </row>
    <row r="784" spans="1:5" x14ac:dyDescent="0.25">
      <c r="A784" s="8">
        <v>44719</v>
      </c>
      <c r="B784" t="s">
        <v>35</v>
      </c>
      <c r="C784">
        <v>1974</v>
      </c>
      <c r="D784" t="s">
        <v>8</v>
      </c>
      <c r="E784" t="str">
        <f>IF(june[[#This Row],[ShiftCounter]]&gt;0, "Running", "Down")</f>
        <v>Running</v>
      </c>
    </row>
    <row r="785" spans="1:5" x14ac:dyDescent="0.25">
      <c r="A785" s="8">
        <v>44719</v>
      </c>
      <c r="B785" t="s">
        <v>36</v>
      </c>
      <c r="C785">
        <v>2465</v>
      </c>
      <c r="D785" t="s">
        <v>6</v>
      </c>
      <c r="E785" t="str">
        <f>IF(june[[#This Row],[ShiftCounter]]&gt;0, "Running", "Down")</f>
        <v>Running</v>
      </c>
    </row>
    <row r="786" spans="1:5" x14ac:dyDescent="0.25">
      <c r="A786" s="8">
        <v>44719</v>
      </c>
      <c r="B786" t="s">
        <v>36</v>
      </c>
      <c r="C786">
        <v>2236</v>
      </c>
      <c r="D786" t="s">
        <v>7</v>
      </c>
      <c r="E786" t="str">
        <f>IF(june[[#This Row],[ShiftCounter]]&gt;0, "Running", "Down")</f>
        <v>Running</v>
      </c>
    </row>
    <row r="787" spans="1:5" x14ac:dyDescent="0.25">
      <c r="A787" s="8">
        <v>44719</v>
      </c>
      <c r="B787" t="s">
        <v>36</v>
      </c>
      <c r="C787">
        <v>2150</v>
      </c>
      <c r="D787" t="s">
        <v>8</v>
      </c>
      <c r="E787" t="str">
        <f>IF(june[[#This Row],[ShiftCounter]]&gt;0, "Running", "Down")</f>
        <v>Running</v>
      </c>
    </row>
    <row r="788" spans="1:5" x14ac:dyDescent="0.25">
      <c r="A788" s="8">
        <v>44719</v>
      </c>
      <c r="B788" t="s">
        <v>37</v>
      </c>
      <c r="C788">
        <v>2387</v>
      </c>
      <c r="D788" t="s">
        <v>6</v>
      </c>
      <c r="E788" t="str">
        <f>IF(june[[#This Row],[ShiftCounter]]&gt;0, "Running", "Down")</f>
        <v>Running</v>
      </c>
    </row>
    <row r="789" spans="1:5" x14ac:dyDescent="0.25">
      <c r="A789" s="8">
        <v>44719</v>
      </c>
      <c r="B789" t="s">
        <v>37</v>
      </c>
      <c r="C789">
        <v>2291</v>
      </c>
      <c r="D789" t="s">
        <v>7</v>
      </c>
      <c r="E789" t="str">
        <f>IF(june[[#This Row],[ShiftCounter]]&gt;0, "Running", "Down")</f>
        <v>Running</v>
      </c>
    </row>
    <row r="790" spans="1:5" x14ac:dyDescent="0.25">
      <c r="A790" s="8">
        <v>44719</v>
      </c>
      <c r="B790" t="s">
        <v>37</v>
      </c>
      <c r="C790">
        <v>1996</v>
      </c>
      <c r="D790" t="s">
        <v>8</v>
      </c>
      <c r="E790" t="str">
        <f>IF(june[[#This Row],[ShiftCounter]]&gt;0, "Running", "Down")</f>
        <v>Running</v>
      </c>
    </row>
    <row r="791" spans="1:5" x14ac:dyDescent="0.25">
      <c r="A791" s="8">
        <v>44719</v>
      </c>
      <c r="B791" t="s">
        <v>54</v>
      </c>
      <c r="C791">
        <v>0</v>
      </c>
      <c r="D791" t="s">
        <v>6</v>
      </c>
      <c r="E791" t="str">
        <f>IF(june[[#This Row],[ShiftCounter]]&gt;0, "Running", "Down")</f>
        <v>Down</v>
      </c>
    </row>
    <row r="792" spans="1:5" x14ac:dyDescent="0.25">
      <c r="A792" s="8">
        <v>44719</v>
      </c>
      <c r="B792" t="s">
        <v>54</v>
      </c>
      <c r="C792">
        <v>0</v>
      </c>
      <c r="D792" t="s">
        <v>7</v>
      </c>
      <c r="E792" t="str">
        <f>IF(june[[#This Row],[ShiftCounter]]&gt;0, "Running", "Down")</f>
        <v>Down</v>
      </c>
    </row>
    <row r="793" spans="1:5" x14ac:dyDescent="0.25">
      <c r="A793" s="8">
        <v>44719</v>
      </c>
      <c r="B793" t="s">
        <v>54</v>
      </c>
      <c r="C793">
        <v>1753</v>
      </c>
      <c r="D793" t="s">
        <v>8</v>
      </c>
      <c r="E793" t="str">
        <f>IF(june[[#This Row],[ShiftCounter]]&gt;0, "Running", "Down")</f>
        <v>Running</v>
      </c>
    </row>
    <row r="794" spans="1:5" x14ac:dyDescent="0.25">
      <c r="A794" s="8">
        <v>44720</v>
      </c>
      <c r="B794" t="s">
        <v>136</v>
      </c>
      <c r="C794">
        <v>2359</v>
      </c>
      <c r="D794" t="s">
        <v>6</v>
      </c>
      <c r="E794" t="str">
        <f>IF(june[[#This Row],[ShiftCounter]]&gt;0, "Running", "Down")</f>
        <v>Running</v>
      </c>
    </row>
    <row r="795" spans="1:5" x14ac:dyDescent="0.25">
      <c r="A795" s="8">
        <v>44720</v>
      </c>
      <c r="B795" t="s">
        <v>136</v>
      </c>
      <c r="C795">
        <v>2513</v>
      </c>
      <c r="D795" t="s">
        <v>7</v>
      </c>
      <c r="E795" t="str">
        <f>IF(june[[#This Row],[ShiftCounter]]&gt;0, "Running", "Down")</f>
        <v>Running</v>
      </c>
    </row>
    <row r="796" spans="1:5" x14ac:dyDescent="0.25">
      <c r="A796" s="8">
        <v>44720</v>
      </c>
      <c r="B796" t="s">
        <v>136</v>
      </c>
      <c r="C796">
        <v>1593</v>
      </c>
      <c r="D796" t="s">
        <v>8</v>
      </c>
      <c r="E796" t="str">
        <f>IF(june[[#This Row],[ShiftCounter]]&gt;0, "Running", "Down")</f>
        <v>Running</v>
      </c>
    </row>
    <row r="797" spans="1:5" x14ac:dyDescent="0.25">
      <c r="A797" s="8">
        <v>44720</v>
      </c>
      <c r="B797" t="s">
        <v>135</v>
      </c>
      <c r="C797">
        <v>2247</v>
      </c>
      <c r="D797" t="s">
        <v>6</v>
      </c>
      <c r="E797" t="str">
        <f>IF(june[[#This Row],[ShiftCounter]]&gt;0, "Running", "Down")</f>
        <v>Running</v>
      </c>
    </row>
    <row r="798" spans="1:5" x14ac:dyDescent="0.25">
      <c r="A798" s="8">
        <v>44720</v>
      </c>
      <c r="B798" t="s">
        <v>135</v>
      </c>
      <c r="C798">
        <v>2331</v>
      </c>
      <c r="D798" t="s">
        <v>7</v>
      </c>
      <c r="E798" t="str">
        <f>IF(june[[#This Row],[ShiftCounter]]&gt;0, "Running", "Down")</f>
        <v>Running</v>
      </c>
    </row>
    <row r="799" spans="1:5" x14ac:dyDescent="0.25">
      <c r="A799" s="8">
        <v>44720</v>
      </c>
      <c r="B799" t="s">
        <v>135</v>
      </c>
      <c r="C799">
        <v>1596</v>
      </c>
      <c r="D799" t="s">
        <v>8</v>
      </c>
      <c r="E799" t="str">
        <f>IF(june[[#This Row],[ShiftCounter]]&gt;0, "Running", "Down")</f>
        <v>Running</v>
      </c>
    </row>
    <row r="800" spans="1:5" x14ac:dyDescent="0.25">
      <c r="A800" s="8">
        <v>44720</v>
      </c>
      <c r="B800" t="s">
        <v>40</v>
      </c>
      <c r="C800">
        <v>2384</v>
      </c>
      <c r="D800" t="s">
        <v>6</v>
      </c>
      <c r="E800" t="str">
        <f>IF(june[[#This Row],[ShiftCounter]]&gt;0, "Running", "Down")</f>
        <v>Running</v>
      </c>
    </row>
    <row r="801" spans="1:5" x14ac:dyDescent="0.25">
      <c r="A801" s="8">
        <v>44720</v>
      </c>
      <c r="B801" t="s">
        <v>40</v>
      </c>
      <c r="C801">
        <v>2407</v>
      </c>
      <c r="D801" t="s">
        <v>7</v>
      </c>
      <c r="E801" t="str">
        <f>IF(june[[#This Row],[ShiftCounter]]&gt;0, "Running", "Down")</f>
        <v>Running</v>
      </c>
    </row>
    <row r="802" spans="1:5" x14ac:dyDescent="0.25">
      <c r="A802" s="8">
        <v>44720</v>
      </c>
      <c r="B802" t="s">
        <v>40</v>
      </c>
      <c r="C802">
        <v>1636</v>
      </c>
      <c r="D802" t="s">
        <v>8</v>
      </c>
      <c r="E802" t="str">
        <f>IF(june[[#This Row],[ShiftCounter]]&gt;0, "Running", "Down")</f>
        <v>Running</v>
      </c>
    </row>
    <row r="803" spans="1:5" x14ac:dyDescent="0.25">
      <c r="A803" s="8">
        <v>44720</v>
      </c>
      <c r="B803" t="s">
        <v>39</v>
      </c>
      <c r="C803">
        <v>2084</v>
      </c>
      <c r="D803" t="s">
        <v>6</v>
      </c>
      <c r="E803" t="str">
        <f>IF(june[[#This Row],[ShiftCounter]]&gt;0, "Running", "Down")</f>
        <v>Running</v>
      </c>
    </row>
    <row r="804" spans="1:5" x14ac:dyDescent="0.25">
      <c r="A804" s="8">
        <v>44720</v>
      </c>
      <c r="B804" t="s">
        <v>39</v>
      </c>
      <c r="C804">
        <v>2406</v>
      </c>
      <c r="D804" t="s">
        <v>7</v>
      </c>
      <c r="E804" t="str">
        <f>IF(june[[#This Row],[ShiftCounter]]&gt;0, "Running", "Down")</f>
        <v>Running</v>
      </c>
    </row>
    <row r="805" spans="1:5" x14ac:dyDescent="0.25">
      <c r="A805" s="8">
        <v>44720</v>
      </c>
      <c r="B805" t="s">
        <v>39</v>
      </c>
      <c r="C805">
        <v>1595</v>
      </c>
      <c r="D805" t="s">
        <v>8</v>
      </c>
      <c r="E805" t="str">
        <f>IF(june[[#This Row],[ShiftCounter]]&gt;0, "Running", "Down")</f>
        <v>Running</v>
      </c>
    </row>
    <row r="806" spans="1:5" x14ac:dyDescent="0.25">
      <c r="A806" s="8">
        <v>44720</v>
      </c>
      <c r="B806" t="s">
        <v>41</v>
      </c>
      <c r="C806">
        <v>2338</v>
      </c>
      <c r="D806" t="s">
        <v>6</v>
      </c>
      <c r="E806" t="str">
        <f>IF(june[[#This Row],[ShiftCounter]]&gt;0, "Running", "Down")</f>
        <v>Running</v>
      </c>
    </row>
    <row r="807" spans="1:5" x14ac:dyDescent="0.25">
      <c r="A807" s="8">
        <v>44720</v>
      </c>
      <c r="B807" t="s">
        <v>41</v>
      </c>
      <c r="C807">
        <v>2484</v>
      </c>
      <c r="D807" t="s">
        <v>7</v>
      </c>
      <c r="E807" t="str">
        <f>IF(june[[#This Row],[ShiftCounter]]&gt;0, "Running", "Down")</f>
        <v>Running</v>
      </c>
    </row>
    <row r="808" spans="1:5" x14ac:dyDescent="0.25">
      <c r="A808" s="8">
        <v>44720</v>
      </c>
      <c r="B808" t="s">
        <v>41</v>
      </c>
      <c r="C808">
        <v>1614</v>
      </c>
      <c r="D808" t="s">
        <v>8</v>
      </c>
      <c r="E808" t="str">
        <f>IF(june[[#This Row],[ShiftCounter]]&gt;0, "Running", "Down")</f>
        <v>Running</v>
      </c>
    </row>
    <row r="809" spans="1:5" x14ac:dyDescent="0.25">
      <c r="A809" s="8">
        <v>44720</v>
      </c>
      <c r="B809" t="s">
        <v>5</v>
      </c>
      <c r="C809">
        <v>2375</v>
      </c>
      <c r="D809" t="s">
        <v>6</v>
      </c>
      <c r="E809" t="str">
        <f>IF(june[[#This Row],[ShiftCounter]]&gt;0, "Running", "Down")</f>
        <v>Running</v>
      </c>
    </row>
    <row r="810" spans="1:5" x14ac:dyDescent="0.25">
      <c r="A810" s="8">
        <v>44720</v>
      </c>
      <c r="B810" t="s">
        <v>5</v>
      </c>
      <c r="C810">
        <v>2471</v>
      </c>
      <c r="D810" t="s">
        <v>7</v>
      </c>
      <c r="E810" t="str">
        <f>IF(june[[#This Row],[ShiftCounter]]&gt;0, "Running", "Down")</f>
        <v>Running</v>
      </c>
    </row>
    <row r="811" spans="1:5" x14ac:dyDescent="0.25">
      <c r="A811" s="8">
        <v>44720</v>
      </c>
      <c r="B811" t="s">
        <v>5</v>
      </c>
      <c r="C811">
        <v>1591</v>
      </c>
      <c r="D811" t="s">
        <v>8</v>
      </c>
      <c r="E811" t="str">
        <f>IF(june[[#This Row],[ShiftCounter]]&gt;0, "Running", "Down")</f>
        <v>Running</v>
      </c>
    </row>
    <row r="812" spans="1:5" x14ac:dyDescent="0.25">
      <c r="A812" s="8">
        <v>44720</v>
      </c>
      <c r="B812" t="s">
        <v>9</v>
      </c>
      <c r="C812">
        <v>2382</v>
      </c>
      <c r="D812" t="s">
        <v>6</v>
      </c>
      <c r="E812" t="str">
        <f>IF(june[[#This Row],[ShiftCounter]]&gt;0, "Running", "Down")</f>
        <v>Running</v>
      </c>
    </row>
    <row r="813" spans="1:5" x14ac:dyDescent="0.25">
      <c r="A813" s="8">
        <v>44720</v>
      </c>
      <c r="B813" t="s">
        <v>9</v>
      </c>
      <c r="C813">
        <v>2487</v>
      </c>
      <c r="D813" t="s">
        <v>7</v>
      </c>
      <c r="E813" t="str">
        <f>IF(june[[#This Row],[ShiftCounter]]&gt;0, "Running", "Down")</f>
        <v>Running</v>
      </c>
    </row>
    <row r="814" spans="1:5" x14ac:dyDescent="0.25">
      <c r="A814" s="8">
        <v>44720</v>
      </c>
      <c r="B814" t="s">
        <v>9</v>
      </c>
      <c r="C814">
        <v>1595</v>
      </c>
      <c r="D814" t="s">
        <v>8</v>
      </c>
      <c r="E814" t="str">
        <f>IF(june[[#This Row],[ShiftCounter]]&gt;0, "Running", "Down")</f>
        <v>Running</v>
      </c>
    </row>
    <row r="815" spans="1:5" x14ac:dyDescent="0.25">
      <c r="A815" s="8">
        <v>44720</v>
      </c>
      <c r="B815" t="s">
        <v>10</v>
      </c>
      <c r="C815">
        <v>2395</v>
      </c>
      <c r="D815" t="s">
        <v>6</v>
      </c>
      <c r="E815" t="str">
        <f>IF(june[[#This Row],[ShiftCounter]]&gt;0, "Running", "Down")</f>
        <v>Running</v>
      </c>
    </row>
    <row r="816" spans="1:5" x14ac:dyDescent="0.25">
      <c r="A816" s="8">
        <v>44720</v>
      </c>
      <c r="B816" t="s">
        <v>10</v>
      </c>
      <c r="C816">
        <v>2477</v>
      </c>
      <c r="D816" t="s">
        <v>7</v>
      </c>
      <c r="E816" t="str">
        <f>IF(june[[#This Row],[ShiftCounter]]&gt;0, "Running", "Down")</f>
        <v>Running</v>
      </c>
    </row>
    <row r="817" spans="1:5" x14ac:dyDescent="0.25">
      <c r="A817" s="8">
        <v>44720</v>
      </c>
      <c r="B817" t="s">
        <v>10</v>
      </c>
      <c r="C817">
        <v>1595</v>
      </c>
      <c r="D817" t="s">
        <v>8</v>
      </c>
      <c r="E817" t="str">
        <f>IF(june[[#This Row],[ShiftCounter]]&gt;0, "Running", "Down")</f>
        <v>Running</v>
      </c>
    </row>
    <row r="818" spans="1:5" x14ac:dyDescent="0.25">
      <c r="A818" s="8">
        <v>44720</v>
      </c>
      <c r="B818" t="s">
        <v>11</v>
      </c>
      <c r="C818">
        <v>2383</v>
      </c>
      <c r="D818" t="s">
        <v>6</v>
      </c>
      <c r="E818" t="str">
        <f>IF(june[[#This Row],[ShiftCounter]]&gt;0, "Running", "Down")</f>
        <v>Running</v>
      </c>
    </row>
    <row r="819" spans="1:5" x14ac:dyDescent="0.25">
      <c r="A819" s="8">
        <v>44720</v>
      </c>
      <c r="B819" t="s">
        <v>11</v>
      </c>
      <c r="C819">
        <v>2399</v>
      </c>
      <c r="D819" t="s">
        <v>7</v>
      </c>
      <c r="E819" t="str">
        <f>IF(june[[#This Row],[ShiftCounter]]&gt;0, "Running", "Down")</f>
        <v>Running</v>
      </c>
    </row>
    <row r="820" spans="1:5" x14ac:dyDescent="0.25">
      <c r="A820" s="8">
        <v>44720</v>
      </c>
      <c r="B820" t="s">
        <v>11</v>
      </c>
      <c r="C820">
        <v>1602</v>
      </c>
      <c r="D820" t="s">
        <v>8</v>
      </c>
      <c r="E820" t="str">
        <f>IF(june[[#This Row],[ShiftCounter]]&gt;0, "Running", "Down")</f>
        <v>Running</v>
      </c>
    </row>
    <row r="821" spans="1:5" x14ac:dyDescent="0.25">
      <c r="A821" s="8">
        <v>44720</v>
      </c>
      <c r="B821" t="s">
        <v>12</v>
      </c>
      <c r="C821">
        <v>2394</v>
      </c>
      <c r="D821" t="s">
        <v>6</v>
      </c>
      <c r="E821" t="str">
        <f>IF(june[[#This Row],[ShiftCounter]]&gt;0, "Running", "Down")</f>
        <v>Running</v>
      </c>
    </row>
    <row r="822" spans="1:5" x14ac:dyDescent="0.25">
      <c r="A822" s="8">
        <v>44720</v>
      </c>
      <c r="B822" t="s">
        <v>12</v>
      </c>
      <c r="C822">
        <v>1742</v>
      </c>
      <c r="D822" t="s">
        <v>7</v>
      </c>
      <c r="E822" t="str">
        <f>IF(june[[#This Row],[ShiftCounter]]&gt;0, "Running", "Down")</f>
        <v>Running</v>
      </c>
    </row>
    <row r="823" spans="1:5" x14ac:dyDescent="0.25">
      <c r="A823" s="8">
        <v>44720</v>
      </c>
      <c r="B823" t="s">
        <v>12</v>
      </c>
      <c r="C823">
        <v>2042</v>
      </c>
      <c r="D823" t="s">
        <v>8</v>
      </c>
      <c r="E823" t="str">
        <f>IF(june[[#This Row],[ShiftCounter]]&gt;0, "Running", "Down")</f>
        <v>Running</v>
      </c>
    </row>
    <row r="824" spans="1:5" x14ac:dyDescent="0.25">
      <c r="A824" s="8">
        <v>44720</v>
      </c>
      <c r="B824" t="s">
        <v>105</v>
      </c>
      <c r="C824">
        <v>448</v>
      </c>
      <c r="D824" t="s">
        <v>6</v>
      </c>
      <c r="E824" t="str">
        <f>IF(june[[#This Row],[ShiftCounter]]&gt;0, "Running", "Down")</f>
        <v>Running</v>
      </c>
    </row>
    <row r="825" spans="1:5" x14ac:dyDescent="0.25">
      <c r="A825" s="8">
        <v>44720</v>
      </c>
      <c r="B825" t="s">
        <v>105</v>
      </c>
      <c r="C825">
        <v>0</v>
      </c>
      <c r="D825" t="s">
        <v>7</v>
      </c>
      <c r="E825" t="str">
        <f>IF(june[[#This Row],[ShiftCounter]]&gt;0, "Running", "Down")</f>
        <v>Down</v>
      </c>
    </row>
    <row r="826" spans="1:5" x14ac:dyDescent="0.25">
      <c r="A826" s="8">
        <v>44720</v>
      </c>
      <c r="B826" t="s">
        <v>105</v>
      </c>
      <c r="C826">
        <v>0</v>
      </c>
      <c r="D826" t="s">
        <v>8</v>
      </c>
      <c r="E826" t="str">
        <f>IF(june[[#This Row],[ShiftCounter]]&gt;0, "Running", "Down")</f>
        <v>Down</v>
      </c>
    </row>
    <row r="827" spans="1:5" x14ac:dyDescent="0.25">
      <c r="A827" s="8">
        <v>44720</v>
      </c>
      <c r="B827" t="s">
        <v>13</v>
      </c>
      <c r="C827">
        <v>2221</v>
      </c>
      <c r="D827" t="s">
        <v>6</v>
      </c>
      <c r="E827" t="str">
        <f>IF(june[[#This Row],[ShiftCounter]]&gt;0, "Running", "Down")</f>
        <v>Running</v>
      </c>
    </row>
    <row r="828" spans="1:5" x14ac:dyDescent="0.25">
      <c r="A828" s="8">
        <v>44720</v>
      </c>
      <c r="B828" t="s">
        <v>13</v>
      </c>
      <c r="C828">
        <v>2108</v>
      </c>
      <c r="D828" t="s">
        <v>7</v>
      </c>
      <c r="E828" t="str">
        <f>IF(june[[#This Row],[ShiftCounter]]&gt;0, "Running", "Down")</f>
        <v>Running</v>
      </c>
    </row>
    <row r="829" spans="1:5" x14ac:dyDescent="0.25">
      <c r="A829" s="8">
        <v>44720</v>
      </c>
      <c r="B829" t="s">
        <v>13</v>
      </c>
      <c r="C829">
        <v>1825</v>
      </c>
      <c r="D829" t="s">
        <v>8</v>
      </c>
      <c r="E829" t="str">
        <f>IF(june[[#This Row],[ShiftCounter]]&gt;0, "Running", "Down")</f>
        <v>Running</v>
      </c>
    </row>
    <row r="830" spans="1:5" x14ac:dyDescent="0.25">
      <c r="A830" s="8">
        <v>44720</v>
      </c>
      <c r="B830" t="s">
        <v>101</v>
      </c>
      <c r="C830">
        <v>2137</v>
      </c>
      <c r="D830" t="s">
        <v>6</v>
      </c>
      <c r="E830" t="str">
        <f>IF(june[[#This Row],[ShiftCounter]]&gt;0, "Running", "Down")</f>
        <v>Running</v>
      </c>
    </row>
    <row r="831" spans="1:5" x14ac:dyDescent="0.25">
      <c r="A831" s="8">
        <v>44720</v>
      </c>
      <c r="B831" t="s">
        <v>101</v>
      </c>
      <c r="C831">
        <v>2031</v>
      </c>
      <c r="D831" t="s">
        <v>7</v>
      </c>
      <c r="E831" t="str">
        <f>IF(june[[#This Row],[ShiftCounter]]&gt;0, "Running", "Down")</f>
        <v>Running</v>
      </c>
    </row>
    <row r="832" spans="1:5" x14ac:dyDescent="0.25">
      <c r="A832" s="8">
        <v>44720</v>
      </c>
      <c r="B832" t="s">
        <v>101</v>
      </c>
      <c r="C832">
        <v>1750</v>
      </c>
      <c r="D832" t="s">
        <v>8</v>
      </c>
      <c r="E832" t="str">
        <f>IF(june[[#This Row],[ShiftCounter]]&gt;0, "Running", "Down")</f>
        <v>Running</v>
      </c>
    </row>
    <row r="833" spans="1:5" x14ac:dyDescent="0.25">
      <c r="A833" s="8">
        <v>44720</v>
      </c>
      <c r="B833" t="s">
        <v>14</v>
      </c>
      <c r="C833">
        <v>2422</v>
      </c>
      <c r="D833" t="s">
        <v>6</v>
      </c>
      <c r="E833" t="str">
        <f>IF(june[[#This Row],[ShiftCounter]]&gt;0, "Running", "Down")</f>
        <v>Running</v>
      </c>
    </row>
    <row r="834" spans="1:5" x14ac:dyDescent="0.25">
      <c r="A834" s="8">
        <v>44720</v>
      </c>
      <c r="B834" t="s">
        <v>14</v>
      </c>
      <c r="C834">
        <v>2347</v>
      </c>
      <c r="D834" t="s">
        <v>7</v>
      </c>
      <c r="E834" t="str">
        <f>IF(june[[#This Row],[ShiftCounter]]&gt;0, "Running", "Down")</f>
        <v>Running</v>
      </c>
    </row>
    <row r="835" spans="1:5" x14ac:dyDescent="0.25">
      <c r="A835" s="8">
        <v>44720</v>
      </c>
      <c r="B835" t="s">
        <v>14</v>
      </c>
      <c r="C835">
        <v>2017</v>
      </c>
      <c r="D835" t="s">
        <v>8</v>
      </c>
      <c r="E835" t="str">
        <f>IF(june[[#This Row],[ShiftCounter]]&gt;0, "Running", "Down")</f>
        <v>Running</v>
      </c>
    </row>
    <row r="836" spans="1:5" x14ac:dyDescent="0.25">
      <c r="A836" s="8">
        <v>44720</v>
      </c>
      <c r="B836" t="s">
        <v>15</v>
      </c>
      <c r="C836">
        <v>2269</v>
      </c>
      <c r="D836" t="s">
        <v>6</v>
      </c>
      <c r="E836" t="str">
        <f>IF(june[[#This Row],[ShiftCounter]]&gt;0, "Running", "Down")</f>
        <v>Running</v>
      </c>
    </row>
    <row r="837" spans="1:5" x14ac:dyDescent="0.25">
      <c r="A837" s="8">
        <v>44720</v>
      </c>
      <c r="B837" t="s">
        <v>15</v>
      </c>
      <c r="C837">
        <v>2238</v>
      </c>
      <c r="D837" t="s">
        <v>7</v>
      </c>
      <c r="E837" t="str">
        <f>IF(june[[#This Row],[ShiftCounter]]&gt;0, "Running", "Down")</f>
        <v>Running</v>
      </c>
    </row>
    <row r="838" spans="1:5" x14ac:dyDescent="0.25">
      <c r="A838" s="8">
        <v>44720</v>
      </c>
      <c r="B838" t="s">
        <v>15</v>
      </c>
      <c r="C838">
        <v>1854</v>
      </c>
      <c r="D838" t="s">
        <v>8</v>
      </c>
      <c r="E838" t="str">
        <f>IF(june[[#This Row],[ShiftCounter]]&gt;0, "Running", "Down")</f>
        <v>Running</v>
      </c>
    </row>
    <row r="839" spans="1:5" x14ac:dyDescent="0.25">
      <c r="A839" s="8">
        <v>44720</v>
      </c>
      <c r="B839" t="s">
        <v>16</v>
      </c>
      <c r="C839">
        <v>1934</v>
      </c>
      <c r="D839" t="s">
        <v>6</v>
      </c>
      <c r="E839" t="str">
        <f>IF(june[[#This Row],[ShiftCounter]]&gt;0, "Running", "Down")</f>
        <v>Running</v>
      </c>
    </row>
    <row r="840" spans="1:5" x14ac:dyDescent="0.25">
      <c r="A840" s="8">
        <v>44720</v>
      </c>
      <c r="B840" t="s">
        <v>16</v>
      </c>
      <c r="C840">
        <v>1973</v>
      </c>
      <c r="D840" t="s">
        <v>7</v>
      </c>
      <c r="E840" t="str">
        <f>IF(june[[#This Row],[ShiftCounter]]&gt;0, "Running", "Down")</f>
        <v>Running</v>
      </c>
    </row>
    <row r="841" spans="1:5" x14ac:dyDescent="0.25">
      <c r="A841" s="8">
        <v>44720</v>
      </c>
      <c r="B841" t="s">
        <v>16</v>
      </c>
      <c r="C841">
        <v>1749</v>
      </c>
      <c r="D841" t="s">
        <v>8</v>
      </c>
      <c r="E841" t="str">
        <f>IF(june[[#This Row],[ShiftCounter]]&gt;0, "Running", "Down")</f>
        <v>Running</v>
      </c>
    </row>
    <row r="842" spans="1:5" x14ac:dyDescent="0.25">
      <c r="A842" s="8">
        <v>44720</v>
      </c>
      <c r="B842" t="s">
        <v>17</v>
      </c>
      <c r="C842">
        <v>2404</v>
      </c>
      <c r="D842" t="s">
        <v>6</v>
      </c>
      <c r="E842" t="str">
        <f>IF(june[[#This Row],[ShiftCounter]]&gt;0, "Running", "Down")</f>
        <v>Running</v>
      </c>
    </row>
    <row r="843" spans="1:5" x14ac:dyDescent="0.25">
      <c r="A843" s="8">
        <v>44720</v>
      </c>
      <c r="B843" t="s">
        <v>17</v>
      </c>
      <c r="C843">
        <v>2422</v>
      </c>
      <c r="D843" t="s">
        <v>7</v>
      </c>
      <c r="E843" t="str">
        <f>IF(june[[#This Row],[ShiftCounter]]&gt;0, "Running", "Down")</f>
        <v>Running</v>
      </c>
    </row>
    <row r="844" spans="1:5" x14ac:dyDescent="0.25">
      <c r="A844" s="8">
        <v>44720</v>
      </c>
      <c r="B844" t="s">
        <v>17</v>
      </c>
      <c r="C844">
        <v>1984</v>
      </c>
      <c r="D844" t="s">
        <v>8</v>
      </c>
      <c r="E844" t="str">
        <f>IF(june[[#This Row],[ShiftCounter]]&gt;0, "Running", "Down")</f>
        <v>Running</v>
      </c>
    </row>
    <row r="845" spans="1:5" x14ac:dyDescent="0.25">
      <c r="A845" s="8">
        <v>44720</v>
      </c>
      <c r="B845" t="s">
        <v>19</v>
      </c>
      <c r="C845">
        <v>1892</v>
      </c>
      <c r="D845" t="s">
        <v>6</v>
      </c>
      <c r="E845" t="str">
        <f>IF(june[[#This Row],[ShiftCounter]]&gt;0, "Running", "Down")</f>
        <v>Running</v>
      </c>
    </row>
    <row r="846" spans="1:5" x14ac:dyDescent="0.25">
      <c r="A846" s="8">
        <v>44720</v>
      </c>
      <c r="B846" t="s">
        <v>19</v>
      </c>
      <c r="C846">
        <v>676</v>
      </c>
      <c r="D846" t="s">
        <v>7</v>
      </c>
      <c r="E846" t="str">
        <f>IF(june[[#This Row],[ShiftCounter]]&gt;0, "Running", "Down")</f>
        <v>Running</v>
      </c>
    </row>
    <row r="847" spans="1:5" x14ac:dyDescent="0.25">
      <c r="A847" s="8">
        <v>44720</v>
      </c>
      <c r="B847" t="s">
        <v>19</v>
      </c>
      <c r="C847">
        <v>0</v>
      </c>
      <c r="D847" t="s">
        <v>8</v>
      </c>
      <c r="E847" t="str">
        <f>IF(june[[#This Row],[ShiftCounter]]&gt;0, "Running", "Down")</f>
        <v>Down</v>
      </c>
    </row>
    <row r="848" spans="1:5" x14ac:dyDescent="0.25">
      <c r="A848" s="8">
        <v>44720</v>
      </c>
      <c r="B848" t="s">
        <v>18</v>
      </c>
      <c r="C848">
        <v>1703</v>
      </c>
      <c r="D848" t="s">
        <v>6</v>
      </c>
      <c r="E848" t="str">
        <f>IF(june[[#This Row],[ShiftCounter]]&gt;0, "Running", "Down")</f>
        <v>Running</v>
      </c>
    </row>
    <row r="849" spans="1:7" x14ac:dyDescent="0.25">
      <c r="A849" s="8">
        <v>44720</v>
      </c>
      <c r="B849" t="s">
        <v>18</v>
      </c>
      <c r="C849">
        <v>2408</v>
      </c>
      <c r="D849" t="s">
        <v>7</v>
      </c>
      <c r="E849" t="str">
        <f>IF(june[[#This Row],[ShiftCounter]]&gt;0, "Running", "Down")</f>
        <v>Running</v>
      </c>
    </row>
    <row r="850" spans="1:7" x14ac:dyDescent="0.25">
      <c r="A850" s="8">
        <v>44720</v>
      </c>
      <c r="B850" t="s">
        <v>18</v>
      </c>
      <c r="C850">
        <v>2013</v>
      </c>
      <c r="D850" t="s">
        <v>8</v>
      </c>
      <c r="E850" t="str">
        <f>IF(june[[#This Row],[ShiftCounter]]&gt;0, "Running", "Down")</f>
        <v>Running</v>
      </c>
    </row>
    <row r="851" spans="1:7" x14ac:dyDescent="0.25">
      <c r="A851" s="8">
        <v>44720</v>
      </c>
      <c r="B851" t="s">
        <v>38</v>
      </c>
      <c r="C851">
        <v>2280</v>
      </c>
      <c r="D851" t="s">
        <v>6</v>
      </c>
      <c r="E851" t="str">
        <f>IF(june[[#This Row],[ShiftCounter]]&gt;0, "Running", "Down")</f>
        <v>Running</v>
      </c>
    </row>
    <row r="852" spans="1:7" x14ac:dyDescent="0.25">
      <c r="A852" s="8">
        <v>44720</v>
      </c>
      <c r="B852" t="s">
        <v>38</v>
      </c>
      <c r="C852">
        <v>2323</v>
      </c>
      <c r="D852" t="s">
        <v>7</v>
      </c>
      <c r="E852" t="str">
        <f>IF(june[[#This Row],[ShiftCounter]]&gt;0, "Running", "Down")</f>
        <v>Running</v>
      </c>
    </row>
    <row r="853" spans="1:7" x14ac:dyDescent="0.25">
      <c r="A853" s="8">
        <v>44720</v>
      </c>
      <c r="B853" t="s">
        <v>38</v>
      </c>
      <c r="C853">
        <v>1966</v>
      </c>
      <c r="D853" t="s">
        <v>8</v>
      </c>
      <c r="E853" t="str">
        <f>IF(june[[#This Row],[ShiftCounter]]&gt;0, "Running", "Down")</f>
        <v>Running</v>
      </c>
    </row>
    <row r="854" spans="1:7" x14ac:dyDescent="0.25">
      <c r="A854" s="8">
        <v>44720</v>
      </c>
      <c r="B854" t="s">
        <v>20</v>
      </c>
      <c r="C854">
        <v>2247</v>
      </c>
      <c r="D854" t="s">
        <v>6</v>
      </c>
      <c r="E854" t="str">
        <f>IF(june[[#This Row],[ShiftCounter]]&gt;0, "Running", "Down")</f>
        <v>Running</v>
      </c>
    </row>
    <row r="855" spans="1:7" x14ac:dyDescent="0.25">
      <c r="A855" s="8">
        <v>44720</v>
      </c>
      <c r="B855" t="s">
        <v>20</v>
      </c>
      <c r="C855">
        <v>1987</v>
      </c>
      <c r="D855" t="s">
        <v>7</v>
      </c>
      <c r="E855" t="str">
        <f>IF(june[[#This Row],[ShiftCounter]]&gt;0, "Running", "Down")</f>
        <v>Running</v>
      </c>
    </row>
    <row r="856" spans="1:7" x14ac:dyDescent="0.25">
      <c r="A856" s="8">
        <v>44720</v>
      </c>
      <c r="B856" t="s">
        <v>20</v>
      </c>
      <c r="C856">
        <v>1896</v>
      </c>
      <c r="D856" t="s">
        <v>8</v>
      </c>
      <c r="E856" t="str">
        <f>IF(june[[#This Row],[ShiftCounter]]&gt;0, "Running", "Down")</f>
        <v>Running</v>
      </c>
    </row>
    <row r="857" spans="1:7" x14ac:dyDescent="0.25">
      <c r="A857" s="8">
        <v>44720</v>
      </c>
      <c r="B857" t="s">
        <v>21</v>
      </c>
      <c r="C857">
        <v>1361</v>
      </c>
      <c r="D857" t="s">
        <v>6</v>
      </c>
      <c r="E857" t="str">
        <f>IF(june[[#This Row],[ShiftCounter]]&gt;0, "Running", "Down")</f>
        <v>Running</v>
      </c>
    </row>
    <row r="858" spans="1:7" x14ac:dyDescent="0.25">
      <c r="A858" s="8">
        <v>44720</v>
      </c>
      <c r="B858" t="s">
        <v>21</v>
      </c>
      <c r="C858">
        <v>2046</v>
      </c>
      <c r="D858" t="s">
        <v>7</v>
      </c>
      <c r="E858" t="str">
        <f>IF(june[[#This Row],[ShiftCounter]]&gt;0, "Running", "Down")</f>
        <v>Running</v>
      </c>
    </row>
    <row r="859" spans="1:7" x14ac:dyDescent="0.25">
      <c r="A859" s="8">
        <v>44720</v>
      </c>
      <c r="B859" t="s">
        <v>21</v>
      </c>
      <c r="C859">
        <v>1773</v>
      </c>
      <c r="D859" t="s">
        <v>8</v>
      </c>
      <c r="E859" t="str">
        <f>IF(june[[#This Row],[ShiftCounter]]&gt;0, "Running", "Down")</f>
        <v>Running</v>
      </c>
    </row>
    <row r="860" spans="1:7" x14ac:dyDescent="0.25">
      <c r="A860" s="8">
        <v>44720</v>
      </c>
      <c r="B860" t="s">
        <v>22</v>
      </c>
      <c r="C860">
        <v>2473</v>
      </c>
      <c r="D860" t="s">
        <v>6</v>
      </c>
      <c r="E860" t="str">
        <f>IF(june[[#This Row],[ShiftCounter]]&gt;0, "Running", "Down")</f>
        <v>Running</v>
      </c>
    </row>
    <row r="861" spans="1:7" x14ac:dyDescent="0.25">
      <c r="A861" s="8">
        <v>44720</v>
      </c>
      <c r="B861" t="s">
        <v>22</v>
      </c>
      <c r="C861">
        <v>2501</v>
      </c>
      <c r="D861" t="s">
        <v>7</v>
      </c>
      <c r="E861" t="str">
        <f>IF(june[[#This Row],[ShiftCounter]]&gt;0, "Running", "Down")</f>
        <v>Running</v>
      </c>
    </row>
    <row r="862" spans="1:7" x14ac:dyDescent="0.25">
      <c r="A862" s="8">
        <v>44720</v>
      </c>
      <c r="B862" t="s">
        <v>22</v>
      </c>
      <c r="C862">
        <v>2187</v>
      </c>
      <c r="D862" t="s">
        <v>8</v>
      </c>
      <c r="E862" t="str">
        <f>IF(june[[#This Row],[ShiftCounter]]&gt;0, "Running", "Down")</f>
        <v>Running</v>
      </c>
    </row>
    <row r="863" spans="1:7" x14ac:dyDescent="0.25">
      <c r="A863" s="8">
        <v>44720</v>
      </c>
      <c r="B863" t="s">
        <v>23</v>
      </c>
      <c r="C863">
        <v>2425</v>
      </c>
      <c r="D863" t="s">
        <v>6</v>
      </c>
      <c r="E863" t="str">
        <f>IF(june[[#This Row],[ShiftCounter]]&gt;0, "Running", "Down")</f>
        <v>Running</v>
      </c>
      <c r="G863">
        <f>4850/2</f>
        <v>2425</v>
      </c>
    </row>
    <row r="864" spans="1:7" x14ac:dyDescent="0.25">
      <c r="A864" s="8">
        <v>44720</v>
      </c>
      <c r="B864" t="s">
        <v>23</v>
      </c>
      <c r="C864">
        <v>2425</v>
      </c>
      <c r="D864" t="s">
        <v>7</v>
      </c>
      <c r="E864" t="str">
        <f>IF(june[[#This Row],[ShiftCounter]]&gt;0, "Running", "Down")</f>
        <v>Running</v>
      </c>
    </row>
    <row r="865" spans="1:7" x14ac:dyDescent="0.25">
      <c r="A865" s="8">
        <v>44720</v>
      </c>
      <c r="B865" t="s">
        <v>23</v>
      </c>
      <c r="C865">
        <v>2441</v>
      </c>
      <c r="D865" t="s">
        <v>8</v>
      </c>
      <c r="E865" t="str">
        <f>IF(june[[#This Row],[ShiftCounter]]&gt;0, "Running", "Down")</f>
        <v>Running</v>
      </c>
    </row>
    <row r="866" spans="1:7" x14ac:dyDescent="0.25">
      <c r="A866" s="8">
        <v>44720</v>
      </c>
      <c r="B866" t="s">
        <v>24</v>
      </c>
      <c r="C866">
        <v>2096</v>
      </c>
      <c r="D866" t="s">
        <v>6</v>
      </c>
      <c r="E866" t="str">
        <f>IF(june[[#This Row],[ShiftCounter]]&gt;0, "Running", "Down")</f>
        <v>Running</v>
      </c>
    </row>
    <row r="867" spans="1:7" x14ac:dyDescent="0.25">
      <c r="A867" s="8">
        <v>44720</v>
      </c>
      <c r="B867" t="s">
        <v>24</v>
      </c>
      <c r="C867">
        <v>2064</v>
      </c>
      <c r="D867" t="s">
        <v>7</v>
      </c>
      <c r="E867" t="str">
        <f>IF(june[[#This Row],[ShiftCounter]]&gt;0, "Running", "Down")</f>
        <v>Running</v>
      </c>
    </row>
    <row r="868" spans="1:7" x14ac:dyDescent="0.25">
      <c r="A868" s="8">
        <v>44720</v>
      </c>
      <c r="B868" t="s">
        <v>24</v>
      </c>
      <c r="C868">
        <v>2023</v>
      </c>
      <c r="D868" t="s">
        <v>8</v>
      </c>
      <c r="E868" t="str">
        <f>IF(june[[#This Row],[ShiftCounter]]&gt;0, "Running", "Down")</f>
        <v>Running</v>
      </c>
    </row>
    <row r="869" spans="1:7" x14ac:dyDescent="0.25">
      <c r="A869" s="8">
        <v>44720</v>
      </c>
      <c r="B869" t="s">
        <v>25</v>
      </c>
      <c r="C869">
        <v>2242</v>
      </c>
      <c r="D869" t="s">
        <v>6</v>
      </c>
      <c r="E869" t="str">
        <f>IF(june[[#This Row],[ShiftCounter]]&gt;0, "Running", "Down")</f>
        <v>Running</v>
      </c>
    </row>
    <row r="870" spans="1:7" x14ac:dyDescent="0.25">
      <c r="A870" s="8">
        <v>44720</v>
      </c>
      <c r="B870" t="s">
        <v>25</v>
      </c>
      <c r="C870">
        <v>2228</v>
      </c>
      <c r="D870" t="s">
        <v>7</v>
      </c>
      <c r="E870" t="str">
        <f>IF(june[[#This Row],[ShiftCounter]]&gt;0, "Running", "Down")</f>
        <v>Running</v>
      </c>
      <c r="G870" s="8"/>
    </row>
    <row r="871" spans="1:7" x14ac:dyDescent="0.25">
      <c r="A871" s="8">
        <v>44720</v>
      </c>
      <c r="B871" t="s">
        <v>25</v>
      </c>
      <c r="C871">
        <v>2155</v>
      </c>
      <c r="D871" t="s">
        <v>8</v>
      </c>
      <c r="E871" t="str">
        <f>IF(june[[#This Row],[ShiftCounter]]&gt;0, "Running", "Down")</f>
        <v>Running</v>
      </c>
    </row>
    <row r="872" spans="1:7" x14ac:dyDescent="0.25">
      <c r="A872" s="8">
        <v>44720</v>
      </c>
      <c r="B872" t="s">
        <v>26</v>
      </c>
      <c r="C872">
        <v>1846</v>
      </c>
      <c r="D872" t="s">
        <v>6</v>
      </c>
      <c r="E872" t="str">
        <f>IF(june[[#This Row],[ShiftCounter]]&gt;0, "Running", "Down")</f>
        <v>Running</v>
      </c>
    </row>
    <row r="873" spans="1:7" x14ac:dyDescent="0.25">
      <c r="A873" s="8">
        <v>44720</v>
      </c>
      <c r="B873" t="s">
        <v>26</v>
      </c>
      <c r="C873">
        <v>2058</v>
      </c>
      <c r="D873" t="s">
        <v>7</v>
      </c>
      <c r="E873" t="str">
        <f>IF(june[[#This Row],[ShiftCounter]]&gt;0, "Running", "Down")</f>
        <v>Running</v>
      </c>
    </row>
    <row r="874" spans="1:7" x14ac:dyDescent="0.25">
      <c r="A874" s="8">
        <v>44720</v>
      </c>
      <c r="B874" t="s">
        <v>26</v>
      </c>
      <c r="C874">
        <v>1948</v>
      </c>
      <c r="D874" t="s">
        <v>8</v>
      </c>
      <c r="E874" t="str">
        <f>IF(june[[#This Row],[ShiftCounter]]&gt;0, "Running", "Down")</f>
        <v>Running</v>
      </c>
    </row>
    <row r="875" spans="1:7" x14ac:dyDescent="0.25">
      <c r="A875" s="8">
        <v>44720</v>
      </c>
      <c r="B875" t="s">
        <v>27</v>
      </c>
      <c r="C875">
        <v>1576</v>
      </c>
      <c r="D875" t="s">
        <v>6</v>
      </c>
      <c r="E875" t="str">
        <f>IF(june[[#This Row],[ShiftCounter]]&gt;0, "Running", "Down")</f>
        <v>Running</v>
      </c>
    </row>
    <row r="876" spans="1:7" x14ac:dyDescent="0.25">
      <c r="A876" s="8">
        <v>44720</v>
      </c>
      <c r="B876" t="s">
        <v>27</v>
      </c>
      <c r="C876">
        <v>2265</v>
      </c>
      <c r="D876" t="s">
        <v>7</v>
      </c>
      <c r="E876" t="str">
        <f>IF(june[[#This Row],[ShiftCounter]]&gt;0, "Running", "Down")</f>
        <v>Running</v>
      </c>
    </row>
    <row r="877" spans="1:7" x14ac:dyDescent="0.25">
      <c r="A877" s="8">
        <v>44720</v>
      </c>
      <c r="B877" t="s">
        <v>27</v>
      </c>
      <c r="C877">
        <v>2162</v>
      </c>
      <c r="D877" t="s">
        <v>8</v>
      </c>
      <c r="E877" t="str">
        <f>IF(june[[#This Row],[ShiftCounter]]&gt;0, "Running", "Down")</f>
        <v>Running</v>
      </c>
    </row>
    <row r="878" spans="1:7" x14ac:dyDescent="0.25">
      <c r="A878" s="8">
        <v>44720</v>
      </c>
      <c r="B878" t="s">
        <v>28</v>
      </c>
      <c r="C878">
        <v>2032</v>
      </c>
      <c r="D878" t="s">
        <v>6</v>
      </c>
      <c r="E878" t="str">
        <f>IF(june[[#This Row],[ShiftCounter]]&gt;0, "Running", "Down")</f>
        <v>Running</v>
      </c>
    </row>
    <row r="879" spans="1:7" x14ac:dyDescent="0.25">
      <c r="A879" s="8">
        <v>44720</v>
      </c>
      <c r="B879" t="s">
        <v>28</v>
      </c>
      <c r="C879">
        <v>2188</v>
      </c>
      <c r="D879" t="s">
        <v>7</v>
      </c>
      <c r="E879" t="str">
        <f>IF(june[[#This Row],[ShiftCounter]]&gt;0, "Running", "Down")</f>
        <v>Running</v>
      </c>
    </row>
    <row r="880" spans="1:7" x14ac:dyDescent="0.25">
      <c r="A880" s="8">
        <v>44720</v>
      </c>
      <c r="B880" t="s">
        <v>28</v>
      </c>
      <c r="C880">
        <v>2105</v>
      </c>
      <c r="D880" t="s">
        <v>8</v>
      </c>
      <c r="E880" t="str">
        <f>IF(june[[#This Row],[ShiftCounter]]&gt;0, "Running", "Down")</f>
        <v>Running</v>
      </c>
    </row>
    <row r="881" spans="1:5" x14ac:dyDescent="0.25">
      <c r="A881" s="8">
        <v>44720</v>
      </c>
      <c r="B881" t="s">
        <v>29</v>
      </c>
      <c r="C881">
        <v>2005</v>
      </c>
      <c r="D881" t="s">
        <v>6</v>
      </c>
      <c r="E881" t="str">
        <f>IF(june[[#This Row],[ShiftCounter]]&gt;0, "Running", "Down")</f>
        <v>Running</v>
      </c>
    </row>
    <row r="882" spans="1:5" x14ac:dyDescent="0.25">
      <c r="A882" s="8">
        <v>44720</v>
      </c>
      <c r="B882" t="s">
        <v>29</v>
      </c>
      <c r="C882">
        <v>2144</v>
      </c>
      <c r="D882" t="s">
        <v>7</v>
      </c>
      <c r="E882" t="str">
        <f>IF(june[[#This Row],[ShiftCounter]]&gt;0, "Running", "Down")</f>
        <v>Running</v>
      </c>
    </row>
    <row r="883" spans="1:5" x14ac:dyDescent="0.25">
      <c r="A883" s="8">
        <v>44720</v>
      </c>
      <c r="B883" t="s">
        <v>29</v>
      </c>
      <c r="C883">
        <v>2080</v>
      </c>
      <c r="D883" t="s">
        <v>8</v>
      </c>
      <c r="E883" t="str">
        <f>IF(june[[#This Row],[ShiftCounter]]&gt;0, "Running", "Down")</f>
        <v>Running</v>
      </c>
    </row>
    <row r="884" spans="1:5" x14ac:dyDescent="0.25">
      <c r="A884" s="8">
        <v>44720</v>
      </c>
      <c r="B884" t="s">
        <v>30</v>
      </c>
      <c r="C884">
        <v>2285</v>
      </c>
      <c r="D884" t="s">
        <v>6</v>
      </c>
      <c r="E884" t="str">
        <f>IF(june[[#This Row],[ShiftCounter]]&gt;0, "Running", "Down")</f>
        <v>Running</v>
      </c>
    </row>
    <row r="885" spans="1:5" x14ac:dyDescent="0.25">
      <c r="A885" s="8">
        <v>44720</v>
      </c>
      <c r="B885" t="s">
        <v>30</v>
      </c>
      <c r="C885">
        <v>2210</v>
      </c>
      <c r="D885" t="s">
        <v>7</v>
      </c>
      <c r="E885" t="str">
        <f>IF(june[[#This Row],[ShiftCounter]]&gt;0, "Running", "Down")</f>
        <v>Running</v>
      </c>
    </row>
    <row r="886" spans="1:5" x14ac:dyDescent="0.25">
      <c r="A886" s="8">
        <v>44720</v>
      </c>
      <c r="B886" t="s">
        <v>30</v>
      </c>
      <c r="C886">
        <v>2004</v>
      </c>
      <c r="D886" t="s">
        <v>8</v>
      </c>
      <c r="E886" t="str">
        <f>IF(june[[#This Row],[ShiftCounter]]&gt;0, "Running", "Down")</f>
        <v>Running</v>
      </c>
    </row>
    <row r="887" spans="1:5" x14ac:dyDescent="0.25">
      <c r="A887" s="8">
        <v>44720</v>
      </c>
      <c r="B887" t="s">
        <v>32</v>
      </c>
      <c r="C887">
        <v>2106</v>
      </c>
      <c r="D887" t="s">
        <v>6</v>
      </c>
      <c r="E887" t="str">
        <f>IF(june[[#This Row],[ShiftCounter]]&gt;0, "Running", "Down")</f>
        <v>Running</v>
      </c>
    </row>
    <row r="888" spans="1:5" x14ac:dyDescent="0.25">
      <c r="A888" s="8">
        <v>44720</v>
      </c>
      <c r="B888" t="s">
        <v>32</v>
      </c>
      <c r="C888">
        <v>2023</v>
      </c>
      <c r="D888" t="s">
        <v>7</v>
      </c>
      <c r="E888" t="str">
        <f>IF(june[[#This Row],[ShiftCounter]]&gt;0, "Running", "Down")</f>
        <v>Running</v>
      </c>
    </row>
    <row r="889" spans="1:5" x14ac:dyDescent="0.25">
      <c r="A889" s="8">
        <v>44720</v>
      </c>
      <c r="B889" t="s">
        <v>32</v>
      </c>
      <c r="C889">
        <v>1804</v>
      </c>
      <c r="D889" t="s">
        <v>8</v>
      </c>
      <c r="E889" t="str">
        <f>IF(june[[#This Row],[ShiftCounter]]&gt;0, "Running", "Down")</f>
        <v>Running</v>
      </c>
    </row>
    <row r="890" spans="1:5" x14ac:dyDescent="0.25">
      <c r="A890" s="8">
        <v>44720</v>
      </c>
      <c r="B890" t="s">
        <v>31</v>
      </c>
      <c r="C890">
        <v>2260</v>
      </c>
      <c r="D890" t="s">
        <v>6</v>
      </c>
      <c r="E890" t="str">
        <f>IF(june[[#This Row],[ShiftCounter]]&gt;0, "Running", "Down")</f>
        <v>Running</v>
      </c>
    </row>
    <row r="891" spans="1:5" x14ac:dyDescent="0.25">
      <c r="A891" s="8">
        <v>44720</v>
      </c>
      <c r="B891" t="s">
        <v>31</v>
      </c>
      <c r="C891">
        <v>2190</v>
      </c>
      <c r="D891" t="s">
        <v>7</v>
      </c>
      <c r="E891" t="str">
        <f>IF(june[[#This Row],[ShiftCounter]]&gt;0, "Running", "Down")</f>
        <v>Running</v>
      </c>
    </row>
    <row r="892" spans="1:5" x14ac:dyDescent="0.25">
      <c r="A892" s="8">
        <v>44720</v>
      </c>
      <c r="B892" t="s">
        <v>31</v>
      </c>
      <c r="C892">
        <v>1955</v>
      </c>
      <c r="D892" t="s">
        <v>8</v>
      </c>
      <c r="E892" t="str">
        <f>IF(june[[#This Row],[ShiftCounter]]&gt;0, "Running", "Down")</f>
        <v>Running</v>
      </c>
    </row>
    <row r="893" spans="1:5" x14ac:dyDescent="0.25">
      <c r="A893" s="8">
        <v>44720</v>
      </c>
      <c r="B893" t="s">
        <v>67</v>
      </c>
      <c r="C893">
        <v>1190</v>
      </c>
      <c r="D893" t="s">
        <v>6</v>
      </c>
      <c r="E893" t="str">
        <f>IF(june[[#This Row],[ShiftCounter]]&gt;0, "Running", "Down")</f>
        <v>Running</v>
      </c>
    </row>
    <row r="894" spans="1:5" x14ac:dyDescent="0.25">
      <c r="A894" s="8">
        <v>44720</v>
      </c>
      <c r="B894" t="s">
        <v>67</v>
      </c>
      <c r="C894">
        <v>1750</v>
      </c>
      <c r="D894" t="s">
        <v>7</v>
      </c>
      <c r="E894" t="str">
        <f>IF(june[[#This Row],[ShiftCounter]]&gt;0, "Running", "Down")</f>
        <v>Running</v>
      </c>
    </row>
    <row r="895" spans="1:5" x14ac:dyDescent="0.25">
      <c r="A895" s="8">
        <v>44720</v>
      </c>
      <c r="B895" t="s">
        <v>67</v>
      </c>
      <c r="C895">
        <v>1624</v>
      </c>
      <c r="D895" t="s">
        <v>8</v>
      </c>
      <c r="E895" t="str">
        <f>IF(june[[#This Row],[ShiftCounter]]&gt;0, "Running", "Down")</f>
        <v>Running</v>
      </c>
    </row>
    <row r="896" spans="1:5" x14ac:dyDescent="0.25">
      <c r="A896" s="8">
        <v>44720</v>
      </c>
      <c r="B896" t="s">
        <v>33</v>
      </c>
      <c r="C896">
        <v>2456</v>
      </c>
      <c r="D896" t="s">
        <v>6</v>
      </c>
      <c r="E896" t="str">
        <f>IF(june[[#This Row],[ShiftCounter]]&gt;0, "Running", "Down")</f>
        <v>Running</v>
      </c>
    </row>
    <row r="897" spans="1:5" x14ac:dyDescent="0.25">
      <c r="A897" s="8">
        <v>44720</v>
      </c>
      <c r="B897" t="s">
        <v>33</v>
      </c>
      <c r="C897">
        <v>2383</v>
      </c>
      <c r="D897" t="s">
        <v>7</v>
      </c>
      <c r="E897" t="str">
        <f>IF(june[[#This Row],[ShiftCounter]]&gt;0, "Running", "Down")</f>
        <v>Running</v>
      </c>
    </row>
    <row r="898" spans="1:5" x14ac:dyDescent="0.25">
      <c r="A898" s="8">
        <v>44720</v>
      </c>
      <c r="B898" t="s">
        <v>33</v>
      </c>
      <c r="C898">
        <v>2141</v>
      </c>
      <c r="D898" t="s">
        <v>8</v>
      </c>
      <c r="E898" t="str">
        <f>IF(june[[#This Row],[ShiftCounter]]&gt;0, "Running", "Down")</f>
        <v>Running</v>
      </c>
    </row>
    <row r="899" spans="1:5" x14ac:dyDescent="0.25">
      <c r="A899" s="8">
        <v>44720</v>
      </c>
      <c r="B899" t="s">
        <v>34</v>
      </c>
      <c r="C899">
        <v>2145</v>
      </c>
      <c r="D899" t="s">
        <v>6</v>
      </c>
      <c r="E899" t="str">
        <f>IF(june[[#This Row],[ShiftCounter]]&gt;0, "Running", "Down")</f>
        <v>Running</v>
      </c>
    </row>
    <row r="900" spans="1:5" x14ac:dyDescent="0.25">
      <c r="A900" s="8">
        <v>44720</v>
      </c>
      <c r="B900" t="s">
        <v>34</v>
      </c>
      <c r="C900">
        <v>2100</v>
      </c>
      <c r="D900" t="s">
        <v>7</v>
      </c>
      <c r="E900" t="str">
        <f>IF(june[[#This Row],[ShiftCounter]]&gt;0, "Running", "Down")</f>
        <v>Running</v>
      </c>
    </row>
    <row r="901" spans="1:5" x14ac:dyDescent="0.25">
      <c r="A901" s="8">
        <v>44720</v>
      </c>
      <c r="B901" t="s">
        <v>34</v>
      </c>
      <c r="C901">
        <v>1881</v>
      </c>
      <c r="D901" t="s">
        <v>8</v>
      </c>
      <c r="E901" t="str">
        <f>IF(june[[#This Row],[ShiftCounter]]&gt;0, "Running", "Down")</f>
        <v>Running</v>
      </c>
    </row>
    <row r="902" spans="1:5" x14ac:dyDescent="0.25">
      <c r="A902" s="8">
        <v>44720</v>
      </c>
      <c r="B902" t="s">
        <v>35</v>
      </c>
      <c r="C902">
        <v>2241</v>
      </c>
      <c r="D902" t="s">
        <v>6</v>
      </c>
      <c r="E902" t="str">
        <f>IF(june[[#This Row],[ShiftCounter]]&gt;0, "Running", "Down")</f>
        <v>Running</v>
      </c>
    </row>
    <row r="903" spans="1:5" x14ac:dyDescent="0.25">
      <c r="A903" s="8">
        <v>44720</v>
      </c>
      <c r="B903" t="s">
        <v>35</v>
      </c>
      <c r="C903">
        <v>2162</v>
      </c>
      <c r="D903" t="s">
        <v>7</v>
      </c>
      <c r="E903" t="str">
        <f>IF(june[[#This Row],[ShiftCounter]]&gt;0, "Running", "Down")</f>
        <v>Running</v>
      </c>
    </row>
    <row r="904" spans="1:5" x14ac:dyDescent="0.25">
      <c r="A904" s="8">
        <v>44720</v>
      </c>
      <c r="B904" t="s">
        <v>35</v>
      </c>
      <c r="C904">
        <v>1997</v>
      </c>
      <c r="D904" t="s">
        <v>8</v>
      </c>
      <c r="E904" t="str">
        <f>IF(june[[#This Row],[ShiftCounter]]&gt;0, "Running", "Down")</f>
        <v>Running</v>
      </c>
    </row>
    <row r="905" spans="1:5" x14ac:dyDescent="0.25">
      <c r="A905" s="8">
        <v>44720</v>
      </c>
      <c r="B905" t="s">
        <v>36</v>
      </c>
      <c r="C905">
        <v>2512</v>
      </c>
      <c r="D905" t="s">
        <v>6</v>
      </c>
      <c r="E905" t="str">
        <f>IF(june[[#This Row],[ShiftCounter]]&gt;0, "Running", "Down")</f>
        <v>Running</v>
      </c>
    </row>
    <row r="906" spans="1:5" x14ac:dyDescent="0.25">
      <c r="A906" s="8">
        <v>44720</v>
      </c>
      <c r="B906" t="s">
        <v>36</v>
      </c>
      <c r="C906">
        <v>2351</v>
      </c>
      <c r="D906" t="s">
        <v>7</v>
      </c>
      <c r="E906" t="str">
        <f>IF(june[[#This Row],[ShiftCounter]]&gt;0, "Running", "Down")</f>
        <v>Running</v>
      </c>
    </row>
    <row r="907" spans="1:5" x14ac:dyDescent="0.25">
      <c r="A907" s="8">
        <v>44720</v>
      </c>
      <c r="B907" t="s">
        <v>36</v>
      </c>
      <c r="C907">
        <v>2179</v>
      </c>
      <c r="D907" t="s">
        <v>8</v>
      </c>
      <c r="E907" t="str">
        <f>IF(june[[#This Row],[ShiftCounter]]&gt;0, "Running", "Down")</f>
        <v>Running</v>
      </c>
    </row>
    <row r="908" spans="1:5" x14ac:dyDescent="0.25">
      <c r="A908" s="8">
        <v>44720</v>
      </c>
      <c r="B908" t="s">
        <v>37</v>
      </c>
      <c r="C908">
        <v>2365</v>
      </c>
      <c r="D908" t="s">
        <v>6</v>
      </c>
      <c r="E908" t="str">
        <f>IF(june[[#This Row],[ShiftCounter]]&gt;0, "Running", "Down")</f>
        <v>Running</v>
      </c>
    </row>
    <row r="909" spans="1:5" x14ac:dyDescent="0.25">
      <c r="A909" s="8">
        <v>44720</v>
      </c>
      <c r="B909" t="s">
        <v>37</v>
      </c>
      <c r="C909">
        <v>2389</v>
      </c>
      <c r="D909" t="s">
        <v>7</v>
      </c>
      <c r="E909" t="str">
        <f>IF(june[[#This Row],[ShiftCounter]]&gt;0, "Running", "Down")</f>
        <v>Running</v>
      </c>
    </row>
    <row r="910" spans="1:5" x14ac:dyDescent="0.25">
      <c r="A910" s="8">
        <v>44720</v>
      </c>
      <c r="B910" t="s">
        <v>37</v>
      </c>
      <c r="C910">
        <v>2207</v>
      </c>
      <c r="D910" t="s">
        <v>8</v>
      </c>
      <c r="E910" t="str">
        <f>IF(june[[#This Row],[ShiftCounter]]&gt;0, "Running", "Down")</f>
        <v>Running</v>
      </c>
    </row>
    <row r="911" spans="1:5" x14ac:dyDescent="0.25">
      <c r="A911" s="8">
        <v>44720</v>
      </c>
      <c r="B911" t="s">
        <v>54</v>
      </c>
      <c r="C911">
        <v>0</v>
      </c>
      <c r="D911" t="s">
        <v>6</v>
      </c>
      <c r="E911" t="str">
        <f>IF(june[[#This Row],[ShiftCounter]]&gt;0, "Running", "Down")</f>
        <v>Down</v>
      </c>
    </row>
    <row r="912" spans="1:5" x14ac:dyDescent="0.25">
      <c r="A912" s="8">
        <v>44720</v>
      </c>
      <c r="B912" t="s">
        <v>54</v>
      </c>
      <c r="C912">
        <v>0</v>
      </c>
      <c r="D912" t="s">
        <v>7</v>
      </c>
      <c r="E912" t="str">
        <f>IF(june[[#This Row],[ShiftCounter]]&gt;0, "Running", "Down")</f>
        <v>Down</v>
      </c>
    </row>
    <row r="913" spans="1:5" x14ac:dyDescent="0.25">
      <c r="A913" s="8">
        <v>44720</v>
      </c>
      <c r="B913" t="s">
        <v>54</v>
      </c>
      <c r="C913">
        <v>1763</v>
      </c>
      <c r="D913" t="s">
        <v>8</v>
      </c>
      <c r="E913" t="str">
        <f>IF(june[[#This Row],[ShiftCounter]]&gt;0, "Running", "Down")</f>
        <v>Running</v>
      </c>
    </row>
    <row r="914" spans="1:5" x14ac:dyDescent="0.25">
      <c r="A914" s="8">
        <v>44721</v>
      </c>
      <c r="B914" t="s">
        <v>136</v>
      </c>
      <c r="C914">
        <v>2066</v>
      </c>
      <c r="D914" t="s">
        <v>6</v>
      </c>
      <c r="E914" t="str">
        <f>IF(june[[#This Row],[ShiftCounter]]&gt;0, "Running", "Down")</f>
        <v>Running</v>
      </c>
    </row>
    <row r="915" spans="1:5" x14ac:dyDescent="0.25">
      <c r="A915" s="8">
        <v>44721</v>
      </c>
      <c r="B915" t="s">
        <v>136</v>
      </c>
      <c r="C915">
        <v>2033</v>
      </c>
      <c r="D915" t="s">
        <v>7</v>
      </c>
      <c r="E915" t="str">
        <f>IF(june[[#This Row],[ShiftCounter]]&gt;0, "Running", "Down")</f>
        <v>Running</v>
      </c>
    </row>
    <row r="916" spans="1:5" x14ac:dyDescent="0.25">
      <c r="A916" s="8">
        <v>44721</v>
      </c>
      <c r="B916" t="s">
        <v>136</v>
      </c>
      <c r="C916">
        <v>2050</v>
      </c>
      <c r="D916" t="s">
        <v>8</v>
      </c>
      <c r="E916" t="str">
        <f>IF(june[[#This Row],[ShiftCounter]]&gt;0, "Running", "Down")</f>
        <v>Running</v>
      </c>
    </row>
    <row r="917" spans="1:5" x14ac:dyDescent="0.25">
      <c r="A917" s="8">
        <v>44721</v>
      </c>
      <c r="B917" t="s">
        <v>135</v>
      </c>
      <c r="C917">
        <v>2844</v>
      </c>
      <c r="D917" t="s">
        <v>6</v>
      </c>
      <c r="E917" t="str">
        <f>IF(june[[#This Row],[ShiftCounter]]&gt;0, "Running", "Down")</f>
        <v>Running</v>
      </c>
    </row>
    <row r="918" spans="1:5" x14ac:dyDescent="0.25">
      <c r="A918" s="8">
        <v>44721</v>
      </c>
      <c r="B918" t="s">
        <v>135</v>
      </c>
      <c r="C918">
        <v>2095</v>
      </c>
      <c r="D918" t="s">
        <v>7</v>
      </c>
      <c r="E918" t="str">
        <f>IF(june[[#This Row],[ShiftCounter]]&gt;0, "Running", "Down")</f>
        <v>Running</v>
      </c>
    </row>
    <row r="919" spans="1:5" x14ac:dyDescent="0.25">
      <c r="A919" s="8">
        <v>44721</v>
      </c>
      <c r="B919" t="s">
        <v>135</v>
      </c>
      <c r="C919">
        <v>1882</v>
      </c>
      <c r="D919" t="s">
        <v>8</v>
      </c>
      <c r="E919" t="str">
        <f>IF(june[[#This Row],[ShiftCounter]]&gt;0, "Running", "Down")</f>
        <v>Running</v>
      </c>
    </row>
    <row r="920" spans="1:5" x14ac:dyDescent="0.25">
      <c r="A920" s="8">
        <v>44721</v>
      </c>
      <c r="B920" t="s">
        <v>40</v>
      </c>
      <c r="C920">
        <v>2912</v>
      </c>
      <c r="D920" t="s">
        <v>6</v>
      </c>
      <c r="E920" t="str">
        <f>IF(june[[#This Row],[ShiftCounter]]&gt;0, "Running", "Down")</f>
        <v>Running</v>
      </c>
    </row>
    <row r="921" spans="1:5" x14ac:dyDescent="0.25">
      <c r="A921" s="8">
        <v>44721</v>
      </c>
      <c r="B921" t="s">
        <v>40</v>
      </c>
      <c r="C921">
        <v>2165</v>
      </c>
      <c r="D921" t="s">
        <v>7</v>
      </c>
      <c r="E921" t="str">
        <f>IF(june[[#This Row],[ShiftCounter]]&gt;0, "Running", "Down")</f>
        <v>Running</v>
      </c>
    </row>
    <row r="922" spans="1:5" x14ac:dyDescent="0.25">
      <c r="A922" s="8">
        <v>44721</v>
      </c>
      <c r="B922" t="s">
        <v>40</v>
      </c>
      <c r="C922">
        <v>1935</v>
      </c>
      <c r="D922" t="s">
        <v>8</v>
      </c>
      <c r="E922" t="str">
        <f>IF(june[[#This Row],[ShiftCounter]]&gt;0, "Running", "Down")</f>
        <v>Running</v>
      </c>
    </row>
    <row r="923" spans="1:5" x14ac:dyDescent="0.25">
      <c r="A923" s="8">
        <v>44721</v>
      </c>
      <c r="B923" t="s">
        <v>39</v>
      </c>
      <c r="C923">
        <v>2826</v>
      </c>
      <c r="D923" t="s">
        <v>6</v>
      </c>
      <c r="E923" t="str">
        <f>IF(june[[#This Row],[ShiftCounter]]&gt;0, "Running", "Down")</f>
        <v>Running</v>
      </c>
    </row>
    <row r="924" spans="1:5" x14ac:dyDescent="0.25">
      <c r="A924" s="8">
        <v>44721</v>
      </c>
      <c r="B924" t="s">
        <v>39</v>
      </c>
      <c r="C924">
        <v>2131</v>
      </c>
      <c r="D924" t="s">
        <v>7</v>
      </c>
      <c r="E924" t="str">
        <f>IF(june[[#This Row],[ShiftCounter]]&gt;0, "Running", "Down")</f>
        <v>Running</v>
      </c>
    </row>
    <row r="925" spans="1:5" x14ac:dyDescent="0.25">
      <c r="A925" s="8">
        <v>44721</v>
      </c>
      <c r="B925" t="s">
        <v>39</v>
      </c>
      <c r="C925">
        <v>1881</v>
      </c>
      <c r="D925" t="s">
        <v>8</v>
      </c>
      <c r="E925" t="str">
        <f>IF(june[[#This Row],[ShiftCounter]]&gt;0, "Running", "Down")</f>
        <v>Running</v>
      </c>
    </row>
    <row r="926" spans="1:5" x14ac:dyDescent="0.25">
      <c r="A926" s="8">
        <v>44721</v>
      </c>
      <c r="B926" t="s">
        <v>41</v>
      </c>
      <c r="C926">
        <v>2931</v>
      </c>
      <c r="D926" t="s">
        <v>6</v>
      </c>
      <c r="E926" t="str">
        <f>IF(june[[#This Row],[ShiftCounter]]&gt;0, "Running", "Down")</f>
        <v>Running</v>
      </c>
    </row>
    <row r="927" spans="1:5" x14ac:dyDescent="0.25">
      <c r="A927" s="8">
        <v>44721</v>
      </c>
      <c r="B927" t="s">
        <v>41</v>
      </c>
      <c r="C927">
        <v>2219</v>
      </c>
      <c r="D927" t="s">
        <v>7</v>
      </c>
      <c r="E927" t="str">
        <f>IF(june[[#This Row],[ShiftCounter]]&gt;0, "Running", "Down")</f>
        <v>Running</v>
      </c>
    </row>
    <row r="928" spans="1:5" x14ac:dyDescent="0.25">
      <c r="A928" s="8">
        <v>44721</v>
      </c>
      <c r="B928" t="s">
        <v>41</v>
      </c>
      <c r="C928">
        <v>1915</v>
      </c>
      <c r="D928" t="s">
        <v>8</v>
      </c>
      <c r="E928" t="str">
        <f>IF(june[[#This Row],[ShiftCounter]]&gt;0, "Running", "Down")</f>
        <v>Running</v>
      </c>
    </row>
    <row r="929" spans="1:5" x14ac:dyDescent="0.25">
      <c r="A929" s="8">
        <v>44721</v>
      </c>
      <c r="B929" t="s">
        <v>9</v>
      </c>
      <c r="C929">
        <v>2890</v>
      </c>
      <c r="D929" t="s">
        <v>6</v>
      </c>
      <c r="E929" t="str">
        <f>IF(june[[#This Row],[ShiftCounter]]&gt;0, "Running", "Down")</f>
        <v>Running</v>
      </c>
    </row>
    <row r="930" spans="1:5" x14ac:dyDescent="0.25">
      <c r="A930" s="8">
        <v>44721</v>
      </c>
      <c r="B930" t="s">
        <v>9</v>
      </c>
      <c r="C930">
        <v>2265</v>
      </c>
      <c r="D930" t="s">
        <v>7</v>
      </c>
      <c r="E930" t="str">
        <f>IF(june[[#This Row],[ShiftCounter]]&gt;0, "Running", "Down")</f>
        <v>Running</v>
      </c>
    </row>
    <row r="931" spans="1:5" x14ac:dyDescent="0.25">
      <c r="A931" s="8">
        <v>44721</v>
      </c>
      <c r="B931" t="s">
        <v>9</v>
      </c>
      <c r="C931">
        <v>1896</v>
      </c>
      <c r="D931" t="s">
        <v>8</v>
      </c>
      <c r="E931" t="str">
        <f>IF(june[[#This Row],[ShiftCounter]]&gt;0, "Running", "Down")</f>
        <v>Running</v>
      </c>
    </row>
    <row r="932" spans="1:5" x14ac:dyDescent="0.25">
      <c r="A932" s="8">
        <v>44721</v>
      </c>
      <c r="B932" t="s">
        <v>5</v>
      </c>
      <c r="C932">
        <v>2827</v>
      </c>
      <c r="D932" t="s">
        <v>6</v>
      </c>
      <c r="E932" t="str">
        <f>IF(june[[#This Row],[ShiftCounter]]&gt;0, "Running", "Down")</f>
        <v>Running</v>
      </c>
    </row>
    <row r="933" spans="1:5" x14ac:dyDescent="0.25">
      <c r="A933" s="8">
        <v>44721</v>
      </c>
      <c r="B933" t="s">
        <v>5</v>
      </c>
      <c r="C933">
        <v>2211</v>
      </c>
      <c r="D933" t="s">
        <v>7</v>
      </c>
      <c r="E933" t="str">
        <f>IF(june[[#This Row],[ShiftCounter]]&gt;0, "Running", "Down")</f>
        <v>Running</v>
      </c>
    </row>
    <row r="934" spans="1:5" x14ac:dyDescent="0.25">
      <c r="A934" s="8">
        <v>44721</v>
      </c>
      <c r="B934" t="s">
        <v>5</v>
      </c>
      <c r="C934">
        <v>2210</v>
      </c>
      <c r="D934" t="s">
        <v>8</v>
      </c>
      <c r="E934" t="str">
        <f>IF(june[[#This Row],[ShiftCounter]]&gt;0, "Running", "Down")</f>
        <v>Running</v>
      </c>
    </row>
    <row r="935" spans="1:5" x14ac:dyDescent="0.25">
      <c r="A935" s="8">
        <v>44721</v>
      </c>
      <c r="B935" t="s">
        <v>10</v>
      </c>
      <c r="C935">
        <v>2924</v>
      </c>
      <c r="D935" t="s">
        <v>6</v>
      </c>
      <c r="E935" t="str">
        <f>IF(june[[#This Row],[ShiftCounter]]&gt;0, "Running", "Down")</f>
        <v>Running</v>
      </c>
    </row>
    <row r="936" spans="1:5" x14ac:dyDescent="0.25">
      <c r="A936" s="8">
        <v>44721</v>
      </c>
      <c r="B936" t="s">
        <v>10</v>
      </c>
      <c r="C936">
        <v>2233</v>
      </c>
      <c r="D936" t="s">
        <v>7</v>
      </c>
      <c r="E936" t="str">
        <f>IF(june[[#This Row],[ShiftCounter]]&gt;0, "Running", "Down")</f>
        <v>Running</v>
      </c>
    </row>
    <row r="937" spans="1:5" x14ac:dyDescent="0.25">
      <c r="A937" s="8">
        <v>44721</v>
      </c>
      <c r="B937" t="s">
        <v>10</v>
      </c>
      <c r="C937">
        <v>2228</v>
      </c>
      <c r="D937" t="s">
        <v>8</v>
      </c>
      <c r="E937" t="str">
        <f>IF(june[[#This Row],[ShiftCounter]]&gt;0, "Running", "Down")</f>
        <v>Running</v>
      </c>
    </row>
    <row r="938" spans="1:5" x14ac:dyDescent="0.25">
      <c r="A938" s="8">
        <v>44721</v>
      </c>
      <c r="B938" t="s">
        <v>11</v>
      </c>
      <c r="C938">
        <v>2933</v>
      </c>
      <c r="D938" t="s">
        <v>6</v>
      </c>
      <c r="E938" t="str">
        <f>IF(june[[#This Row],[ShiftCounter]]&gt;0, "Running", "Down")</f>
        <v>Running</v>
      </c>
    </row>
    <row r="939" spans="1:5" x14ac:dyDescent="0.25">
      <c r="A939" s="8">
        <v>44721</v>
      </c>
      <c r="B939" t="s">
        <v>11</v>
      </c>
      <c r="C939">
        <v>2245</v>
      </c>
      <c r="D939" t="s">
        <v>7</v>
      </c>
      <c r="E939" t="str">
        <f>IF(june[[#This Row],[ShiftCounter]]&gt;0, "Running", "Down")</f>
        <v>Running</v>
      </c>
    </row>
    <row r="940" spans="1:5" x14ac:dyDescent="0.25">
      <c r="A940" s="8">
        <v>44721</v>
      </c>
      <c r="B940" t="s">
        <v>11</v>
      </c>
      <c r="C940">
        <v>1896</v>
      </c>
      <c r="D940" t="s">
        <v>8</v>
      </c>
      <c r="E940" t="str">
        <f>IF(june[[#This Row],[ShiftCounter]]&gt;0, "Running", "Down")</f>
        <v>Running</v>
      </c>
    </row>
    <row r="941" spans="1:5" x14ac:dyDescent="0.25">
      <c r="A941" s="8">
        <v>44721</v>
      </c>
      <c r="B941" t="s">
        <v>12</v>
      </c>
      <c r="C941">
        <v>2359</v>
      </c>
      <c r="D941" t="s">
        <v>6</v>
      </c>
      <c r="E941" t="str">
        <f>IF(june[[#This Row],[ShiftCounter]]&gt;0, "Running", "Down")</f>
        <v>Running</v>
      </c>
    </row>
    <row r="942" spans="1:5" x14ac:dyDescent="0.25">
      <c r="A942" s="8">
        <v>44721</v>
      </c>
      <c r="B942" t="s">
        <v>12</v>
      </c>
      <c r="C942">
        <v>2254</v>
      </c>
      <c r="D942" t="s">
        <v>7</v>
      </c>
      <c r="E942" t="str">
        <f>IF(june[[#This Row],[ShiftCounter]]&gt;0, "Running", "Down")</f>
        <v>Running</v>
      </c>
    </row>
    <row r="943" spans="1:5" x14ac:dyDescent="0.25">
      <c r="A943" s="8">
        <v>44721</v>
      </c>
      <c r="B943" t="s">
        <v>12</v>
      </c>
      <c r="C943">
        <v>2008</v>
      </c>
      <c r="D943" t="s">
        <v>8</v>
      </c>
      <c r="E943" t="str">
        <f>IF(june[[#This Row],[ShiftCounter]]&gt;0, "Running", "Down")</f>
        <v>Running</v>
      </c>
    </row>
    <row r="944" spans="1:5" x14ac:dyDescent="0.25">
      <c r="A944" s="8">
        <v>44721</v>
      </c>
      <c r="B944" t="s">
        <v>13</v>
      </c>
      <c r="C944">
        <v>2215</v>
      </c>
      <c r="D944" t="s">
        <v>6</v>
      </c>
      <c r="E944" t="str">
        <f>IF(june[[#This Row],[ShiftCounter]]&gt;0, "Running", "Down")</f>
        <v>Running</v>
      </c>
    </row>
    <row r="945" spans="1:5" x14ac:dyDescent="0.25">
      <c r="A945" s="8">
        <v>44721</v>
      </c>
      <c r="B945" t="s">
        <v>13</v>
      </c>
      <c r="C945">
        <v>2232</v>
      </c>
      <c r="D945" t="s">
        <v>7</v>
      </c>
      <c r="E945" t="str">
        <f>IF(june[[#This Row],[ShiftCounter]]&gt;0, "Running", "Down")</f>
        <v>Running</v>
      </c>
    </row>
    <row r="946" spans="1:5" x14ac:dyDescent="0.25">
      <c r="A946" s="8">
        <v>44721</v>
      </c>
      <c r="B946" t="s">
        <v>13</v>
      </c>
      <c r="C946">
        <v>1923</v>
      </c>
      <c r="D946" t="s">
        <v>8</v>
      </c>
      <c r="E946" t="str">
        <f>IF(june[[#This Row],[ShiftCounter]]&gt;0, "Running", "Down")</f>
        <v>Running</v>
      </c>
    </row>
    <row r="947" spans="1:5" x14ac:dyDescent="0.25">
      <c r="A947" s="8">
        <v>44721</v>
      </c>
      <c r="B947" t="s">
        <v>101</v>
      </c>
      <c r="C947">
        <v>0</v>
      </c>
      <c r="D947" t="s">
        <v>6</v>
      </c>
      <c r="E947" t="str">
        <f>IF(june[[#This Row],[ShiftCounter]]&gt;0, "Running", "Down")</f>
        <v>Down</v>
      </c>
    </row>
    <row r="948" spans="1:5" x14ac:dyDescent="0.25">
      <c r="A948" s="8">
        <v>44721</v>
      </c>
      <c r="B948" t="s">
        <v>101</v>
      </c>
      <c r="C948">
        <v>1962</v>
      </c>
      <c r="D948" t="s">
        <v>7</v>
      </c>
      <c r="E948" t="str">
        <f>IF(june[[#This Row],[ShiftCounter]]&gt;0, "Running", "Down")</f>
        <v>Running</v>
      </c>
    </row>
    <row r="949" spans="1:5" x14ac:dyDescent="0.25">
      <c r="A949" s="8">
        <v>44721</v>
      </c>
      <c r="B949" t="s">
        <v>101</v>
      </c>
      <c r="C949">
        <v>1847</v>
      </c>
      <c r="D949" t="s">
        <v>8</v>
      </c>
      <c r="E949" t="str">
        <f>IF(june[[#This Row],[ShiftCounter]]&gt;0, "Running", "Down")</f>
        <v>Running</v>
      </c>
    </row>
    <row r="950" spans="1:5" x14ac:dyDescent="0.25">
      <c r="A950" s="8">
        <v>44721</v>
      </c>
      <c r="B950" t="s">
        <v>14</v>
      </c>
      <c r="C950">
        <v>2036</v>
      </c>
      <c r="D950" t="s">
        <v>6</v>
      </c>
      <c r="E950" t="str">
        <f>IF(june[[#This Row],[ShiftCounter]]&gt;0, "Running", "Down")</f>
        <v>Running</v>
      </c>
    </row>
    <row r="951" spans="1:5" x14ac:dyDescent="0.25">
      <c r="A951" s="8">
        <v>44721</v>
      </c>
      <c r="B951" t="s">
        <v>14</v>
      </c>
      <c r="C951">
        <v>2484</v>
      </c>
      <c r="D951" t="s">
        <v>7</v>
      </c>
      <c r="E951" t="str">
        <f>IF(june[[#This Row],[ShiftCounter]]&gt;0, "Running", "Down")</f>
        <v>Running</v>
      </c>
    </row>
    <row r="952" spans="1:5" x14ac:dyDescent="0.25">
      <c r="A952" s="8">
        <v>44721</v>
      </c>
      <c r="B952" t="s">
        <v>14</v>
      </c>
      <c r="C952">
        <v>2127</v>
      </c>
      <c r="D952" t="s">
        <v>8</v>
      </c>
      <c r="E952" t="str">
        <f>IF(june[[#This Row],[ShiftCounter]]&gt;0, "Running", "Down")</f>
        <v>Running</v>
      </c>
    </row>
    <row r="953" spans="1:5" x14ac:dyDescent="0.25">
      <c r="A953" s="8">
        <v>44721</v>
      </c>
      <c r="B953" t="s">
        <v>15</v>
      </c>
      <c r="C953">
        <v>2315</v>
      </c>
      <c r="D953" t="s">
        <v>6</v>
      </c>
      <c r="E953" t="str">
        <f>IF(june[[#This Row],[ShiftCounter]]&gt;0, "Running", "Down")</f>
        <v>Running</v>
      </c>
    </row>
    <row r="954" spans="1:5" x14ac:dyDescent="0.25">
      <c r="A954" s="8">
        <v>44721</v>
      </c>
      <c r="B954" t="s">
        <v>15</v>
      </c>
      <c r="C954">
        <v>2372</v>
      </c>
      <c r="D954" t="s">
        <v>7</v>
      </c>
      <c r="E954" t="str">
        <f>IF(june[[#This Row],[ShiftCounter]]&gt;0, "Running", "Down")</f>
        <v>Running</v>
      </c>
    </row>
    <row r="955" spans="1:5" x14ac:dyDescent="0.25">
      <c r="A955" s="8">
        <v>44721</v>
      </c>
      <c r="B955" t="s">
        <v>15</v>
      </c>
      <c r="C955">
        <v>2018</v>
      </c>
      <c r="D955" t="s">
        <v>8</v>
      </c>
      <c r="E955" t="str">
        <f>IF(june[[#This Row],[ShiftCounter]]&gt;0, "Running", "Down")</f>
        <v>Running</v>
      </c>
    </row>
    <row r="956" spans="1:5" x14ac:dyDescent="0.25">
      <c r="A956" s="8">
        <v>44721</v>
      </c>
      <c r="B956" t="s">
        <v>16</v>
      </c>
      <c r="C956">
        <v>2310</v>
      </c>
      <c r="D956" t="s">
        <v>6</v>
      </c>
      <c r="E956" t="str">
        <f>IF(june[[#This Row],[ShiftCounter]]&gt;0, "Running", "Down")</f>
        <v>Running</v>
      </c>
    </row>
    <row r="957" spans="1:5" x14ac:dyDescent="0.25">
      <c r="A957" s="8">
        <v>44721</v>
      </c>
      <c r="B957" t="s">
        <v>16</v>
      </c>
      <c r="C957">
        <v>2298</v>
      </c>
      <c r="D957" t="s">
        <v>7</v>
      </c>
      <c r="E957" t="str">
        <f>IF(june[[#This Row],[ShiftCounter]]&gt;0, "Running", "Down")</f>
        <v>Running</v>
      </c>
    </row>
    <row r="958" spans="1:5" x14ac:dyDescent="0.25">
      <c r="A958" s="8">
        <v>44721</v>
      </c>
      <c r="B958" t="s">
        <v>16</v>
      </c>
      <c r="C958">
        <v>1982</v>
      </c>
      <c r="D958" t="s">
        <v>8</v>
      </c>
      <c r="E958" t="str">
        <f>IF(june[[#This Row],[ShiftCounter]]&gt;0, "Running", "Down")</f>
        <v>Running</v>
      </c>
    </row>
    <row r="959" spans="1:5" x14ac:dyDescent="0.25">
      <c r="A959" s="8">
        <v>44721</v>
      </c>
      <c r="B959" t="s">
        <v>17</v>
      </c>
      <c r="C959">
        <v>2410</v>
      </c>
      <c r="D959" t="s">
        <v>6</v>
      </c>
      <c r="E959" t="str">
        <f>IF(june[[#This Row],[ShiftCounter]]&gt;0, "Running", "Down")</f>
        <v>Running</v>
      </c>
    </row>
    <row r="960" spans="1:5" x14ac:dyDescent="0.25">
      <c r="A960" s="8">
        <v>44721</v>
      </c>
      <c r="B960" t="s">
        <v>17</v>
      </c>
      <c r="C960">
        <v>2515</v>
      </c>
      <c r="D960" t="s">
        <v>7</v>
      </c>
      <c r="E960" t="str">
        <f>IF(june[[#This Row],[ShiftCounter]]&gt;0, "Running", "Down")</f>
        <v>Running</v>
      </c>
    </row>
    <row r="961" spans="1:5" x14ac:dyDescent="0.25">
      <c r="A961" s="8">
        <v>44721</v>
      </c>
      <c r="B961" t="s">
        <v>17</v>
      </c>
      <c r="C961">
        <v>2053</v>
      </c>
      <c r="D961" t="s">
        <v>8</v>
      </c>
      <c r="E961" t="str">
        <f>IF(june[[#This Row],[ShiftCounter]]&gt;0, "Running", "Down")</f>
        <v>Running</v>
      </c>
    </row>
    <row r="962" spans="1:5" x14ac:dyDescent="0.25">
      <c r="A962" s="8">
        <v>44721</v>
      </c>
      <c r="B962" t="s">
        <v>18</v>
      </c>
      <c r="C962">
        <v>2460</v>
      </c>
      <c r="D962" t="s">
        <v>6</v>
      </c>
      <c r="E962" t="str">
        <f>IF(june[[#This Row],[ShiftCounter]]&gt;0, "Running", "Down")</f>
        <v>Running</v>
      </c>
    </row>
    <row r="963" spans="1:5" x14ac:dyDescent="0.25">
      <c r="A963" s="8">
        <v>44721</v>
      </c>
      <c r="B963" t="s">
        <v>18</v>
      </c>
      <c r="C963">
        <v>2497</v>
      </c>
      <c r="D963" t="s">
        <v>7</v>
      </c>
      <c r="E963" t="str">
        <f>IF(june[[#This Row],[ShiftCounter]]&gt;0, "Running", "Down")</f>
        <v>Running</v>
      </c>
    </row>
    <row r="964" spans="1:5" x14ac:dyDescent="0.25">
      <c r="A964" s="8">
        <v>44721</v>
      </c>
      <c r="B964" t="s">
        <v>18</v>
      </c>
      <c r="C964">
        <v>2198</v>
      </c>
      <c r="D964" t="s">
        <v>8</v>
      </c>
      <c r="E964" t="str">
        <f>IF(june[[#This Row],[ShiftCounter]]&gt;0, "Running", "Down")</f>
        <v>Running</v>
      </c>
    </row>
    <row r="965" spans="1:5" x14ac:dyDescent="0.25">
      <c r="A965" s="8">
        <v>44721</v>
      </c>
      <c r="B965" t="s">
        <v>19</v>
      </c>
      <c r="C965">
        <v>581</v>
      </c>
      <c r="D965" t="s">
        <v>6</v>
      </c>
      <c r="E965" t="str">
        <f>IF(june[[#This Row],[ShiftCounter]]&gt;0, "Running", "Down")</f>
        <v>Running</v>
      </c>
    </row>
    <row r="966" spans="1:5" x14ac:dyDescent="0.25">
      <c r="A966" s="8">
        <v>44721</v>
      </c>
      <c r="B966" t="s">
        <v>19</v>
      </c>
      <c r="C966">
        <v>2190</v>
      </c>
      <c r="D966" t="s">
        <v>7</v>
      </c>
      <c r="E966" t="str">
        <f>IF(june[[#This Row],[ShiftCounter]]&gt;0, "Running", "Down")</f>
        <v>Running</v>
      </c>
    </row>
    <row r="967" spans="1:5" x14ac:dyDescent="0.25">
      <c r="A967" s="8">
        <v>44721</v>
      </c>
      <c r="B967" t="s">
        <v>19</v>
      </c>
      <c r="C967">
        <v>1666</v>
      </c>
      <c r="D967" t="s">
        <v>8</v>
      </c>
      <c r="E967" t="str">
        <f>IF(june[[#This Row],[ShiftCounter]]&gt;0, "Running", "Down")</f>
        <v>Running</v>
      </c>
    </row>
    <row r="968" spans="1:5" x14ac:dyDescent="0.25">
      <c r="A968" s="8">
        <v>44721</v>
      </c>
      <c r="B968" t="s">
        <v>38</v>
      </c>
      <c r="C968">
        <v>2366</v>
      </c>
      <c r="D968" t="s">
        <v>6</v>
      </c>
      <c r="E968" t="str">
        <f>IF(june[[#This Row],[ShiftCounter]]&gt;0, "Running", "Down")</f>
        <v>Running</v>
      </c>
    </row>
    <row r="969" spans="1:5" x14ac:dyDescent="0.25">
      <c r="A969" s="8">
        <v>44721</v>
      </c>
      <c r="B969" t="s">
        <v>38</v>
      </c>
      <c r="C969">
        <v>1942</v>
      </c>
      <c r="D969" t="s">
        <v>7</v>
      </c>
      <c r="E969" t="str">
        <f>IF(june[[#This Row],[ShiftCounter]]&gt;0, "Running", "Down")</f>
        <v>Running</v>
      </c>
    </row>
    <row r="970" spans="1:5" x14ac:dyDescent="0.25">
      <c r="A970" s="8">
        <v>44721</v>
      </c>
      <c r="B970" t="s">
        <v>38</v>
      </c>
      <c r="C970">
        <v>1997</v>
      </c>
      <c r="D970" t="s">
        <v>8</v>
      </c>
      <c r="E970" t="str">
        <f>IF(june[[#This Row],[ShiftCounter]]&gt;0, "Running", "Down")</f>
        <v>Running</v>
      </c>
    </row>
    <row r="971" spans="1:5" x14ac:dyDescent="0.25">
      <c r="A971" s="8">
        <v>44721</v>
      </c>
      <c r="B971" t="s">
        <v>20</v>
      </c>
      <c r="C971">
        <v>2295</v>
      </c>
      <c r="D971" t="s">
        <v>6</v>
      </c>
      <c r="E971" t="str">
        <f>IF(june[[#This Row],[ShiftCounter]]&gt;0, "Running", "Down")</f>
        <v>Running</v>
      </c>
    </row>
    <row r="972" spans="1:5" x14ac:dyDescent="0.25">
      <c r="A972" s="8">
        <v>44721</v>
      </c>
      <c r="B972" t="s">
        <v>20</v>
      </c>
      <c r="C972">
        <v>2211</v>
      </c>
      <c r="D972" t="s">
        <v>7</v>
      </c>
      <c r="E972" t="str">
        <f>IF(june[[#This Row],[ShiftCounter]]&gt;0, "Running", "Down")</f>
        <v>Running</v>
      </c>
    </row>
    <row r="973" spans="1:5" x14ac:dyDescent="0.25">
      <c r="A973" s="8">
        <v>44721</v>
      </c>
      <c r="B973" t="s">
        <v>20</v>
      </c>
      <c r="C973">
        <v>1973</v>
      </c>
      <c r="D973" t="s">
        <v>8</v>
      </c>
      <c r="E973" t="str">
        <f>IF(june[[#This Row],[ShiftCounter]]&gt;0, "Running", "Down")</f>
        <v>Running</v>
      </c>
    </row>
    <row r="974" spans="1:5" x14ac:dyDescent="0.25">
      <c r="A974" s="8">
        <v>44721</v>
      </c>
      <c r="B974" t="s">
        <v>21</v>
      </c>
      <c r="C974">
        <v>1991</v>
      </c>
      <c r="D974" t="s">
        <v>6</v>
      </c>
      <c r="E974" t="str">
        <f>IF(june[[#This Row],[ShiftCounter]]&gt;0, "Running", "Down")</f>
        <v>Running</v>
      </c>
    </row>
    <row r="975" spans="1:5" x14ac:dyDescent="0.25">
      <c r="A975" s="8">
        <v>44721</v>
      </c>
      <c r="B975" t="s">
        <v>21</v>
      </c>
      <c r="C975">
        <v>1956</v>
      </c>
      <c r="D975" t="s">
        <v>7</v>
      </c>
      <c r="E975" t="str">
        <f>IF(june[[#This Row],[ShiftCounter]]&gt;0, "Running", "Down")</f>
        <v>Running</v>
      </c>
    </row>
    <row r="976" spans="1:5" x14ac:dyDescent="0.25">
      <c r="A976" s="8">
        <v>44721</v>
      </c>
      <c r="B976" t="s">
        <v>21</v>
      </c>
      <c r="C976">
        <v>1997</v>
      </c>
      <c r="D976" t="s">
        <v>8</v>
      </c>
      <c r="E976" t="str">
        <f>IF(june[[#This Row],[ShiftCounter]]&gt;0, "Running", "Down")</f>
        <v>Running</v>
      </c>
    </row>
    <row r="977" spans="1:5" x14ac:dyDescent="0.25">
      <c r="A977" s="8">
        <v>44721</v>
      </c>
      <c r="B977" t="s">
        <v>22</v>
      </c>
      <c r="C977">
        <v>2320</v>
      </c>
      <c r="D977" t="s">
        <v>6</v>
      </c>
      <c r="E977" t="str">
        <f>IF(june[[#This Row],[ShiftCounter]]&gt;0, "Running", "Down")</f>
        <v>Running</v>
      </c>
    </row>
    <row r="978" spans="1:5" x14ac:dyDescent="0.25">
      <c r="A978" s="8">
        <v>44721</v>
      </c>
      <c r="B978" t="s">
        <v>22</v>
      </c>
      <c r="C978">
        <v>2321</v>
      </c>
      <c r="D978" t="s">
        <v>7</v>
      </c>
      <c r="E978" t="str">
        <f>IF(june[[#This Row],[ShiftCounter]]&gt;0, "Running", "Down")</f>
        <v>Running</v>
      </c>
    </row>
    <row r="979" spans="1:5" x14ac:dyDescent="0.25">
      <c r="A979" s="8">
        <v>44721</v>
      </c>
      <c r="B979" t="s">
        <v>22</v>
      </c>
      <c r="C979">
        <v>2109</v>
      </c>
      <c r="D979" t="s">
        <v>8</v>
      </c>
      <c r="E979" t="str">
        <f>IF(june[[#This Row],[ShiftCounter]]&gt;0, "Running", "Down")</f>
        <v>Running</v>
      </c>
    </row>
    <row r="980" spans="1:5" x14ac:dyDescent="0.25">
      <c r="A980" s="8">
        <v>44721</v>
      </c>
      <c r="B980" t="s">
        <v>23</v>
      </c>
      <c r="C980">
        <v>2375</v>
      </c>
      <c r="D980" t="s">
        <v>6</v>
      </c>
      <c r="E980" t="str">
        <f>IF(june[[#This Row],[ShiftCounter]]&gt;0, "Running", "Down")</f>
        <v>Running</v>
      </c>
    </row>
    <row r="981" spans="1:5" x14ac:dyDescent="0.25">
      <c r="A981" s="8">
        <v>44721</v>
      </c>
      <c r="B981" t="s">
        <v>23</v>
      </c>
      <c r="C981">
        <v>2438</v>
      </c>
      <c r="D981" t="s">
        <v>7</v>
      </c>
      <c r="E981" t="str">
        <f>IF(june[[#This Row],[ShiftCounter]]&gt;0, "Running", "Down")</f>
        <v>Running</v>
      </c>
    </row>
    <row r="982" spans="1:5" x14ac:dyDescent="0.25">
      <c r="A982" s="8">
        <v>44721</v>
      </c>
      <c r="B982" t="s">
        <v>23</v>
      </c>
      <c r="C982">
        <v>2174</v>
      </c>
      <c r="D982" t="s">
        <v>8</v>
      </c>
      <c r="E982" t="str">
        <f>IF(june[[#This Row],[ShiftCounter]]&gt;0, "Running", "Down")</f>
        <v>Running</v>
      </c>
    </row>
    <row r="983" spans="1:5" x14ac:dyDescent="0.25">
      <c r="A983" s="8">
        <v>44721</v>
      </c>
      <c r="B983" t="s">
        <v>24</v>
      </c>
      <c r="C983">
        <v>1979</v>
      </c>
      <c r="D983" t="s">
        <v>6</v>
      </c>
      <c r="E983" t="str">
        <f>IF(june[[#This Row],[ShiftCounter]]&gt;0, "Running", "Down")</f>
        <v>Running</v>
      </c>
    </row>
    <row r="984" spans="1:5" x14ac:dyDescent="0.25">
      <c r="A984" s="8">
        <v>44721</v>
      </c>
      <c r="B984" t="s">
        <v>24</v>
      </c>
      <c r="C984">
        <v>2104</v>
      </c>
      <c r="D984" t="s">
        <v>7</v>
      </c>
      <c r="E984" t="str">
        <f>IF(june[[#This Row],[ShiftCounter]]&gt;0, "Running", "Down")</f>
        <v>Running</v>
      </c>
    </row>
    <row r="985" spans="1:5" x14ac:dyDescent="0.25">
      <c r="A985" s="8">
        <v>44721</v>
      </c>
      <c r="B985" t="s">
        <v>24</v>
      </c>
      <c r="C985">
        <v>1793</v>
      </c>
      <c r="D985" t="s">
        <v>8</v>
      </c>
      <c r="E985" t="str">
        <f>IF(june[[#This Row],[ShiftCounter]]&gt;0, "Running", "Down")</f>
        <v>Running</v>
      </c>
    </row>
    <row r="986" spans="1:5" x14ac:dyDescent="0.25">
      <c r="A986" s="8">
        <v>44721</v>
      </c>
      <c r="B986" t="s">
        <v>75</v>
      </c>
      <c r="C986">
        <v>1353</v>
      </c>
      <c r="D986" t="s">
        <v>6</v>
      </c>
      <c r="E986" t="str">
        <f>IF(june[[#This Row],[ShiftCounter]]&gt;0, "Running", "Down")</f>
        <v>Running</v>
      </c>
    </row>
    <row r="987" spans="1:5" x14ac:dyDescent="0.25">
      <c r="A987" s="8">
        <v>44721</v>
      </c>
      <c r="B987" t="s">
        <v>75</v>
      </c>
      <c r="C987">
        <v>2306</v>
      </c>
      <c r="D987" t="s">
        <v>7</v>
      </c>
      <c r="E987" t="str">
        <f>IF(june[[#This Row],[ShiftCounter]]&gt;0, "Running", "Down")</f>
        <v>Running</v>
      </c>
    </row>
    <row r="988" spans="1:5" x14ac:dyDescent="0.25">
      <c r="A988" s="8">
        <v>44721</v>
      </c>
      <c r="B988" t="s">
        <v>75</v>
      </c>
      <c r="C988">
        <v>1625</v>
      </c>
      <c r="D988" t="s">
        <v>8</v>
      </c>
      <c r="E988" t="str">
        <f>IF(june[[#This Row],[ShiftCounter]]&gt;0, "Running", "Down")</f>
        <v>Running</v>
      </c>
    </row>
    <row r="989" spans="1:5" x14ac:dyDescent="0.25">
      <c r="A989" s="8">
        <v>44721</v>
      </c>
      <c r="B989" t="s">
        <v>25</v>
      </c>
      <c r="C989">
        <v>2168</v>
      </c>
      <c r="D989" t="s">
        <v>6</v>
      </c>
      <c r="E989" t="str">
        <f>IF(june[[#This Row],[ShiftCounter]]&gt;0, "Running", "Down")</f>
        <v>Running</v>
      </c>
    </row>
    <row r="990" spans="1:5" x14ac:dyDescent="0.25">
      <c r="A990" s="8">
        <v>44721</v>
      </c>
      <c r="B990" t="s">
        <v>25</v>
      </c>
      <c r="C990">
        <v>2265</v>
      </c>
      <c r="D990" t="s">
        <v>7</v>
      </c>
      <c r="E990" t="str">
        <f>IF(june[[#This Row],[ShiftCounter]]&gt;0, "Running", "Down")</f>
        <v>Running</v>
      </c>
    </row>
    <row r="991" spans="1:5" x14ac:dyDescent="0.25">
      <c r="A991" s="8">
        <v>44721</v>
      </c>
      <c r="B991" t="s">
        <v>25</v>
      </c>
      <c r="C991">
        <v>1980</v>
      </c>
      <c r="D991" t="s">
        <v>8</v>
      </c>
      <c r="E991" t="str">
        <f>IF(june[[#This Row],[ShiftCounter]]&gt;0, "Running", "Down")</f>
        <v>Running</v>
      </c>
    </row>
    <row r="992" spans="1:5" x14ac:dyDescent="0.25">
      <c r="A992" s="8">
        <v>44721</v>
      </c>
      <c r="B992" t="s">
        <v>26</v>
      </c>
      <c r="C992">
        <v>1361</v>
      </c>
      <c r="D992" t="s">
        <v>6</v>
      </c>
      <c r="E992" t="str">
        <f>IF(june[[#This Row],[ShiftCounter]]&gt;0, "Running", "Down")</f>
        <v>Running</v>
      </c>
    </row>
    <row r="993" spans="1:5" x14ac:dyDescent="0.25">
      <c r="A993" s="8">
        <v>44721</v>
      </c>
      <c r="B993" t="s">
        <v>26</v>
      </c>
      <c r="C993">
        <v>1995</v>
      </c>
      <c r="D993" t="s">
        <v>7</v>
      </c>
      <c r="E993" t="str">
        <f>IF(june[[#This Row],[ShiftCounter]]&gt;0, "Running", "Down")</f>
        <v>Running</v>
      </c>
    </row>
    <row r="994" spans="1:5" x14ac:dyDescent="0.25">
      <c r="A994" s="8">
        <v>44721</v>
      </c>
      <c r="B994" t="s">
        <v>26</v>
      </c>
      <c r="C994">
        <v>1786</v>
      </c>
      <c r="D994" t="s">
        <v>8</v>
      </c>
      <c r="E994" t="str">
        <f>IF(june[[#This Row],[ShiftCounter]]&gt;0, "Running", "Down")</f>
        <v>Running</v>
      </c>
    </row>
    <row r="995" spans="1:5" x14ac:dyDescent="0.25">
      <c r="A995" s="8">
        <v>44721</v>
      </c>
      <c r="B995" t="s">
        <v>27</v>
      </c>
      <c r="C995">
        <v>2178</v>
      </c>
      <c r="D995" t="s">
        <v>6</v>
      </c>
      <c r="E995" t="str">
        <f>IF(june[[#This Row],[ShiftCounter]]&gt;0, "Running", "Down")</f>
        <v>Running</v>
      </c>
    </row>
    <row r="996" spans="1:5" x14ac:dyDescent="0.25">
      <c r="A996" s="8">
        <v>44721</v>
      </c>
      <c r="B996" t="s">
        <v>27</v>
      </c>
      <c r="C996">
        <v>2232</v>
      </c>
      <c r="D996" t="s">
        <v>7</v>
      </c>
      <c r="E996" t="str">
        <f>IF(june[[#This Row],[ShiftCounter]]&gt;0, "Running", "Down")</f>
        <v>Running</v>
      </c>
    </row>
    <row r="997" spans="1:5" x14ac:dyDescent="0.25">
      <c r="A997" s="8">
        <v>44721</v>
      </c>
      <c r="B997" t="s">
        <v>27</v>
      </c>
      <c r="C997">
        <v>2037</v>
      </c>
      <c r="D997" t="s">
        <v>8</v>
      </c>
      <c r="E997" t="str">
        <f>IF(june[[#This Row],[ShiftCounter]]&gt;0, "Running", "Down")</f>
        <v>Running</v>
      </c>
    </row>
    <row r="998" spans="1:5" x14ac:dyDescent="0.25">
      <c r="A998" s="8">
        <v>44721</v>
      </c>
      <c r="B998" t="s">
        <v>28</v>
      </c>
      <c r="C998">
        <v>2132</v>
      </c>
      <c r="D998" t="s">
        <v>6</v>
      </c>
      <c r="E998" t="str">
        <f>IF(june[[#This Row],[ShiftCounter]]&gt;0, "Running", "Down")</f>
        <v>Running</v>
      </c>
    </row>
    <row r="999" spans="1:5" x14ac:dyDescent="0.25">
      <c r="A999" s="8">
        <v>44721</v>
      </c>
      <c r="B999" t="s">
        <v>28</v>
      </c>
      <c r="C999">
        <v>2207</v>
      </c>
      <c r="D999" t="s">
        <v>7</v>
      </c>
      <c r="E999" t="str">
        <f>IF(june[[#This Row],[ShiftCounter]]&gt;0, "Running", "Down")</f>
        <v>Running</v>
      </c>
    </row>
    <row r="1000" spans="1:5" x14ac:dyDescent="0.25">
      <c r="A1000" s="8">
        <v>44721</v>
      </c>
      <c r="B1000" t="s">
        <v>28</v>
      </c>
      <c r="C1000">
        <v>1953</v>
      </c>
      <c r="D1000" t="s">
        <v>8</v>
      </c>
      <c r="E1000" t="str">
        <f>IF(june[[#This Row],[ShiftCounter]]&gt;0, "Running", "Down")</f>
        <v>Running</v>
      </c>
    </row>
    <row r="1001" spans="1:5" x14ac:dyDescent="0.25">
      <c r="A1001" s="8">
        <v>44721</v>
      </c>
      <c r="B1001" t="s">
        <v>29</v>
      </c>
      <c r="C1001">
        <v>1407</v>
      </c>
      <c r="D1001" t="s">
        <v>6</v>
      </c>
      <c r="E1001" t="str">
        <f>IF(june[[#This Row],[ShiftCounter]]&gt;0, "Running", "Down")</f>
        <v>Running</v>
      </c>
    </row>
    <row r="1002" spans="1:5" x14ac:dyDescent="0.25">
      <c r="A1002" s="8">
        <v>44721</v>
      </c>
      <c r="B1002" t="s">
        <v>29</v>
      </c>
      <c r="C1002">
        <v>2206</v>
      </c>
      <c r="D1002" t="s">
        <v>7</v>
      </c>
      <c r="E1002" t="str">
        <f>IF(june[[#This Row],[ShiftCounter]]&gt;0, "Running", "Down")</f>
        <v>Running</v>
      </c>
    </row>
    <row r="1003" spans="1:5" x14ac:dyDescent="0.25">
      <c r="A1003" s="8">
        <v>44721</v>
      </c>
      <c r="B1003" t="s">
        <v>29</v>
      </c>
      <c r="C1003">
        <v>1887</v>
      </c>
      <c r="D1003" t="s">
        <v>8</v>
      </c>
      <c r="E1003" t="str">
        <f>IF(june[[#This Row],[ShiftCounter]]&gt;0, "Running", "Down")</f>
        <v>Running</v>
      </c>
    </row>
    <row r="1004" spans="1:5" x14ac:dyDescent="0.25">
      <c r="A1004" s="8">
        <v>44721</v>
      </c>
      <c r="B1004" t="s">
        <v>30</v>
      </c>
      <c r="C1004">
        <v>2323</v>
      </c>
      <c r="D1004" t="s">
        <v>6</v>
      </c>
      <c r="E1004" t="str">
        <f>IF(june[[#This Row],[ShiftCounter]]&gt;0, "Running", "Down")</f>
        <v>Running</v>
      </c>
    </row>
    <row r="1005" spans="1:5" x14ac:dyDescent="0.25">
      <c r="A1005" s="8">
        <v>44721</v>
      </c>
      <c r="B1005" t="s">
        <v>30</v>
      </c>
      <c r="C1005">
        <v>2267</v>
      </c>
      <c r="D1005" t="s">
        <v>7</v>
      </c>
      <c r="E1005" t="str">
        <f>IF(june[[#This Row],[ShiftCounter]]&gt;0, "Running", "Down")</f>
        <v>Running</v>
      </c>
    </row>
    <row r="1006" spans="1:5" x14ac:dyDescent="0.25">
      <c r="A1006" s="8">
        <v>44721</v>
      </c>
      <c r="B1006" t="s">
        <v>30</v>
      </c>
      <c r="C1006">
        <v>2022</v>
      </c>
      <c r="D1006" t="s">
        <v>8</v>
      </c>
      <c r="E1006" t="str">
        <f>IF(june[[#This Row],[ShiftCounter]]&gt;0, "Running", "Down")</f>
        <v>Running</v>
      </c>
    </row>
    <row r="1007" spans="1:5" x14ac:dyDescent="0.25">
      <c r="A1007" s="8">
        <v>44721</v>
      </c>
      <c r="B1007" t="s">
        <v>31</v>
      </c>
      <c r="C1007">
        <v>2272</v>
      </c>
      <c r="D1007" t="s">
        <v>6</v>
      </c>
      <c r="E1007" t="str">
        <f>IF(june[[#This Row],[ShiftCounter]]&gt;0, "Running", "Down")</f>
        <v>Running</v>
      </c>
    </row>
    <row r="1008" spans="1:5" x14ac:dyDescent="0.25">
      <c r="A1008" s="8">
        <v>44721</v>
      </c>
      <c r="B1008" t="s">
        <v>31</v>
      </c>
      <c r="C1008">
        <v>2234</v>
      </c>
      <c r="D1008" t="s">
        <v>7</v>
      </c>
      <c r="E1008" t="str">
        <f>IF(june[[#This Row],[ShiftCounter]]&gt;0, "Running", "Down")</f>
        <v>Running</v>
      </c>
    </row>
    <row r="1009" spans="1:5" x14ac:dyDescent="0.25">
      <c r="A1009" s="8">
        <v>44721</v>
      </c>
      <c r="B1009" t="s">
        <v>31</v>
      </c>
      <c r="C1009">
        <v>2001</v>
      </c>
      <c r="D1009" t="s">
        <v>8</v>
      </c>
      <c r="E1009" t="str">
        <f>IF(june[[#This Row],[ShiftCounter]]&gt;0, "Running", "Down")</f>
        <v>Running</v>
      </c>
    </row>
    <row r="1010" spans="1:5" x14ac:dyDescent="0.25">
      <c r="A1010" s="8">
        <v>44721</v>
      </c>
      <c r="B1010" t="s">
        <v>32</v>
      </c>
      <c r="C1010">
        <v>2096</v>
      </c>
      <c r="D1010" t="s">
        <v>6</v>
      </c>
      <c r="E1010" t="str">
        <f>IF(june[[#This Row],[ShiftCounter]]&gt;0, "Running", "Down")</f>
        <v>Running</v>
      </c>
    </row>
    <row r="1011" spans="1:5" x14ac:dyDescent="0.25">
      <c r="A1011" s="8">
        <v>44721</v>
      </c>
      <c r="B1011" t="s">
        <v>32</v>
      </c>
      <c r="C1011">
        <v>2267</v>
      </c>
      <c r="D1011" t="s">
        <v>7</v>
      </c>
      <c r="E1011" t="str">
        <f>IF(june[[#This Row],[ShiftCounter]]&gt;0, "Running", "Down")</f>
        <v>Running</v>
      </c>
    </row>
    <row r="1012" spans="1:5" x14ac:dyDescent="0.25">
      <c r="A1012" s="8">
        <v>44721</v>
      </c>
      <c r="B1012" t="s">
        <v>32</v>
      </c>
      <c r="C1012">
        <v>1835</v>
      </c>
      <c r="D1012" t="s">
        <v>8</v>
      </c>
      <c r="E1012" t="str">
        <f>IF(june[[#This Row],[ShiftCounter]]&gt;0, "Running", "Down")</f>
        <v>Running</v>
      </c>
    </row>
    <row r="1013" spans="1:5" x14ac:dyDescent="0.25">
      <c r="A1013" s="8">
        <v>44721</v>
      </c>
      <c r="B1013" t="s">
        <v>67</v>
      </c>
      <c r="C1013">
        <v>2242</v>
      </c>
      <c r="D1013" t="s">
        <v>6</v>
      </c>
      <c r="E1013" t="str">
        <f>IF(june[[#This Row],[ShiftCounter]]&gt;0, "Running", "Down")</f>
        <v>Running</v>
      </c>
    </row>
    <row r="1014" spans="1:5" x14ac:dyDescent="0.25">
      <c r="A1014" s="8">
        <v>44721</v>
      </c>
      <c r="B1014" t="s">
        <v>67</v>
      </c>
      <c r="C1014">
        <v>2084</v>
      </c>
      <c r="D1014" t="s">
        <v>7</v>
      </c>
      <c r="E1014" t="str">
        <f>IF(june[[#This Row],[ShiftCounter]]&gt;0, "Running", "Down")</f>
        <v>Running</v>
      </c>
    </row>
    <row r="1015" spans="1:5" x14ac:dyDescent="0.25">
      <c r="A1015" s="8">
        <v>44721</v>
      </c>
      <c r="B1015" t="s">
        <v>67</v>
      </c>
      <c r="C1015">
        <v>2031</v>
      </c>
      <c r="D1015" t="s">
        <v>8</v>
      </c>
      <c r="E1015" t="str">
        <f>IF(june[[#This Row],[ShiftCounter]]&gt;0, "Running", "Down")</f>
        <v>Running</v>
      </c>
    </row>
    <row r="1016" spans="1:5" x14ac:dyDescent="0.25">
      <c r="A1016" s="8">
        <v>44721</v>
      </c>
      <c r="B1016" t="s">
        <v>33</v>
      </c>
      <c r="C1016">
        <v>2589</v>
      </c>
      <c r="D1016" t="s">
        <v>6</v>
      </c>
      <c r="E1016" t="str">
        <f>IF(june[[#This Row],[ShiftCounter]]&gt;0, "Running", "Down")</f>
        <v>Running</v>
      </c>
    </row>
    <row r="1017" spans="1:5" x14ac:dyDescent="0.25">
      <c r="A1017" s="8">
        <v>44721</v>
      </c>
      <c r="B1017" t="s">
        <v>33</v>
      </c>
      <c r="C1017">
        <v>2394</v>
      </c>
      <c r="D1017" t="s">
        <v>7</v>
      </c>
      <c r="E1017" t="str">
        <f>IF(june[[#This Row],[ShiftCounter]]&gt;0, "Running", "Down")</f>
        <v>Running</v>
      </c>
    </row>
    <row r="1018" spans="1:5" x14ac:dyDescent="0.25">
      <c r="A1018" s="8">
        <v>44721</v>
      </c>
      <c r="B1018" t="s">
        <v>33</v>
      </c>
      <c r="C1018">
        <v>2375</v>
      </c>
      <c r="D1018" t="s">
        <v>8</v>
      </c>
      <c r="E1018" t="str">
        <f>IF(june[[#This Row],[ShiftCounter]]&gt;0, "Running", "Down")</f>
        <v>Running</v>
      </c>
    </row>
    <row r="1019" spans="1:5" x14ac:dyDescent="0.25">
      <c r="A1019" s="8">
        <v>44721</v>
      </c>
      <c r="B1019" t="s">
        <v>34</v>
      </c>
      <c r="C1019">
        <v>2202</v>
      </c>
      <c r="D1019" t="s">
        <v>6</v>
      </c>
      <c r="E1019" t="str">
        <f>IF(june[[#This Row],[ShiftCounter]]&gt;0, "Running", "Down")</f>
        <v>Running</v>
      </c>
    </row>
    <row r="1020" spans="1:5" x14ac:dyDescent="0.25">
      <c r="A1020" s="8">
        <v>44721</v>
      </c>
      <c r="B1020" t="s">
        <v>34</v>
      </c>
      <c r="C1020">
        <v>1994</v>
      </c>
      <c r="D1020" t="s">
        <v>7</v>
      </c>
      <c r="E1020" t="str">
        <f>IF(june[[#This Row],[ShiftCounter]]&gt;0, "Running", "Down")</f>
        <v>Running</v>
      </c>
    </row>
    <row r="1021" spans="1:5" x14ac:dyDescent="0.25">
      <c r="A1021" s="8">
        <v>44721</v>
      </c>
      <c r="B1021" t="s">
        <v>34</v>
      </c>
      <c r="C1021">
        <v>1963</v>
      </c>
      <c r="D1021" t="s">
        <v>8</v>
      </c>
      <c r="E1021" t="str">
        <f>IF(june[[#This Row],[ShiftCounter]]&gt;0, "Running", "Down")</f>
        <v>Running</v>
      </c>
    </row>
    <row r="1022" spans="1:5" x14ac:dyDescent="0.25">
      <c r="A1022" s="8">
        <v>44718</v>
      </c>
      <c r="B1022" t="s">
        <v>35</v>
      </c>
      <c r="C1022">
        <v>1808</v>
      </c>
      <c r="D1022" t="s">
        <v>6</v>
      </c>
      <c r="E1022" t="str">
        <f>IF(june[[#This Row],[ShiftCounter]]&gt;0, "Running", "Down")</f>
        <v>Running</v>
      </c>
    </row>
    <row r="1023" spans="1:5" x14ac:dyDescent="0.25">
      <c r="A1023" s="8">
        <v>44718</v>
      </c>
      <c r="B1023" t="s">
        <v>35</v>
      </c>
      <c r="C1023">
        <v>0</v>
      </c>
      <c r="D1023" t="s">
        <v>7</v>
      </c>
      <c r="E1023" t="str">
        <f>IF(june[[#This Row],[ShiftCounter]]&gt;0, "Running", "Down")</f>
        <v>Down</v>
      </c>
    </row>
    <row r="1024" spans="1:5" x14ac:dyDescent="0.25">
      <c r="A1024" s="8">
        <v>44718</v>
      </c>
      <c r="B1024" t="s">
        <v>35</v>
      </c>
      <c r="C1024">
        <v>0</v>
      </c>
      <c r="D1024" t="s">
        <v>8</v>
      </c>
      <c r="E1024" t="str">
        <f>IF(june[[#This Row],[ShiftCounter]]&gt;0, "Running", "Down")</f>
        <v>Down</v>
      </c>
    </row>
    <row r="1025" spans="1:5" x14ac:dyDescent="0.25">
      <c r="A1025" s="8">
        <v>44721</v>
      </c>
      <c r="B1025" t="s">
        <v>35</v>
      </c>
      <c r="C1025">
        <v>2065</v>
      </c>
      <c r="D1025" t="s">
        <v>6</v>
      </c>
      <c r="E1025" t="str">
        <f>IF(june[[#This Row],[ShiftCounter]]&gt;0, "Running", "Down")</f>
        <v>Running</v>
      </c>
    </row>
    <row r="1026" spans="1:5" x14ac:dyDescent="0.25">
      <c r="A1026" s="8">
        <v>44721</v>
      </c>
      <c r="B1026" t="s">
        <v>35</v>
      </c>
      <c r="C1026">
        <v>1890</v>
      </c>
      <c r="D1026" t="s">
        <v>7</v>
      </c>
      <c r="E1026" t="str">
        <f>IF(june[[#This Row],[ShiftCounter]]&gt;0, "Running", "Down")</f>
        <v>Running</v>
      </c>
    </row>
    <row r="1027" spans="1:5" x14ac:dyDescent="0.25">
      <c r="A1027" s="8">
        <v>44721</v>
      </c>
      <c r="B1027" t="s">
        <v>35</v>
      </c>
      <c r="C1027">
        <v>1994</v>
      </c>
      <c r="D1027" t="s">
        <v>8</v>
      </c>
      <c r="E1027" t="str">
        <f>IF(june[[#This Row],[ShiftCounter]]&gt;0, "Running", "Down")</f>
        <v>Running</v>
      </c>
    </row>
    <row r="1028" spans="1:5" x14ac:dyDescent="0.25">
      <c r="A1028" s="8">
        <v>44721</v>
      </c>
      <c r="B1028" t="s">
        <v>36</v>
      </c>
      <c r="C1028">
        <v>2519</v>
      </c>
      <c r="D1028" t="s">
        <v>6</v>
      </c>
      <c r="E1028" t="str">
        <f>IF(june[[#This Row],[ShiftCounter]]&gt;0, "Running", "Down")</f>
        <v>Running</v>
      </c>
    </row>
    <row r="1029" spans="1:5" x14ac:dyDescent="0.25">
      <c r="A1029" s="8">
        <v>44721</v>
      </c>
      <c r="B1029" t="s">
        <v>36</v>
      </c>
      <c r="C1029">
        <v>2217</v>
      </c>
      <c r="D1029" t="s">
        <v>7</v>
      </c>
      <c r="E1029" t="str">
        <f>IF(june[[#This Row],[ShiftCounter]]&gt;0, "Running", "Down")</f>
        <v>Running</v>
      </c>
    </row>
    <row r="1030" spans="1:5" x14ac:dyDescent="0.25">
      <c r="A1030" s="8">
        <v>44721</v>
      </c>
      <c r="B1030" t="s">
        <v>36</v>
      </c>
      <c r="C1030">
        <v>2162</v>
      </c>
      <c r="D1030" t="s">
        <v>8</v>
      </c>
      <c r="E1030" t="str">
        <f>IF(june[[#This Row],[ShiftCounter]]&gt;0, "Running", "Down")</f>
        <v>Running</v>
      </c>
    </row>
    <row r="1031" spans="1:5" x14ac:dyDescent="0.25">
      <c r="A1031" s="8">
        <v>44721</v>
      </c>
      <c r="B1031" t="s">
        <v>37</v>
      </c>
      <c r="C1031">
        <v>2465</v>
      </c>
      <c r="D1031" t="s">
        <v>6</v>
      </c>
      <c r="E1031" t="str">
        <f>IF(june[[#This Row],[ShiftCounter]]&gt;0, "Running", "Down")</f>
        <v>Running</v>
      </c>
    </row>
    <row r="1032" spans="1:5" x14ac:dyDescent="0.25">
      <c r="A1032" s="8">
        <v>44721</v>
      </c>
      <c r="B1032" t="s">
        <v>37</v>
      </c>
      <c r="C1032">
        <v>2298</v>
      </c>
      <c r="D1032" t="s">
        <v>7</v>
      </c>
      <c r="E1032" t="str">
        <f>IF(june[[#This Row],[ShiftCounter]]&gt;0, "Running", "Down")</f>
        <v>Running</v>
      </c>
    </row>
    <row r="1033" spans="1:5" x14ac:dyDescent="0.25">
      <c r="A1033" s="8">
        <v>44721</v>
      </c>
      <c r="B1033" t="s">
        <v>37</v>
      </c>
      <c r="C1033">
        <v>2164</v>
      </c>
      <c r="D1033" t="s">
        <v>8</v>
      </c>
      <c r="E1033" t="str">
        <f>IF(june[[#This Row],[ShiftCounter]]&gt;0, "Running", "Down")</f>
        <v>Running</v>
      </c>
    </row>
    <row r="1034" spans="1:5" x14ac:dyDescent="0.25">
      <c r="A1034" s="8">
        <v>44721</v>
      </c>
      <c r="B1034" t="s">
        <v>54</v>
      </c>
      <c r="C1034">
        <v>0</v>
      </c>
      <c r="D1034" t="s">
        <v>6</v>
      </c>
      <c r="E1034" t="str">
        <f>IF(june[[#This Row],[ShiftCounter]]&gt;0, "Running", "Down")</f>
        <v>Down</v>
      </c>
    </row>
    <row r="1035" spans="1:5" x14ac:dyDescent="0.25">
      <c r="A1035" s="8">
        <v>44721</v>
      </c>
      <c r="B1035" t="s">
        <v>54</v>
      </c>
      <c r="C1035">
        <v>0</v>
      </c>
      <c r="D1035" t="s">
        <v>7</v>
      </c>
      <c r="E1035" t="str">
        <f>IF(june[[#This Row],[ShiftCounter]]&gt;0, "Running", "Down")</f>
        <v>Down</v>
      </c>
    </row>
    <row r="1036" spans="1:5" x14ac:dyDescent="0.25">
      <c r="A1036" s="8">
        <v>44721</v>
      </c>
      <c r="B1036" t="s">
        <v>54</v>
      </c>
      <c r="C1036">
        <v>1755</v>
      </c>
      <c r="D1036" t="s">
        <v>8</v>
      </c>
      <c r="E1036" t="str">
        <f>IF(june[[#This Row],[ShiftCounter]]&gt;0, "Running", "Down")</f>
        <v>Running</v>
      </c>
    </row>
    <row r="1037" spans="1:5" x14ac:dyDescent="0.25">
      <c r="A1037" s="8">
        <v>44722</v>
      </c>
      <c r="B1037" t="s">
        <v>136</v>
      </c>
      <c r="C1037">
        <v>2736</v>
      </c>
      <c r="D1037" t="s">
        <v>6</v>
      </c>
      <c r="E1037" t="str">
        <f>IF(june[[#This Row],[ShiftCounter]]&gt;0, "Running", "Down")</f>
        <v>Running</v>
      </c>
    </row>
    <row r="1038" spans="1:5" x14ac:dyDescent="0.25">
      <c r="A1038" s="8">
        <v>44722</v>
      </c>
      <c r="B1038" t="s">
        <v>136</v>
      </c>
      <c r="C1038">
        <v>516</v>
      </c>
      <c r="D1038" t="s">
        <v>7</v>
      </c>
      <c r="E1038" t="str">
        <f>IF(june[[#This Row],[ShiftCounter]]&gt;0, "Running", "Down")</f>
        <v>Running</v>
      </c>
    </row>
    <row r="1039" spans="1:5" x14ac:dyDescent="0.25">
      <c r="A1039" s="8">
        <v>44722</v>
      </c>
      <c r="B1039" t="s">
        <v>136</v>
      </c>
      <c r="C1039">
        <v>0</v>
      </c>
      <c r="D1039" t="s">
        <v>8</v>
      </c>
      <c r="E1039" t="str">
        <f>IF(june[[#This Row],[ShiftCounter]]&gt;0, "Running", "Down")</f>
        <v>Down</v>
      </c>
    </row>
    <row r="1040" spans="1:5" x14ac:dyDescent="0.25">
      <c r="A1040" s="8">
        <v>44722</v>
      </c>
      <c r="B1040" t="s">
        <v>39</v>
      </c>
      <c r="C1040">
        <v>2466</v>
      </c>
      <c r="D1040" t="s">
        <v>6</v>
      </c>
      <c r="E1040" t="str">
        <f>IF(june[[#This Row],[ShiftCounter]]&gt;0, "Running", "Down")</f>
        <v>Running</v>
      </c>
    </row>
    <row r="1041" spans="1:5" x14ac:dyDescent="0.25">
      <c r="A1041" s="8">
        <v>44722</v>
      </c>
      <c r="B1041" t="s">
        <v>39</v>
      </c>
      <c r="C1041">
        <v>2265</v>
      </c>
      <c r="D1041" t="s">
        <v>7</v>
      </c>
      <c r="E1041" t="str">
        <f>IF(june[[#This Row],[ShiftCounter]]&gt;0, "Running", "Down")</f>
        <v>Running</v>
      </c>
    </row>
    <row r="1042" spans="1:5" x14ac:dyDescent="0.25">
      <c r="A1042" s="8">
        <v>44722</v>
      </c>
      <c r="B1042" t="s">
        <v>39</v>
      </c>
      <c r="C1042">
        <v>1985</v>
      </c>
      <c r="D1042" t="s">
        <v>8</v>
      </c>
      <c r="E1042" t="str">
        <f>IF(june[[#This Row],[ShiftCounter]]&gt;0, "Running", "Down")</f>
        <v>Running</v>
      </c>
    </row>
    <row r="1043" spans="1:5" x14ac:dyDescent="0.25">
      <c r="A1043" s="8">
        <v>44722</v>
      </c>
      <c r="B1043" t="s">
        <v>135</v>
      </c>
      <c r="C1043">
        <v>2432</v>
      </c>
      <c r="D1043" t="s">
        <v>6</v>
      </c>
      <c r="E1043" t="str">
        <f>IF(june[[#This Row],[ShiftCounter]]&gt;0, "Running", "Down")</f>
        <v>Running</v>
      </c>
    </row>
    <row r="1044" spans="1:5" x14ac:dyDescent="0.25">
      <c r="A1044" s="8">
        <v>44722</v>
      </c>
      <c r="B1044" t="s">
        <v>135</v>
      </c>
      <c r="C1044">
        <v>2242</v>
      </c>
      <c r="D1044" t="s">
        <v>7</v>
      </c>
      <c r="E1044" t="str">
        <f>IF(june[[#This Row],[ShiftCounter]]&gt;0, "Running", "Down")</f>
        <v>Running</v>
      </c>
    </row>
    <row r="1045" spans="1:5" x14ac:dyDescent="0.25">
      <c r="A1045" s="8">
        <v>44722</v>
      </c>
      <c r="B1045" t="s">
        <v>135</v>
      </c>
      <c r="C1045">
        <v>2004</v>
      </c>
      <c r="D1045" t="s">
        <v>8</v>
      </c>
      <c r="E1045" t="str">
        <f>IF(june[[#This Row],[ShiftCounter]]&gt;0, "Running", "Down")</f>
        <v>Running</v>
      </c>
    </row>
    <row r="1046" spans="1:5" x14ac:dyDescent="0.25">
      <c r="A1046" s="8">
        <v>44722</v>
      </c>
      <c r="B1046" t="s">
        <v>40</v>
      </c>
      <c r="C1046">
        <v>2569</v>
      </c>
      <c r="D1046" t="s">
        <v>6</v>
      </c>
      <c r="E1046" t="str">
        <f>IF(june[[#This Row],[ShiftCounter]]&gt;0, "Running", "Down")</f>
        <v>Running</v>
      </c>
    </row>
    <row r="1047" spans="1:5" x14ac:dyDescent="0.25">
      <c r="A1047" s="8">
        <v>44722</v>
      </c>
      <c r="B1047" t="s">
        <v>40</v>
      </c>
      <c r="C1047">
        <v>2292</v>
      </c>
      <c r="D1047" t="s">
        <v>7</v>
      </c>
      <c r="E1047" t="str">
        <f>IF(june[[#This Row],[ShiftCounter]]&gt;0, "Running", "Down")</f>
        <v>Running</v>
      </c>
    </row>
    <row r="1048" spans="1:5" x14ac:dyDescent="0.25">
      <c r="A1048" s="8">
        <v>44722</v>
      </c>
      <c r="B1048" t="s">
        <v>40</v>
      </c>
      <c r="C1048">
        <v>2051</v>
      </c>
      <c r="D1048" t="s">
        <v>8</v>
      </c>
      <c r="E1048" t="str">
        <f>IF(june[[#This Row],[ShiftCounter]]&gt;0, "Running", "Down")</f>
        <v>Running</v>
      </c>
    </row>
    <row r="1049" spans="1:5" x14ac:dyDescent="0.25">
      <c r="A1049" s="8">
        <v>44722</v>
      </c>
      <c r="B1049" t="s">
        <v>41</v>
      </c>
      <c r="C1049">
        <v>2586</v>
      </c>
      <c r="D1049" t="s">
        <v>6</v>
      </c>
      <c r="E1049" t="str">
        <f>IF(june[[#This Row],[ShiftCounter]]&gt;0, "Running", "Down")</f>
        <v>Running</v>
      </c>
    </row>
    <row r="1050" spans="1:5" x14ac:dyDescent="0.25">
      <c r="A1050" s="8">
        <v>44722</v>
      </c>
      <c r="B1050" t="s">
        <v>41</v>
      </c>
      <c r="C1050">
        <v>2341</v>
      </c>
      <c r="D1050" t="s">
        <v>7</v>
      </c>
      <c r="E1050" t="str">
        <f>IF(june[[#This Row],[ShiftCounter]]&gt;0, "Running", "Down")</f>
        <v>Running</v>
      </c>
    </row>
    <row r="1051" spans="1:5" x14ac:dyDescent="0.25">
      <c r="A1051" s="8">
        <v>44722</v>
      </c>
      <c r="B1051" t="s">
        <v>41</v>
      </c>
      <c r="C1051">
        <v>2050</v>
      </c>
      <c r="D1051" t="s">
        <v>8</v>
      </c>
      <c r="E1051" t="str">
        <f>IF(june[[#This Row],[ShiftCounter]]&gt;0, "Running", "Down")</f>
        <v>Running</v>
      </c>
    </row>
    <row r="1052" spans="1:5" x14ac:dyDescent="0.25">
      <c r="A1052" s="8">
        <v>44722</v>
      </c>
      <c r="B1052" t="s">
        <v>5</v>
      </c>
      <c r="C1052">
        <v>2293</v>
      </c>
      <c r="D1052" t="s">
        <v>6</v>
      </c>
      <c r="E1052" t="str">
        <f>IF(june[[#This Row],[ShiftCounter]]&gt;0, "Running", "Down")</f>
        <v>Running</v>
      </c>
    </row>
    <row r="1053" spans="1:5" x14ac:dyDescent="0.25">
      <c r="A1053" s="8">
        <v>44722</v>
      </c>
      <c r="B1053" t="s">
        <v>5</v>
      </c>
      <c r="C1053">
        <v>2368</v>
      </c>
      <c r="D1053" t="s">
        <v>7</v>
      </c>
      <c r="E1053" t="str">
        <f>IF(june[[#This Row],[ShiftCounter]]&gt;0, "Running", "Down")</f>
        <v>Running</v>
      </c>
    </row>
    <row r="1054" spans="1:5" x14ac:dyDescent="0.25">
      <c r="A1054" s="8">
        <v>44722</v>
      </c>
      <c r="B1054" t="s">
        <v>5</v>
      </c>
      <c r="C1054">
        <v>1990</v>
      </c>
      <c r="D1054" t="s">
        <v>8</v>
      </c>
      <c r="E1054" t="str">
        <f>IF(june[[#This Row],[ShiftCounter]]&gt;0, "Running", "Down")</f>
        <v>Running</v>
      </c>
    </row>
    <row r="1055" spans="1:5" x14ac:dyDescent="0.25">
      <c r="A1055" s="8">
        <v>44722</v>
      </c>
      <c r="B1055" t="s">
        <v>9</v>
      </c>
      <c r="C1055">
        <v>2506</v>
      </c>
      <c r="D1055" t="s">
        <v>6</v>
      </c>
      <c r="E1055" t="str">
        <f>IF(june[[#This Row],[ShiftCounter]]&gt;0, "Running", "Down")</f>
        <v>Running</v>
      </c>
    </row>
    <row r="1056" spans="1:5" x14ac:dyDescent="0.25">
      <c r="A1056" s="8">
        <v>44722</v>
      </c>
      <c r="B1056" t="s">
        <v>9</v>
      </c>
      <c r="C1056">
        <v>2390</v>
      </c>
      <c r="D1056" t="s">
        <v>7</v>
      </c>
      <c r="E1056" t="str">
        <f>IF(june[[#This Row],[ShiftCounter]]&gt;0, "Running", "Down")</f>
        <v>Running</v>
      </c>
    </row>
    <row r="1057" spans="1:7" x14ac:dyDescent="0.25">
      <c r="A1057" s="8">
        <v>44722</v>
      </c>
      <c r="B1057" t="s">
        <v>9</v>
      </c>
      <c r="C1057">
        <v>2040</v>
      </c>
      <c r="D1057" t="s">
        <v>8</v>
      </c>
      <c r="E1057" t="str">
        <f>IF(june[[#This Row],[ShiftCounter]]&gt;0, "Running", "Down")</f>
        <v>Running</v>
      </c>
    </row>
    <row r="1058" spans="1:7" x14ac:dyDescent="0.25">
      <c r="A1058" s="8">
        <v>44722</v>
      </c>
      <c r="B1058" t="s">
        <v>10</v>
      </c>
      <c r="C1058">
        <v>2407</v>
      </c>
      <c r="D1058" t="s">
        <v>6</v>
      </c>
      <c r="E1058" t="str">
        <f>IF(june[[#This Row],[ShiftCounter]]&gt;0, "Running", "Down")</f>
        <v>Running</v>
      </c>
    </row>
    <row r="1059" spans="1:7" x14ac:dyDescent="0.25">
      <c r="A1059" s="8">
        <v>44722</v>
      </c>
      <c r="B1059" t="s">
        <v>10</v>
      </c>
      <c r="C1059">
        <v>2398</v>
      </c>
      <c r="D1059" t="s">
        <v>7</v>
      </c>
      <c r="E1059" t="str">
        <f>IF(june[[#This Row],[ShiftCounter]]&gt;0, "Running", "Down")</f>
        <v>Running</v>
      </c>
    </row>
    <row r="1060" spans="1:7" x14ac:dyDescent="0.25">
      <c r="A1060" s="8">
        <v>44722</v>
      </c>
      <c r="B1060" t="s">
        <v>10</v>
      </c>
      <c r="C1060">
        <v>2025</v>
      </c>
      <c r="D1060" t="s">
        <v>8</v>
      </c>
      <c r="E1060" t="str">
        <f>IF(june[[#This Row],[ShiftCounter]]&gt;0, "Running", "Down")</f>
        <v>Running</v>
      </c>
    </row>
    <row r="1061" spans="1:7" x14ac:dyDescent="0.25">
      <c r="A1061" s="8">
        <v>44722</v>
      </c>
      <c r="B1061" t="s">
        <v>11</v>
      </c>
      <c r="C1061">
        <v>2595</v>
      </c>
      <c r="D1061" t="s">
        <v>6</v>
      </c>
      <c r="E1061" t="str">
        <f>IF(june[[#This Row],[ShiftCounter]]&gt;0, "Running", "Down")</f>
        <v>Running</v>
      </c>
    </row>
    <row r="1062" spans="1:7" x14ac:dyDescent="0.25">
      <c r="A1062" s="8">
        <v>44722</v>
      </c>
      <c r="B1062" t="s">
        <v>11</v>
      </c>
      <c r="C1062">
        <v>2386</v>
      </c>
      <c r="D1062" t="s">
        <v>7</v>
      </c>
      <c r="E1062" t="str">
        <f>IF(june[[#This Row],[ShiftCounter]]&gt;0, "Running", "Down")</f>
        <v>Running</v>
      </c>
    </row>
    <row r="1063" spans="1:7" x14ac:dyDescent="0.25">
      <c r="A1063" s="8">
        <v>44722</v>
      </c>
      <c r="B1063" t="s">
        <v>11</v>
      </c>
      <c r="C1063">
        <v>2020</v>
      </c>
      <c r="D1063" t="s">
        <v>8</v>
      </c>
      <c r="E1063" t="str">
        <f>IF(june[[#This Row],[ShiftCounter]]&gt;0, "Running", "Down")</f>
        <v>Running</v>
      </c>
    </row>
    <row r="1064" spans="1:7" x14ac:dyDescent="0.25">
      <c r="A1064" s="8">
        <v>44722</v>
      </c>
      <c r="B1064" t="s">
        <v>12</v>
      </c>
      <c r="C1064">
        <v>2281</v>
      </c>
      <c r="D1064" t="s">
        <v>6</v>
      </c>
      <c r="E1064" t="str">
        <f>IF(june[[#This Row],[ShiftCounter]]&gt;0, "Running", "Down")</f>
        <v>Running</v>
      </c>
    </row>
    <row r="1065" spans="1:7" x14ac:dyDescent="0.25">
      <c r="A1065" s="8">
        <v>44722</v>
      </c>
      <c r="B1065" t="s">
        <v>12</v>
      </c>
      <c r="C1065">
        <v>1933</v>
      </c>
      <c r="D1065" t="s">
        <v>7</v>
      </c>
      <c r="E1065" t="str">
        <f>IF(june[[#This Row],[ShiftCounter]]&gt;0, "Running", "Down")</f>
        <v>Running</v>
      </c>
      <c r="G1065">
        <f>3866/2</f>
        <v>1933</v>
      </c>
    </row>
    <row r="1066" spans="1:7" x14ac:dyDescent="0.25">
      <c r="A1066" s="8">
        <v>44722</v>
      </c>
      <c r="B1066" t="s">
        <v>12</v>
      </c>
      <c r="C1066">
        <v>1933</v>
      </c>
      <c r="D1066" t="s">
        <v>8</v>
      </c>
      <c r="E1066" t="str">
        <f>IF(june[[#This Row],[ShiftCounter]]&gt;0, "Running", "Down")</f>
        <v>Running</v>
      </c>
    </row>
    <row r="1067" spans="1:7" x14ac:dyDescent="0.25">
      <c r="A1067" s="8">
        <v>44722</v>
      </c>
      <c r="B1067" t="s">
        <v>13</v>
      </c>
      <c r="C1067">
        <v>2236</v>
      </c>
      <c r="D1067" t="s">
        <v>6</v>
      </c>
      <c r="E1067" t="str">
        <f>IF(june[[#This Row],[ShiftCounter]]&gt;0, "Running", "Down")</f>
        <v>Running</v>
      </c>
    </row>
    <row r="1068" spans="1:7" x14ac:dyDescent="0.25">
      <c r="A1068" s="8">
        <v>44722</v>
      </c>
      <c r="B1068" t="s">
        <v>13</v>
      </c>
      <c r="C1068">
        <v>2044</v>
      </c>
      <c r="D1068" t="s">
        <v>7</v>
      </c>
      <c r="E1068" t="str">
        <f>IF(june[[#This Row],[ShiftCounter]]&gt;0, "Running", "Down")</f>
        <v>Running</v>
      </c>
    </row>
    <row r="1069" spans="1:7" x14ac:dyDescent="0.25">
      <c r="A1069" s="8">
        <v>44722</v>
      </c>
      <c r="B1069" t="s">
        <v>13</v>
      </c>
      <c r="C1069">
        <v>1890</v>
      </c>
      <c r="D1069" t="s">
        <v>8</v>
      </c>
      <c r="E1069" t="str">
        <f>IF(june[[#This Row],[ShiftCounter]]&gt;0, "Running", "Down")</f>
        <v>Running</v>
      </c>
    </row>
    <row r="1070" spans="1:7" x14ac:dyDescent="0.25">
      <c r="A1070" s="8">
        <v>44722</v>
      </c>
      <c r="B1070" t="s">
        <v>101</v>
      </c>
      <c r="C1070">
        <v>2100</v>
      </c>
      <c r="D1070" t="s">
        <v>6</v>
      </c>
      <c r="E1070" t="str">
        <f>IF(june[[#This Row],[ShiftCounter]]&gt;0, "Running", "Down")</f>
        <v>Running</v>
      </c>
    </row>
    <row r="1071" spans="1:7" x14ac:dyDescent="0.25">
      <c r="A1071" s="8">
        <v>44722</v>
      </c>
      <c r="B1071" t="s">
        <v>101</v>
      </c>
      <c r="C1071">
        <v>2010</v>
      </c>
      <c r="D1071" t="s">
        <v>7</v>
      </c>
      <c r="E1071" t="str">
        <f>IF(june[[#This Row],[ShiftCounter]]&gt;0, "Running", "Down")</f>
        <v>Running</v>
      </c>
    </row>
    <row r="1072" spans="1:7" x14ac:dyDescent="0.25">
      <c r="A1072" s="8">
        <v>44722</v>
      </c>
      <c r="B1072" t="s">
        <v>101</v>
      </c>
      <c r="C1072">
        <v>1817</v>
      </c>
      <c r="D1072" t="s">
        <v>8</v>
      </c>
      <c r="E1072" t="str">
        <f>IF(june[[#This Row],[ShiftCounter]]&gt;0, "Running", "Down")</f>
        <v>Running</v>
      </c>
    </row>
    <row r="1073" spans="1:5" x14ac:dyDescent="0.25">
      <c r="A1073" s="8">
        <v>44722</v>
      </c>
      <c r="B1073" t="s">
        <v>14</v>
      </c>
      <c r="C1073">
        <v>2421</v>
      </c>
      <c r="D1073" t="s">
        <v>6</v>
      </c>
      <c r="E1073" t="str">
        <f>IF(june[[#This Row],[ShiftCounter]]&gt;0, "Running", "Down")</f>
        <v>Running</v>
      </c>
    </row>
    <row r="1074" spans="1:5" x14ac:dyDescent="0.25">
      <c r="A1074" s="8">
        <v>44722</v>
      </c>
      <c r="B1074" t="s">
        <v>14</v>
      </c>
      <c r="C1074">
        <v>2192</v>
      </c>
      <c r="D1074" t="s">
        <v>7</v>
      </c>
      <c r="E1074" t="str">
        <f>IF(june[[#This Row],[ShiftCounter]]&gt;0, "Running", "Down")</f>
        <v>Running</v>
      </c>
    </row>
    <row r="1075" spans="1:5" x14ac:dyDescent="0.25">
      <c r="A1075" s="8">
        <v>44722</v>
      </c>
      <c r="B1075" t="s">
        <v>14</v>
      </c>
      <c r="C1075">
        <v>1990</v>
      </c>
      <c r="D1075" t="s">
        <v>8</v>
      </c>
      <c r="E1075" t="str">
        <f>IF(june[[#This Row],[ShiftCounter]]&gt;0, "Running", "Down")</f>
        <v>Running</v>
      </c>
    </row>
    <row r="1076" spans="1:5" x14ac:dyDescent="0.25">
      <c r="A1076" s="8">
        <v>44722</v>
      </c>
      <c r="B1076" t="s">
        <v>15</v>
      </c>
      <c r="C1076">
        <v>2338</v>
      </c>
      <c r="D1076" t="s">
        <v>6</v>
      </c>
      <c r="E1076" t="str">
        <f>IF(june[[#This Row],[ShiftCounter]]&gt;0, "Running", "Down")</f>
        <v>Running</v>
      </c>
    </row>
    <row r="1077" spans="1:5" x14ac:dyDescent="0.25">
      <c r="A1077" s="8">
        <v>44722</v>
      </c>
      <c r="B1077" t="s">
        <v>15</v>
      </c>
      <c r="C1077">
        <v>2180</v>
      </c>
      <c r="D1077" t="s">
        <v>7</v>
      </c>
      <c r="E1077" t="str">
        <f>IF(june[[#This Row],[ShiftCounter]]&gt;0, "Running", "Down")</f>
        <v>Running</v>
      </c>
    </row>
    <row r="1078" spans="1:5" x14ac:dyDescent="0.25">
      <c r="A1078" s="8">
        <v>44722</v>
      </c>
      <c r="B1078" t="s">
        <v>15</v>
      </c>
      <c r="C1078">
        <v>1996</v>
      </c>
      <c r="D1078" t="s">
        <v>8</v>
      </c>
      <c r="E1078" t="str">
        <f>IF(june[[#This Row],[ShiftCounter]]&gt;0, "Running", "Down")</f>
        <v>Running</v>
      </c>
    </row>
    <row r="1079" spans="1:5" x14ac:dyDescent="0.25">
      <c r="A1079" s="8">
        <v>44722</v>
      </c>
      <c r="B1079" t="s">
        <v>16</v>
      </c>
      <c r="C1079">
        <v>1855</v>
      </c>
      <c r="D1079" t="s">
        <v>6</v>
      </c>
      <c r="E1079" t="str">
        <f>IF(june[[#This Row],[ShiftCounter]]&gt;0, "Running", "Down")</f>
        <v>Running</v>
      </c>
    </row>
    <row r="1080" spans="1:5" x14ac:dyDescent="0.25">
      <c r="A1080" s="8">
        <v>44722</v>
      </c>
      <c r="B1080" t="s">
        <v>16</v>
      </c>
      <c r="C1080">
        <v>2060</v>
      </c>
      <c r="D1080" t="s">
        <v>7</v>
      </c>
      <c r="E1080" t="str">
        <f>IF(june[[#This Row],[ShiftCounter]]&gt;0, "Running", "Down")</f>
        <v>Running</v>
      </c>
    </row>
    <row r="1081" spans="1:5" x14ac:dyDescent="0.25">
      <c r="A1081" s="8">
        <v>44722</v>
      </c>
      <c r="B1081" t="s">
        <v>16</v>
      </c>
      <c r="C1081">
        <v>1936</v>
      </c>
      <c r="D1081" t="s">
        <v>8</v>
      </c>
      <c r="E1081" t="str">
        <f>IF(june[[#This Row],[ShiftCounter]]&gt;0, "Running", "Down")</f>
        <v>Running</v>
      </c>
    </row>
    <row r="1082" spans="1:5" x14ac:dyDescent="0.25">
      <c r="A1082" s="8">
        <v>44722</v>
      </c>
      <c r="B1082" t="s">
        <v>17</v>
      </c>
      <c r="C1082">
        <v>2317</v>
      </c>
      <c r="D1082" t="s">
        <v>6</v>
      </c>
      <c r="E1082" t="str">
        <f>IF(june[[#This Row],[ShiftCounter]]&gt;0, "Running", "Down")</f>
        <v>Running</v>
      </c>
    </row>
    <row r="1083" spans="1:5" x14ac:dyDescent="0.25">
      <c r="A1083" s="8">
        <v>44722</v>
      </c>
      <c r="B1083" t="s">
        <v>17</v>
      </c>
      <c r="C1083">
        <v>2296</v>
      </c>
      <c r="D1083" t="s">
        <v>7</v>
      </c>
      <c r="E1083" t="str">
        <f>IF(june[[#This Row],[ShiftCounter]]&gt;0, "Running", "Down")</f>
        <v>Running</v>
      </c>
    </row>
    <row r="1084" spans="1:5" x14ac:dyDescent="0.25">
      <c r="A1084" s="8">
        <v>44722</v>
      </c>
      <c r="B1084" t="s">
        <v>17</v>
      </c>
      <c r="C1084">
        <v>2173</v>
      </c>
      <c r="D1084" t="s">
        <v>8</v>
      </c>
      <c r="E1084" t="str">
        <f>IF(june[[#This Row],[ShiftCounter]]&gt;0, "Running", "Down")</f>
        <v>Running</v>
      </c>
    </row>
    <row r="1085" spans="1:5" x14ac:dyDescent="0.25">
      <c r="A1085" s="8">
        <v>44722</v>
      </c>
      <c r="B1085" t="s">
        <v>19</v>
      </c>
      <c r="C1085">
        <v>2059</v>
      </c>
      <c r="D1085" t="s">
        <v>6</v>
      </c>
      <c r="E1085" t="str">
        <f>IF(june[[#This Row],[ShiftCounter]]&gt;0, "Running", "Down")</f>
        <v>Running</v>
      </c>
    </row>
    <row r="1086" spans="1:5" x14ac:dyDescent="0.25">
      <c r="A1086" s="8">
        <v>44722</v>
      </c>
      <c r="B1086" t="s">
        <v>19</v>
      </c>
      <c r="C1086">
        <v>1818</v>
      </c>
      <c r="D1086" t="s">
        <v>7</v>
      </c>
      <c r="E1086" t="str">
        <f>IF(june[[#This Row],[ShiftCounter]]&gt;0, "Running", "Down")</f>
        <v>Running</v>
      </c>
    </row>
    <row r="1087" spans="1:5" x14ac:dyDescent="0.25">
      <c r="A1087" s="8">
        <v>44722</v>
      </c>
      <c r="B1087" t="s">
        <v>19</v>
      </c>
      <c r="C1087">
        <v>1799</v>
      </c>
      <c r="D1087" t="s">
        <v>8</v>
      </c>
      <c r="E1087" t="str">
        <f>IF(june[[#This Row],[ShiftCounter]]&gt;0, "Running", "Down")</f>
        <v>Running</v>
      </c>
    </row>
    <row r="1088" spans="1:5" x14ac:dyDescent="0.25">
      <c r="A1088" s="8">
        <v>44722</v>
      </c>
      <c r="B1088" t="s">
        <v>18</v>
      </c>
      <c r="C1088">
        <v>2394</v>
      </c>
      <c r="D1088" t="s">
        <v>6</v>
      </c>
      <c r="E1088" t="str">
        <f>IF(june[[#This Row],[ShiftCounter]]&gt;0, "Running", "Down")</f>
        <v>Running</v>
      </c>
    </row>
    <row r="1089" spans="1:5" x14ac:dyDescent="0.25">
      <c r="A1089" s="8">
        <v>44722</v>
      </c>
      <c r="B1089" t="s">
        <v>18</v>
      </c>
      <c r="C1089">
        <v>2433</v>
      </c>
      <c r="D1089" t="s">
        <v>7</v>
      </c>
      <c r="E1089" t="str">
        <f>IF(june[[#This Row],[ShiftCounter]]&gt;0, "Running", "Down")</f>
        <v>Running</v>
      </c>
    </row>
    <row r="1090" spans="1:5" x14ac:dyDescent="0.25">
      <c r="A1090" s="8">
        <v>44722</v>
      </c>
      <c r="B1090" t="s">
        <v>18</v>
      </c>
      <c r="C1090">
        <v>2121</v>
      </c>
      <c r="D1090" t="s">
        <v>8</v>
      </c>
      <c r="E1090" t="str">
        <f>IF(june[[#This Row],[ShiftCounter]]&gt;0, "Running", "Down")</f>
        <v>Running</v>
      </c>
    </row>
    <row r="1091" spans="1:5" x14ac:dyDescent="0.25">
      <c r="A1091" s="8">
        <v>44722</v>
      </c>
      <c r="B1091" t="s">
        <v>42</v>
      </c>
      <c r="C1091">
        <v>1522</v>
      </c>
      <c r="D1091" t="s">
        <v>6</v>
      </c>
      <c r="E1091" t="str">
        <f>IF(june[[#This Row],[ShiftCounter]]&gt;0, "Running", "Down")</f>
        <v>Running</v>
      </c>
    </row>
    <row r="1092" spans="1:5" x14ac:dyDescent="0.25">
      <c r="A1092" s="8">
        <v>44722</v>
      </c>
      <c r="B1092" t="s">
        <v>42</v>
      </c>
      <c r="C1092">
        <v>2094</v>
      </c>
      <c r="D1092" t="s">
        <v>7</v>
      </c>
      <c r="E1092" t="str">
        <f>IF(june[[#This Row],[ShiftCounter]]&gt;0, "Running", "Down")</f>
        <v>Running</v>
      </c>
    </row>
    <row r="1093" spans="1:5" x14ac:dyDescent="0.25">
      <c r="A1093" s="8">
        <v>44722</v>
      </c>
      <c r="B1093" t="s">
        <v>42</v>
      </c>
      <c r="C1093">
        <v>1579</v>
      </c>
      <c r="D1093" t="s">
        <v>8</v>
      </c>
      <c r="E1093" t="str">
        <f>IF(june[[#This Row],[ShiftCounter]]&gt;0, "Running", "Down")</f>
        <v>Running</v>
      </c>
    </row>
    <row r="1094" spans="1:5" x14ac:dyDescent="0.25">
      <c r="A1094" s="8">
        <v>44722</v>
      </c>
      <c r="B1094" t="s">
        <v>38</v>
      </c>
      <c r="C1094">
        <v>2392</v>
      </c>
      <c r="D1094" t="s">
        <v>6</v>
      </c>
      <c r="E1094" t="str">
        <f>IF(june[[#This Row],[ShiftCounter]]&gt;0, "Running", "Down")</f>
        <v>Running</v>
      </c>
    </row>
    <row r="1095" spans="1:5" x14ac:dyDescent="0.25">
      <c r="A1095" s="8">
        <v>44722</v>
      </c>
      <c r="B1095" t="s">
        <v>38</v>
      </c>
      <c r="C1095">
        <v>2346</v>
      </c>
      <c r="D1095" t="s">
        <v>7</v>
      </c>
      <c r="E1095" t="str">
        <f>IF(june[[#This Row],[ShiftCounter]]&gt;0, "Running", "Down")</f>
        <v>Running</v>
      </c>
    </row>
    <row r="1096" spans="1:5" x14ac:dyDescent="0.25">
      <c r="A1096" s="8">
        <v>44722</v>
      </c>
      <c r="B1096" t="s">
        <v>38</v>
      </c>
      <c r="C1096">
        <v>2081</v>
      </c>
      <c r="D1096" t="s">
        <v>8</v>
      </c>
      <c r="E1096" t="str">
        <f>IF(june[[#This Row],[ShiftCounter]]&gt;0, "Running", "Down")</f>
        <v>Running</v>
      </c>
    </row>
    <row r="1097" spans="1:5" x14ac:dyDescent="0.25">
      <c r="A1097" s="8">
        <v>44722</v>
      </c>
      <c r="B1097" t="s">
        <v>20</v>
      </c>
      <c r="C1097">
        <v>2284</v>
      </c>
      <c r="D1097" t="s">
        <v>6</v>
      </c>
      <c r="E1097" t="str">
        <f>IF(june[[#This Row],[ShiftCounter]]&gt;0, "Running", "Down")</f>
        <v>Running</v>
      </c>
    </row>
    <row r="1098" spans="1:5" x14ac:dyDescent="0.25">
      <c r="A1098" s="8">
        <v>44722</v>
      </c>
      <c r="B1098" t="s">
        <v>20</v>
      </c>
      <c r="C1098">
        <v>2125</v>
      </c>
      <c r="D1098" t="s">
        <v>7</v>
      </c>
      <c r="E1098" t="str">
        <f>IF(june[[#This Row],[ShiftCounter]]&gt;0, "Running", "Down")</f>
        <v>Running</v>
      </c>
    </row>
    <row r="1099" spans="1:5" x14ac:dyDescent="0.25">
      <c r="A1099" s="8">
        <v>44722</v>
      </c>
      <c r="B1099" t="s">
        <v>20</v>
      </c>
      <c r="C1099">
        <v>1776</v>
      </c>
      <c r="D1099" t="s">
        <v>8</v>
      </c>
      <c r="E1099" t="str">
        <f>IF(june[[#This Row],[ShiftCounter]]&gt;0, "Running", "Down")</f>
        <v>Running</v>
      </c>
    </row>
    <row r="1100" spans="1:5" x14ac:dyDescent="0.25">
      <c r="A1100" s="8">
        <v>44722</v>
      </c>
      <c r="B1100" t="s">
        <v>21</v>
      </c>
      <c r="C1100">
        <v>0</v>
      </c>
      <c r="D1100" t="s">
        <v>6</v>
      </c>
      <c r="E1100" t="str">
        <f>IF(june[[#This Row],[ShiftCounter]]&gt;0, "Running", "Down")</f>
        <v>Down</v>
      </c>
    </row>
    <row r="1101" spans="1:5" x14ac:dyDescent="0.25">
      <c r="A1101" s="8">
        <v>44722</v>
      </c>
      <c r="B1101" t="s">
        <v>21</v>
      </c>
      <c r="C1101">
        <v>2972</v>
      </c>
      <c r="D1101" t="s">
        <v>7</v>
      </c>
      <c r="E1101" t="str">
        <f>IF(june[[#This Row],[ShiftCounter]]&gt;0, "Running", "Down")</f>
        <v>Running</v>
      </c>
    </row>
    <row r="1102" spans="1:5" x14ac:dyDescent="0.25">
      <c r="A1102" s="8">
        <v>44722</v>
      </c>
      <c r="B1102" t="s">
        <v>21</v>
      </c>
      <c r="C1102">
        <v>1856</v>
      </c>
      <c r="D1102" t="s">
        <v>8</v>
      </c>
      <c r="E1102" t="str">
        <f>IF(june[[#This Row],[ShiftCounter]]&gt;0, "Running", "Down")</f>
        <v>Running</v>
      </c>
    </row>
    <row r="1103" spans="1:5" x14ac:dyDescent="0.25">
      <c r="A1103" s="8">
        <v>44722</v>
      </c>
      <c r="B1103" t="s">
        <v>22</v>
      </c>
      <c r="C1103">
        <v>2156</v>
      </c>
      <c r="D1103" t="s">
        <v>6</v>
      </c>
      <c r="E1103" t="str">
        <f>IF(june[[#This Row],[ShiftCounter]]&gt;0, "Running", "Down")</f>
        <v>Running</v>
      </c>
    </row>
    <row r="1104" spans="1:5" x14ac:dyDescent="0.25">
      <c r="A1104" s="8">
        <v>44722</v>
      </c>
      <c r="B1104" t="s">
        <v>22</v>
      </c>
      <c r="C1104">
        <v>2239</v>
      </c>
      <c r="D1104" t="s">
        <v>7</v>
      </c>
      <c r="E1104" t="str">
        <f>IF(june[[#This Row],[ShiftCounter]]&gt;0, "Running", "Down")</f>
        <v>Running</v>
      </c>
    </row>
    <row r="1105" spans="1:5" x14ac:dyDescent="0.25">
      <c r="A1105" s="8">
        <v>44722</v>
      </c>
      <c r="B1105" t="s">
        <v>22</v>
      </c>
      <c r="C1105">
        <v>2161</v>
      </c>
      <c r="D1105" t="s">
        <v>8</v>
      </c>
      <c r="E1105" t="str">
        <f>IF(june[[#This Row],[ShiftCounter]]&gt;0, "Running", "Down")</f>
        <v>Running</v>
      </c>
    </row>
    <row r="1106" spans="1:5" x14ac:dyDescent="0.25">
      <c r="A1106" s="8">
        <v>44722</v>
      </c>
      <c r="B1106" t="s">
        <v>23</v>
      </c>
      <c r="C1106">
        <v>1017</v>
      </c>
      <c r="D1106" t="s">
        <v>6</v>
      </c>
      <c r="E1106" t="str">
        <f>IF(june[[#This Row],[ShiftCounter]]&gt;0, "Running", "Down")</f>
        <v>Running</v>
      </c>
    </row>
    <row r="1107" spans="1:5" x14ac:dyDescent="0.25">
      <c r="A1107" s="8">
        <v>44722</v>
      </c>
      <c r="B1107" t="s">
        <v>23</v>
      </c>
      <c r="C1107">
        <v>2487</v>
      </c>
      <c r="D1107" t="s">
        <v>7</v>
      </c>
      <c r="E1107" t="str">
        <f>IF(june[[#This Row],[ShiftCounter]]&gt;0, "Running", "Down")</f>
        <v>Running</v>
      </c>
    </row>
    <row r="1108" spans="1:5" x14ac:dyDescent="0.25">
      <c r="A1108" s="8">
        <v>44722</v>
      </c>
      <c r="B1108" t="s">
        <v>23</v>
      </c>
      <c r="C1108">
        <v>2127</v>
      </c>
      <c r="D1108" t="s">
        <v>8</v>
      </c>
      <c r="E1108" t="str">
        <f>IF(june[[#This Row],[ShiftCounter]]&gt;0, "Running", "Down")</f>
        <v>Running</v>
      </c>
    </row>
    <row r="1109" spans="1:5" x14ac:dyDescent="0.25">
      <c r="A1109" s="8">
        <v>44722</v>
      </c>
      <c r="B1109" t="s">
        <v>24</v>
      </c>
      <c r="C1109">
        <v>2184</v>
      </c>
      <c r="D1109" t="s">
        <v>6</v>
      </c>
      <c r="E1109" t="str">
        <f>IF(june[[#This Row],[ShiftCounter]]&gt;0, "Running", "Down")</f>
        <v>Running</v>
      </c>
    </row>
    <row r="1110" spans="1:5" x14ac:dyDescent="0.25">
      <c r="A1110" s="8">
        <v>44722</v>
      </c>
      <c r="B1110" t="s">
        <v>24</v>
      </c>
      <c r="C1110">
        <v>2233</v>
      </c>
      <c r="D1110" t="s">
        <v>7</v>
      </c>
      <c r="E1110" t="str">
        <f>IF(june[[#This Row],[ShiftCounter]]&gt;0, "Running", "Down")</f>
        <v>Running</v>
      </c>
    </row>
    <row r="1111" spans="1:5" x14ac:dyDescent="0.25">
      <c r="A1111" s="8">
        <v>44722</v>
      </c>
      <c r="B1111" t="s">
        <v>24</v>
      </c>
      <c r="C1111">
        <v>1883</v>
      </c>
      <c r="D1111" t="s">
        <v>8</v>
      </c>
      <c r="E1111" t="str">
        <f>IF(june[[#This Row],[ShiftCounter]]&gt;0, "Running", "Down")</f>
        <v>Running</v>
      </c>
    </row>
    <row r="1112" spans="1:5" x14ac:dyDescent="0.25">
      <c r="A1112" s="8">
        <v>44722</v>
      </c>
      <c r="B1112" t="s">
        <v>75</v>
      </c>
      <c r="C1112">
        <v>2263</v>
      </c>
      <c r="D1112" t="s">
        <v>6</v>
      </c>
      <c r="E1112" t="str">
        <f>IF(june[[#This Row],[ShiftCounter]]&gt;0, "Running", "Down")</f>
        <v>Running</v>
      </c>
    </row>
    <row r="1113" spans="1:5" x14ac:dyDescent="0.25">
      <c r="A1113" s="8">
        <v>44722</v>
      </c>
      <c r="B1113" t="s">
        <v>75</v>
      </c>
      <c r="C1113">
        <v>2008</v>
      </c>
      <c r="D1113" t="s">
        <v>7</v>
      </c>
      <c r="E1113" t="str">
        <f>IF(june[[#This Row],[ShiftCounter]]&gt;0, "Running", "Down")</f>
        <v>Running</v>
      </c>
    </row>
    <row r="1114" spans="1:5" x14ac:dyDescent="0.25">
      <c r="A1114" s="8">
        <v>44722</v>
      </c>
      <c r="B1114" t="s">
        <v>75</v>
      </c>
      <c r="C1114">
        <v>2006</v>
      </c>
      <c r="D1114" t="s">
        <v>8</v>
      </c>
      <c r="E1114" t="str">
        <f>IF(june[[#This Row],[ShiftCounter]]&gt;0, "Running", "Down")</f>
        <v>Running</v>
      </c>
    </row>
    <row r="1115" spans="1:5" x14ac:dyDescent="0.25">
      <c r="A1115" s="8">
        <v>44722</v>
      </c>
      <c r="B1115" t="s">
        <v>25</v>
      </c>
      <c r="C1115">
        <v>2180</v>
      </c>
      <c r="D1115" t="s">
        <v>6</v>
      </c>
      <c r="E1115" t="str">
        <f>IF(june[[#This Row],[ShiftCounter]]&gt;0, "Running", "Down")</f>
        <v>Running</v>
      </c>
    </row>
    <row r="1116" spans="1:5" x14ac:dyDescent="0.25">
      <c r="A1116" s="8">
        <v>44722</v>
      </c>
      <c r="B1116" t="s">
        <v>25</v>
      </c>
      <c r="C1116">
        <v>2201</v>
      </c>
      <c r="D1116" t="s">
        <v>7</v>
      </c>
      <c r="E1116" t="str">
        <f>IF(june[[#This Row],[ShiftCounter]]&gt;0, "Running", "Down")</f>
        <v>Running</v>
      </c>
    </row>
    <row r="1117" spans="1:5" x14ac:dyDescent="0.25">
      <c r="A1117" s="8">
        <v>44722</v>
      </c>
      <c r="B1117" t="s">
        <v>25</v>
      </c>
      <c r="C1117">
        <v>2039</v>
      </c>
      <c r="D1117" t="s">
        <v>8</v>
      </c>
      <c r="E1117" t="str">
        <f>IF(june[[#This Row],[ShiftCounter]]&gt;0, "Running", "Down")</f>
        <v>Running</v>
      </c>
    </row>
    <row r="1118" spans="1:5" x14ac:dyDescent="0.25">
      <c r="A1118" s="8">
        <v>44722</v>
      </c>
      <c r="B1118" t="s">
        <v>26</v>
      </c>
      <c r="C1118">
        <v>1562</v>
      </c>
      <c r="D1118" t="s">
        <v>6</v>
      </c>
      <c r="E1118" t="str">
        <f>IF(june[[#This Row],[ShiftCounter]]&gt;0, "Running", "Down")</f>
        <v>Running</v>
      </c>
    </row>
    <row r="1119" spans="1:5" x14ac:dyDescent="0.25">
      <c r="A1119" s="8">
        <v>44722</v>
      </c>
      <c r="B1119" t="s">
        <v>26</v>
      </c>
      <c r="C1119">
        <v>1895</v>
      </c>
      <c r="D1119" t="s">
        <v>7</v>
      </c>
      <c r="E1119" t="str">
        <f>IF(june[[#This Row],[ShiftCounter]]&gt;0, "Running", "Down")</f>
        <v>Running</v>
      </c>
    </row>
    <row r="1120" spans="1:5" x14ac:dyDescent="0.25">
      <c r="A1120" s="8">
        <v>44722</v>
      </c>
      <c r="B1120" t="s">
        <v>26</v>
      </c>
      <c r="C1120">
        <v>1888</v>
      </c>
      <c r="D1120" t="s">
        <v>8</v>
      </c>
      <c r="E1120" t="str">
        <f>IF(june[[#This Row],[ShiftCounter]]&gt;0, "Running", "Down")</f>
        <v>Running</v>
      </c>
    </row>
    <row r="1121" spans="1:5" x14ac:dyDescent="0.25">
      <c r="A1121" s="8">
        <v>44722</v>
      </c>
      <c r="B1121" t="s">
        <v>27</v>
      </c>
      <c r="C1121">
        <v>2102</v>
      </c>
      <c r="D1121" t="s">
        <v>6</v>
      </c>
      <c r="E1121" t="str">
        <f>IF(june[[#This Row],[ShiftCounter]]&gt;0, "Running", "Down")</f>
        <v>Running</v>
      </c>
    </row>
    <row r="1122" spans="1:5" x14ac:dyDescent="0.25">
      <c r="A1122" s="8">
        <v>44722</v>
      </c>
      <c r="B1122" t="s">
        <v>27</v>
      </c>
      <c r="C1122">
        <v>2145</v>
      </c>
      <c r="D1122" t="s">
        <v>7</v>
      </c>
      <c r="E1122" t="str">
        <f>IF(june[[#This Row],[ShiftCounter]]&gt;0, "Running", "Down")</f>
        <v>Running</v>
      </c>
    </row>
    <row r="1123" spans="1:5" x14ac:dyDescent="0.25">
      <c r="A1123" s="8">
        <v>44722</v>
      </c>
      <c r="B1123" t="s">
        <v>27</v>
      </c>
      <c r="C1123">
        <v>2016</v>
      </c>
      <c r="D1123" t="s">
        <v>8</v>
      </c>
      <c r="E1123" t="str">
        <f>IF(june[[#This Row],[ShiftCounter]]&gt;0, "Running", "Down")</f>
        <v>Running</v>
      </c>
    </row>
    <row r="1124" spans="1:5" x14ac:dyDescent="0.25">
      <c r="A1124" s="8">
        <v>44722</v>
      </c>
      <c r="B1124" t="s">
        <v>28</v>
      </c>
      <c r="C1124">
        <v>2214</v>
      </c>
      <c r="D1124" t="s">
        <v>6</v>
      </c>
      <c r="E1124" t="str">
        <f>IF(june[[#This Row],[ShiftCounter]]&gt;0, "Running", "Down")</f>
        <v>Running</v>
      </c>
    </row>
    <row r="1125" spans="1:5" x14ac:dyDescent="0.25">
      <c r="A1125" s="8">
        <v>44722</v>
      </c>
      <c r="B1125" t="s">
        <v>28</v>
      </c>
      <c r="C1125">
        <v>2103</v>
      </c>
      <c r="D1125" t="s">
        <v>7</v>
      </c>
      <c r="E1125" t="str">
        <f>IF(june[[#This Row],[ShiftCounter]]&gt;0, "Running", "Down")</f>
        <v>Running</v>
      </c>
    </row>
    <row r="1126" spans="1:5" x14ac:dyDescent="0.25">
      <c r="A1126" s="8">
        <v>44722</v>
      </c>
      <c r="B1126" t="s">
        <v>28</v>
      </c>
      <c r="C1126">
        <v>1993</v>
      </c>
      <c r="D1126" t="s">
        <v>8</v>
      </c>
      <c r="E1126" t="str">
        <f>IF(june[[#This Row],[ShiftCounter]]&gt;0, "Running", "Down")</f>
        <v>Running</v>
      </c>
    </row>
    <row r="1127" spans="1:5" x14ac:dyDescent="0.25">
      <c r="A1127" s="8">
        <v>44722</v>
      </c>
      <c r="B1127" t="s">
        <v>29</v>
      </c>
      <c r="C1127">
        <v>1978</v>
      </c>
      <c r="D1127" t="s">
        <v>6</v>
      </c>
      <c r="E1127" t="str">
        <f>IF(june[[#This Row],[ShiftCounter]]&gt;0, "Running", "Down")</f>
        <v>Running</v>
      </c>
    </row>
    <row r="1128" spans="1:5" x14ac:dyDescent="0.25">
      <c r="A1128" s="8">
        <v>44722</v>
      </c>
      <c r="B1128" t="s">
        <v>29</v>
      </c>
      <c r="C1128">
        <v>1960</v>
      </c>
      <c r="D1128" t="s">
        <v>7</v>
      </c>
      <c r="E1128" t="str">
        <f>IF(june[[#This Row],[ShiftCounter]]&gt;0, "Running", "Down")</f>
        <v>Running</v>
      </c>
    </row>
    <row r="1129" spans="1:5" x14ac:dyDescent="0.25">
      <c r="A1129" s="8">
        <v>44722</v>
      </c>
      <c r="B1129" t="s">
        <v>29</v>
      </c>
      <c r="C1129">
        <v>1910</v>
      </c>
      <c r="D1129" t="s">
        <v>8</v>
      </c>
      <c r="E1129" t="str">
        <f>IF(june[[#This Row],[ShiftCounter]]&gt;0, "Running", "Down")</f>
        <v>Running</v>
      </c>
    </row>
    <row r="1130" spans="1:5" x14ac:dyDescent="0.25">
      <c r="A1130" s="8">
        <v>44722</v>
      </c>
      <c r="B1130" t="s">
        <v>30</v>
      </c>
      <c r="C1130">
        <v>2265</v>
      </c>
      <c r="D1130" t="s">
        <v>6</v>
      </c>
      <c r="E1130" t="str">
        <f>IF(june[[#This Row],[ShiftCounter]]&gt;0, "Running", "Down")</f>
        <v>Running</v>
      </c>
    </row>
    <row r="1131" spans="1:5" x14ac:dyDescent="0.25">
      <c r="A1131" s="8">
        <v>44722</v>
      </c>
      <c r="B1131" t="s">
        <v>30</v>
      </c>
      <c r="C1131">
        <v>2205</v>
      </c>
      <c r="D1131" t="s">
        <v>7</v>
      </c>
      <c r="E1131" t="str">
        <f>IF(june[[#This Row],[ShiftCounter]]&gt;0, "Running", "Down")</f>
        <v>Running</v>
      </c>
    </row>
    <row r="1132" spans="1:5" x14ac:dyDescent="0.25">
      <c r="A1132" s="8">
        <v>44722</v>
      </c>
      <c r="B1132" t="s">
        <v>30</v>
      </c>
      <c r="C1132">
        <v>2060</v>
      </c>
      <c r="D1132" t="s">
        <v>8</v>
      </c>
      <c r="E1132" t="str">
        <f>IF(june[[#This Row],[ShiftCounter]]&gt;0, "Running", "Down")</f>
        <v>Running</v>
      </c>
    </row>
    <row r="1133" spans="1:5" x14ac:dyDescent="0.25">
      <c r="A1133" s="8">
        <v>44722</v>
      </c>
      <c r="B1133" t="s">
        <v>31</v>
      </c>
      <c r="C1133">
        <v>2210</v>
      </c>
      <c r="D1133" t="s">
        <v>6</v>
      </c>
      <c r="E1133" t="str">
        <f>IF(june[[#This Row],[ShiftCounter]]&gt;0, "Running", "Down")</f>
        <v>Running</v>
      </c>
    </row>
    <row r="1134" spans="1:5" x14ac:dyDescent="0.25">
      <c r="A1134" s="8">
        <v>44722</v>
      </c>
      <c r="B1134" t="s">
        <v>31</v>
      </c>
      <c r="C1134">
        <v>2178</v>
      </c>
      <c r="D1134" t="s">
        <v>7</v>
      </c>
      <c r="E1134" t="str">
        <f>IF(june[[#This Row],[ShiftCounter]]&gt;0, "Running", "Down")</f>
        <v>Running</v>
      </c>
    </row>
    <row r="1135" spans="1:5" x14ac:dyDescent="0.25">
      <c r="A1135" s="8">
        <v>44722</v>
      </c>
      <c r="B1135" t="s">
        <v>31</v>
      </c>
      <c r="C1135">
        <v>2004</v>
      </c>
      <c r="D1135" t="s">
        <v>8</v>
      </c>
      <c r="E1135" t="str">
        <f>IF(june[[#This Row],[ShiftCounter]]&gt;0, "Running", "Down")</f>
        <v>Running</v>
      </c>
    </row>
    <row r="1136" spans="1:5" x14ac:dyDescent="0.25">
      <c r="A1136" s="8">
        <v>44722</v>
      </c>
      <c r="B1136" t="s">
        <v>32</v>
      </c>
      <c r="C1136">
        <v>2008</v>
      </c>
      <c r="D1136" t="s">
        <v>6</v>
      </c>
      <c r="E1136" t="str">
        <f>IF(june[[#This Row],[ShiftCounter]]&gt;0, "Running", "Down")</f>
        <v>Running</v>
      </c>
    </row>
    <row r="1137" spans="1:5" x14ac:dyDescent="0.25">
      <c r="A1137" s="8">
        <v>44722</v>
      </c>
      <c r="B1137" t="s">
        <v>32</v>
      </c>
      <c r="C1137">
        <v>343</v>
      </c>
      <c r="D1137" t="s">
        <v>7</v>
      </c>
      <c r="E1137" t="str">
        <f>IF(june[[#This Row],[ShiftCounter]]&gt;0, "Running", "Down")</f>
        <v>Running</v>
      </c>
    </row>
    <row r="1138" spans="1:5" x14ac:dyDescent="0.25">
      <c r="A1138" s="8">
        <v>44722</v>
      </c>
      <c r="B1138" t="s">
        <v>32</v>
      </c>
      <c r="C1138">
        <v>0</v>
      </c>
      <c r="D1138" t="s">
        <v>8</v>
      </c>
      <c r="E1138" t="str">
        <f>IF(june[[#This Row],[ShiftCounter]]&gt;0, "Running", "Down")</f>
        <v>Down</v>
      </c>
    </row>
    <row r="1139" spans="1:5" x14ac:dyDescent="0.25">
      <c r="A1139" s="8">
        <v>44722</v>
      </c>
      <c r="B1139" t="s">
        <v>67</v>
      </c>
      <c r="C1139">
        <v>2127</v>
      </c>
      <c r="D1139" t="s">
        <v>6</v>
      </c>
      <c r="E1139" t="str">
        <f>IF(june[[#This Row],[ShiftCounter]]&gt;0, "Running", "Down")</f>
        <v>Running</v>
      </c>
    </row>
    <row r="1140" spans="1:5" x14ac:dyDescent="0.25">
      <c r="A1140" s="8">
        <v>44722</v>
      </c>
      <c r="B1140" t="s">
        <v>67</v>
      </c>
      <c r="C1140">
        <v>2122</v>
      </c>
      <c r="D1140" t="s">
        <v>7</v>
      </c>
      <c r="E1140" t="str">
        <f>IF(june[[#This Row],[ShiftCounter]]&gt;0, "Running", "Down")</f>
        <v>Running</v>
      </c>
    </row>
    <row r="1141" spans="1:5" x14ac:dyDescent="0.25">
      <c r="A1141" s="8">
        <v>44722</v>
      </c>
      <c r="B1141" t="s">
        <v>67</v>
      </c>
      <c r="C1141">
        <v>2028</v>
      </c>
      <c r="D1141" t="s">
        <v>8</v>
      </c>
      <c r="E1141" t="str">
        <f>IF(june[[#This Row],[ShiftCounter]]&gt;0, "Running", "Down")</f>
        <v>Running</v>
      </c>
    </row>
    <row r="1142" spans="1:5" x14ac:dyDescent="0.25">
      <c r="A1142" s="8">
        <v>44722</v>
      </c>
      <c r="B1142" t="s">
        <v>33</v>
      </c>
      <c r="C1142">
        <v>2283</v>
      </c>
      <c r="D1142" t="s">
        <v>6</v>
      </c>
      <c r="E1142" t="str">
        <f>IF(june[[#This Row],[ShiftCounter]]&gt;0, "Running", "Down")</f>
        <v>Running</v>
      </c>
    </row>
    <row r="1143" spans="1:5" x14ac:dyDescent="0.25">
      <c r="A1143" s="8">
        <v>44722</v>
      </c>
      <c r="B1143" t="s">
        <v>33</v>
      </c>
      <c r="C1143">
        <v>2447</v>
      </c>
      <c r="D1143" t="s">
        <v>7</v>
      </c>
      <c r="E1143" t="str">
        <f>IF(june[[#This Row],[ShiftCounter]]&gt;0, "Running", "Down")</f>
        <v>Running</v>
      </c>
    </row>
    <row r="1144" spans="1:5" x14ac:dyDescent="0.25">
      <c r="A1144" s="8">
        <v>44722</v>
      </c>
      <c r="B1144" t="s">
        <v>33</v>
      </c>
      <c r="C1144">
        <v>2127</v>
      </c>
      <c r="D1144" t="s">
        <v>8</v>
      </c>
      <c r="E1144" t="str">
        <f>IF(june[[#This Row],[ShiftCounter]]&gt;0, "Running", "Down")</f>
        <v>Running</v>
      </c>
    </row>
    <row r="1145" spans="1:5" x14ac:dyDescent="0.25">
      <c r="A1145" s="8">
        <v>44722</v>
      </c>
      <c r="B1145" t="s">
        <v>34</v>
      </c>
      <c r="C1145">
        <v>2012</v>
      </c>
      <c r="D1145" t="s">
        <v>6</v>
      </c>
      <c r="E1145" t="str">
        <f>IF(june[[#This Row],[ShiftCounter]]&gt;0, "Running", "Down")</f>
        <v>Running</v>
      </c>
    </row>
    <row r="1146" spans="1:5" x14ac:dyDescent="0.25">
      <c r="A1146" s="8">
        <v>44722</v>
      </c>
      <c r="B1146" t="s">
        <v>34</v>
      </c>
      <c r="C1146">
        <v>2150</v>
      </c>
      <c r="D1146" t="s">
        <v>7</v>
      </c>
      <c r="E1146" t="str">
        <f>IF(june[[#This Row],[ShiftCounter]]&gt;0, "Running", "Down")</f>
        <v>Running</v>
      </c>
    </row>
    <row r="1147" spans="1:5" x14ac:dyDescent="0.25">
      <c r="A1147" s="8">
        <v>44722</v>
      </c>
      <c r="B1147" t="s">
        <v>34</v>
      </c>
      <c r="C1147">
        <v>1856</v>
      </c>
      <c r="D1147" t="s">
        <v>8</v>
      </c>
      <c r="E1147" t="str">
        <f>IF(june[[#This Row],[ShiftCounter]]&gt;0, "Running", "Down")</f>
        <v>Running</v>
      </c>
    </row>
    <row r="1148" spans="1:5" x14ac:dyDescent="0.25">
      <c r="A1148" s="8">
        <v>44722</v>
      </c>
      <c r="B1148" t="s">
        <v>35</v>
      </c>
      <c r="C1148">
        <v>1984</v>
      </c>
      <c r="D1148" t="s">
        <v>6</v>
      </c>
      <c r="E1148" t="str">
        <f>IF(june[[#This Row],[ShiftCounter]]&gt;0, "Running", "Down")</f>
        <v>Running</v>
      </c>
    </row>
    <row r="1149" spans="1:5" x14ac:dyDescent="0.25">
      <c r="A1149" s="8">
        <v>44722</v>
      </c>
      <c r="B1149" t="s">
        <v>35</v>
      </c>
      <c r="C1149">
        <v>2181</v>
      </c>
      <c r="D1149" t="s">
        <v>7</v>
      </c>
      <c r="E1149" t="str">
        <f>IF(june[[#This Row],[ShiftCounter]]&gt;0, "Running", "Down")</f>
        <v>Running</v>
      </c>
    </row>
    <row r="1150" spans="1:5" x14ac:dyDescent="0.25">
      <c r="A1150" s="8">
        <v>44722</v>
      </c>
      <c r="B1150" t="s">
        <v>35</v>
      </c>
      <c r="C1150">
        <v>1894</v>
      </c>
      <c r="D1150" t="s">
        <v>8</v>
      </c>
      <c r="E1150" t="str">
        <f>IF(june[[#This Row],[ShiftCounter]]&gt;0, "Running", "Down")</f>
        <v>Running</v>
      </c>
    </row>
    <row r="1151" spans="1:5" x14ac:dyDescent="0.25">
      <c r="A1151" s="8">
        <v>44722</v>
      </c>
      <c r="B1151" t="s">
        <v>36</v>
      </c>
      <c r="C1151">
        <v>2490</v>
      </c>
      <c r="D1151" t="s">
        <v>6</v>
      </c>
      <c r="E1151" t="str">
        <f>IF(june[[#This Row],[ShiftCounter]]&gt;0, "Running", "Down")</f>
        <v>Running</v>
      </c>
    </row>
    <row r="1152" spans="1:5" x14ac:dyDescent="0.25">
      <c r="A1152" s="8">
        <v>44722</v>
      </c>
      <c r="B1152" t="s">
        <v>36</v>
      </c>
      <c r="C1152">
        <v>2124</v>
      </c>
      <c r="D1152" t="s">
        <v>7</v>
      </c>
      <c r="E1152" t="str">
        <f>IF(june[[#This Row],[ShiftCounter]]&gt;0, "Running", "Down")</f>
        <v>Running</v>
      </c>
    </row>
    <row r="1153" spans="1:8" x14ac:dyDescent="0.25">
      <c r="A1153" s="8">
        <v>44722</v>
      </c>
      <c r="B1153" t="s">
        <v>36</v>
      </c>
      <c r="C1153">
        <v>0</v>
      </c>
      <c r="D1153" t="s">
        <v>8</v>
      </c>
      <c r="E1153" t="str">
        <f>IF(june[[#This Row],[ShiftCounter]]&gt;0, "Running", "Down")</f>
        <v>Down</v>
      </c>
    </row>
    <row r="1154" spans="1:8" x14ac:dyDescent="0.25">
      <c r="A1154" s="8">
        <v>44722</v>
      </c>
      <c r="B1154" t="s">
        <v>37</v>
      </c>
      <c r="C1154">
        <v>2521</v>
      </c>
      <c r="D1154" t="s">
        <v>6</v>
      </c>
      <c r="E1154" t="str">
        <f>IF(june[[#This Row],[ShiftCounter]]&gt;0, "Running", "Down")</f>
        <v>Running</v>
      </c>
    </row>
    <row r="1155" spans="1:8" x14ac:dyDescent="0.25">
      <c r="A1155" s="8">
        <v>44722</v>
      </c>
      <c r="B1155" t="s">
        <v>37</v>
      </c>
      <c r="C1155">
        <v>2353</v>
      </c>
      <c r="D1155" t="s">
        <v>7</v>
      </c>
      <c r="E1155" t="str">
        <f>IF(june[[#This Row],[ShiftCounter]]&gt;0, "Running", "Down")</f>
        <v>Running</v>
      </c>
    </row>
    <row r="1156" spans="1:8" x14ac:dyDescent="0.25">
      <c r="A1156" s="8">
        <v>44722</v>
      </c>
      <c r="B1156" t="s">
        <v>37</v>
      </c>
      <c r="C1156">
        <v>1996</v>
      </c>
      <c r="D1156" t="s">
        <v>8</v>
      </c>
      <c r="E1156" t="str">
        <f>IF(june[[#This Row],[ShiftCounter]]&gt;0, "Running", "Down")</f>
        <v>Running</v>
      </c>
    </row>
    <row r="1157" spans="1:8" x14ac:dyDescent="0.25">
      <c r="A1157" s="8">
        <v>44722</v>
      </c>
      <c r="B1157" t="s">
        <v>54</v>
      </c>
      <c r="C1157">
        <v>1744</v>
      </c>
      <c r="D1157" t="s">
        <v>6</v>
      </c>
      <c r="E1157" t="str">
        <f>IF(june[[#This Row],[ShiftCounter]]&gt;0, "Running", "Down")</f>
        <v>Running</v>
      </c>
      <c r="G1157">
        <f>5234/3</f>
        <v>1744.6666666666667</v>
      </c>
      <c r="H1157">
        <v>1744</v>
      </c>
    </row>
    <row r="1158" spans="1:8" x14ac:dyDescent="0.25">
      <c r="A1158" s="8">
        <v>44722</v>
      </c>
      <c r="B1158" t="s">
        <v>54</v>
      </c>
      <c r="C1158">
        <v>1745</v>
      </c>
      <c r="D1158" t="s">
        <v>7</v>
      </c>
      <c r="E1158" t="str">
        <f>IF(june[[#This Row],[ShiftCounter]]&gt;0, "Running", "Down")</f>
        <v>Running</v>
      </c>
      <c r="H1158">
        <v>1745</v>
      </c>
    </row>
    <row r="1159" spans="1:8" x14ac:dyDescent="0.25">
      <c r="A1159" s="8">
        <v>44722</v>
      </c>
      <c r="B1159" t="s">
        <v>54</v>
      </c>
      <c r="C1159">
        <v>1745</v>
      </c>
      <c r="D1159" t="s">
        <v>8</v>
      </c>
      <c r="E1159" t="str">
        <f>IF(june[[#This Row],[ShiftCounter]]&gt;0, "Running", "Down")</f>
        <v>Running</v>
      </c>
      <c r="H1159">
        <v>1745</v>
      </c>
    </row>
    <row r="1160" spans="1:8" x14ac:dyDescent="0.25">
      <c r="A1160" s="8">
        <v>44723</v>
      </c>
      <c r="B1160" t="s">
        <v>135</v>
      </c>
      <c r="C1160">
        <v>2339</v>
      </c>
      <c r="D1160" t="s">
        <v>6</v>
      </c>
      <c r="E1160" t="str">
        <f>IF(june[[#This Row],[ShiftCounter]]&gt;0, "Running", "Down")</f>
        <v>Running</v>
      </c>
      <c r="H1160">
        <f>SUM(H1157:H1159)</f>
        <v>5234</v>
      </c>
    </row>
    <row r="1161" spans="1:8" x14ac:dyDescent="0.25">
      <c r="A1161" s="8">
        <v>44723</v>
      </c>
      <c r="B1161" t="s">
        <v>135</v>
      </c>
      <c r="C1161">
        <v>2208</v>
      </c>
      <c r="D1161" t="s">
        <v>7</v>
      </c>
      <c r="E1161" t="str">
        <f>IF(june[[#This Row],[ShiftCounter]]&gt;0, "Running", "Down")</f>
        <v>Running</v>
      </c>
    </row>
    <row r="1162" spans="1:8" x14ac:dyDescent="0.25">
      <c r="A1162" s="8">
        <v>44723</v>
      </c>
      <c r="B1162" t="s">
        <v>135</v>
      </c>
      <c r="C1162">
        <v>2167</v>
      </c>
      <c r="D1162" t="s">
        <v>8</v>
      </c>
      <c r="E1162" t="str">
        <f>IF(june[[#This Row],[ShiftCounter]]&gt;0, "Running", "Down")</f>
        <v>Running</v>
      </c>
    </row>
    <row r="1163" spans="1:8" x14ac:dyDescent="0.25">
      <c r="A1163" s="8">
        <v>44723</v>
      </c>
      <c r="B1163" t="s">
        <v>40</v>
      </c>
      <c r="C1163">
        <v>2370</v>
      </c>
      <c r="D1163" t="s">
        <v>6</v>
      </c>
      <c r="E1163" t="str">
        <f>IF(june[[#This Row],[ShiftCounter]]&gt;0, "Running", "Down")</f>
        <v>Running</v>
      </c>
    </row>
    <row r="1164" spans="1:8" x14ac:dyDescent="0.25">
      <c r="A1164" s="8">
        <v>44723</v>
      </c>
      <c r="B1164" t="s">
        <v>40</v>
      </c>
      <c r="C1164">
        <v>2187</v>
      </c>
      <c r="D1164" t="s">
        <v>7</v>
      </c>
      <c r="E1164" t="str">
        <f>IF(june[[#This Row],[ShiftCounter]]&gt;0, "Running", "Down")</f>
        <v>Running</v>
      </c>
    </row>
    <row r="1165" spans="1:8" x14ac:dyDescent="0.25">
      <c r="A1165" s="8">
        <v>44723</v>
      </c>
      <c r="B1165" t="s">
        <v>40</v>
      </c>
      <c r="C1165">
        <v>2218</v>
      </c>
      <c r="D1165" t="s">
        <v>8</v>
      </c>
      <c r="E1165" t="str">
        <f>IF(june[[#This Row],[ShiftCounter]]&gt;0, "Running", "Down")</f>
        <v>Running</v>
      </c>
    </row>
    <row r="1166" spans="1:8" x14ac:dyDescent="0.25">
      <c r="A1166" s="8">
        <v>44723</v>
      </c>
      <c r="B1166" t="s">
        <v>39</v>
      </c>
      <c r="C1166">
        <v>2240</v>
      </c>
      <c r="D1166" t="s">
        <v>6</v>
      </c>
      <c r="E1166" t="str">
        <f>IF(june[[#This Row],[ShiftCounter]]&gt;0, "Running", "Down")</f>
        <v>Running</v>
      </c>
    </row>
    <row r="1167" spans="1:8" x14ac:dyDescent="0.25">
      <c r="A1167" s="8">
        <v>44723</v>
      </c>
      <c r="B1167" t="s">
        <v>39</v>
      </c>
      <c r="C1167">
        <v>2166</v>
      </c>
      <c r="D1167" t="s">
        <v>7</v>
      </c>
      <c r="E1167" t="str">
        <f>IF(june[[#This Row],[ShiftCounter]]&gt;0, "Running", "Down")</f>
        <v>Running</v>
      </c>
    </row>
    <row r="1168" spans="1:8" x14ac:dyDescent="0.25">
      <c r="A1168" s="8">
        <v>44723</v>
      </c>
      <c r="B1168" t="s">
        <v>39</v>
      </c>
      <c r="C1168">
        <v>2154</v>
      </c>
      <c r="D1168" t="s">
        <v>8</v>
      </c>
      <c r="E1168" t="str">
        <f>IF(june[[#This Row],[ShiftCounter]]&gt;0, "Running", "Down")</f>
        <v>Running</v>
      </c>
    </row>
    <row r="1169" spans="1:5" x14ac:dyDescent="0.25">
      <c r="A1169" s="8">
        <v>44723</v>
      </c>
      <c r="B1169" t="s">
        <v>41</v>
      </c>
      <c r="C1169">
        <v>2442</v>
      </c>
      <c r="D1169" t="s">
        <v>6</v>
      </c>
      <c r="E1169" t="str">
        <f>IF(june[[#This Row],[ShiftCounter]]&gt;0, "Running", "Down")</f>
        <v>Running</v>
      </c>
    </row>
    <row r="1170" spans="1:5" x14ac:dyDescent="0.25">
      <c r="A1170" s="8">
        <v>44723</v>
      </c>
      <c r="B1170" t="s">
        <v>41</v>
      </c>
      <c r="C1170">
        <v>2294</v>
      </c>
      <c r="D1170" t="s">
        <v>7</v>
      </c>
      <c r="E1170" t="str">
        <f>IF(june[[#This Row],[ShiftCounter]]&gt;0, "Running", "Down")</f>
        <v>Running</v>
      </c>
    </row>
    <row r="1171" spans="1:5" x14ac:dyDescent="0.25">
      <c r="A1171" s="8">
        <v>44723</v>
      </c>
      <c r="B1171" t="s">
        <v>41</v>
      </c>
      <c r="C1171">
        <v>2191</v>
      </c>
      <c r="D1171" t="s">
        <v>8</v>
      </c>
      <c r="E1171" t="str">
        <f>IF(june[[#This Row],[ShiftCounter]]&gt;0, "Running", "Down")</f>
        <v>Running</v>
      </c>
    </row>
    <row r="1172" spans="1:5" x14ac:dyDescent="0.25">
      <c r="A1172" s="8">
        <v>44723</v>
      </c>
      <c r="B1172" t="s">
        <v>5</v>
      </c>
      <c r="C1172">
        <v>2352</v>
      </c>
      <c r="D1172" t="s">
        <v>6</v>
      </c>
      <c r="E1172" t="str">
        <f>IF(june[[#This Row],[ShiftCounter]]&gt;0, "Running", "Down")</f>
        <v>Running</v>
      </c>
    </row>
    <row r="1173" spans="1:5" x14ac:dyDescent="0.25">
      <c r="A1173" s="8">
        <v>44723</v>
      </c>
      <c r="B1173" t="s">
        <v>5</v>
      </c>
      <c r="C1173">
        <v>2377</v>
      </c>
      <c r="D1173" t="s">
        <v>7</v>
      </c>
      <c r="E1173" t="str">
        <f>IF(june[[#This Row],[ShiftCounter]]&gt;0, "Running", "Down")</f>
        <v>Running</v>
      </c>
    </row>
    <row r="1174" spans="1:5" x14ac:dyDescent="0.25">
      <c r="A1174" s="8">
        <v>44723</v>
      </c>
      <c r="B1174" t="s">
        <v>5</v>
      </c>
      <c r="C1174">
        <v>2156</v>
      </c>
      <c r="D1174" t="s">
        <v>8</v>
      </c>
      <c r="E1174" t="str">
        <f>IF(june[[#This Row],[ShiftCounter]]&gt;0, "Running", "Down")</f>
        <v>Running</v>
      </c>
    </row>
    <row r="1175" spans="1:5" x14ac:dyDescent="0.25">
      <c r="A1175" s="8">
        <v>44723</v>
      </c>
      <c r="B1175" t="s">
        <v>9</v>
      </c>
      <c r="C1175">
        <v>2379</v>
      </c>
      <c r="D1175" t="s">
        <v>6</v>
      </c>
      <c r="E1175" t="str">
        <f>IF(june[[#This Row],[ShiftCounter]]&gt;0, "Running", "Down")</f>
        <v>Running</v>
      </c>
    </row>
    <row r="1176" spans="1:5" x14ac:dyDescent="0.25">
      <c r="A1176" s="8">
        <v>44723</v>
      </c>
      <c r="B1176" t="s">
        <v>9</v>
      </c>
      <c r="C1176">
        <v>2087</v>
      </c>
      <c r="D1176" t="s">
        <v>7</v>
      </c>
      <c r="E1176" t="str">
        <f>IF(june[[#This Row],[ShiftCounter]]&gt;0, "Running", "Down")</f>
        <v>Running</v>
      </c>
    </row>
    <row r="1177" spans="1:5" x14ac:dyDescent="0.25">
      <c r="A1177" s="8">
        <v>44723</v>
      </c>
      <c r="B1177" t="s">
        <v>9</v>
      </c>
      <c r="C1177">
        <v>2192</v>
      </c>
      <c r="D1177" t="s">
        <v>8</v>
      </c>
      <c r="E1177" t="str">
        <f>IF(june[[#This Row],[ShiftCounter]]&gt;0, "Running", "Down")</f>
        <v>Running</v>
      </c>
    </row>
    <row r="1178" spans="1:5" x14ac:dyDescent="0.25">
      <c r="A1178" s="8">
        <v>44723</v>
      </c>
      <c r="B1178" t="s">
        <v>10</v>
      </c>
      <c r="C1178">
        <v>2403</v>
      </c>
      <c r="D1178" t="s">
        <v>6</v>
      </c>
      <c r="E1178" t="str">
        <f>IF(june[[#This Row],[ShiftCounter]]&gt;0, "Running", "Down")</f>
        <v>Running</v>
      </c>
    </row>
    <row r="1179" spans="1:5" x14ac:dyDescent="0.25">
      <c r="A1179" s="8">
        <v>44723</v>
      </c>
      <c r="B1179" t="s">
        <v>10</v>
      </c>
      <c r="C1179">
        <v>2344</v>
      </c>
      <c r="D1179" t="s">
        <v>7</v>
      </c>
      <c r="E1179" t="str">
        <f>IF(june[[#This Row],[ShiftCounter]]&gt;0, "Running", "Down")</f>
        <v>Running</v>
      </c>
    </row>
    <row r="1180" spans="1:5" x14ac:dyDescent="0.25">
      <c r="A1180" s="8">
        <v>44723</v>
      </c>
      <c r="B1180" t="s">
        <v>10</v>
      </c>
      <c r="C1180">
        <v>2178</v>
      </c>
      <c r="D1180" t="s">
        <v>8</v>
      </c>
      <c r="E1180" t="str">
        <f>IF(june[[#This Row],[ShiftCounter]]&gt;0, "Running", "Down")</f>
        <v>Running</v>
      </c>
    </row>
    <row r="1181" spans="1:5" x14ac:dyDescent="0.25">
      <c r="A1181" s="8">
        <v>44723</v>
      </c>
      <c r="B1181" t="s">
        <v>11</v>
      </c>
      <c r="C1181">
        <v>2455</v>
      </c>
      <c r="D1181" t="s">
        <v>6</v>
      </c>
      <c r="E1181" t="str">
        <f>IF(june[[#This Row],[ShiftCounter]]&gt;0, "Running", "Down")</f>
        <v>Running</v>
      </c>
    </row>
    <row r="1182" spans="1:5" x14ac:dyDescent="0.25">
      <c r="A1182" s="8">
        <v>44723</v>
      </c>
      <c r="B1182" t="s">
        <v>11</v>
      </c>
      <c r="C1182">
        <v>2280</v>
      </c>
      <c r="D1182" t="s">
        <v>7</v>
      </c>
      <c r="E1182" t="str">
        <f>IF(june[[#This Row],[ShiftCounter]]&gt;0, "Running", "Down")</f>
        <v>Running</v>
      </c>
    </row>
    <row r="1183" spans="1:5" x14ac:dyDescent="0.25">
      <c r="A1183" s="8">
        <v>44723</v>
      </c>
      <c r="B1183" t="s">
        <v>11</v>
      </c>
      <c r="C1183">
        <v>2217</v>
      </c>
      <c r="D1183" t="s">
        <v>8</v>
      </c>
      <c r="E1183" t="str">
        <f>IF(june[[#This Row],[ShiftCounter]]&gt;0, "Running", "Down")</f>
        <v>Running</v>
      </c>
    </row>
    <row r="1184" spans="1:5" x14ac:dyDescent="0.25">
      <c r="A1184" s="8">
        <v>44723</v>
      </c>
      <c r="B1184" t="s">
        <v>12</v>
      </c>
      <c r="C1184">
        <v>2363</v>
      </c>
      <c r="D1184" t="s">
        <v>6</v>
      </c>
      <c r="E1184" t="str">
        <f>IF(june[[#This Row],[ShiftCounter]]&gt;0, "Running", "Down")</f>
        <v>Running</v>
      </c>
    </row>
    <row r="1185" spans="1:5" x14ac:dyDescent="0.25">
      <c r="A1185" s="8">
        <v>44723</v>
      </c>
      <c r="B1185" t="s">
        <v>12</v>
      </c>
      <c r="C1185">
        <v>2345</v>
      </c>
      <c r="D1185" t="s">
        <v>7</v>
      </c>
      <c r="E1185" t="str">
        <f>IF(june[[#This Row],[ShiftCounter]]&gt;0, "Running", "Down")</f>
        <v>Running</v>
      </c>
    </row>
    <row r="1186" spans="1:5" x14ac:dyDescent="0.25">
      <c r="A1186" s="8">
        <v>44723</v>
      </c>
      <c r="B1186" t="s">
        <v>12</v>
      </c>
      <c r="C1186">
        <v>2014</v>
      </c>
      <c r="D1186" t="s">
        <v>8</v>
      </c>
      <c r="E1186" t="str">
        <f>IF(june[[#This Row],[ShiftCounter]]&gt;0, "Running", "Down")</f>
        <v>Running</v>
      </c>
    </row>
    <row r="1187" spans="1:5" x14ac:dyDescent="0.25">
      <c r="A1187" s="8">
        <v>44723</v>
      </c>
      <c r="B1187" t="s">
        <v>13</v>
      </c>
      <c r="C1187">
        <v>2250</v>
      </c>
      <c r="D1187" t="s">
        <v>6</v>
      </c>
      <c r="E1187" t="str">
        <f>IF(june[[#This Row],[ShiftCounter]]&gt;0, "Running", "Down")</f>
        <v>Running</v>
      </c>
    </row>
    <row r="1188" spans="1:5" x14ac:dyDescent="0.25">
      <c r="A1188" s="8">
        <v>44723</v>
      </c>
      <c r="B1188" t="s">
        <v>13</v>
      </c>
      <c r="C1188">
        <v>2693</v>
      </c>
      <c r="D1188" t="s">
        <v>7</v>
      </c>
      <c r="E1188" t="str">
        <f>IF(june[[#This Row],[ShiftCounter]]&gt;0, "Running", "Down")</f>
        <v>Running</v>
      </c>
    </row>
    <row r="1189" spans="1:5" x14ac:dyDescent="0.25">
      <c r="A1189" s="8">
        <v>44723</v>
      </c>
      <c r="B1189" t="s">
        <v>13</v>
      </c>
      <c r="C1189">
        <v>1921</v>
      </c>
      <c r="D1189" t="s">
        <v>8</v>
      </c>
      <c r="E1189" t="str">
        <f>IF(june[[#This Row],[ShiftCounter]]&gt;0, "Running", "Down")</f>
        <v>Running</v>
      </c>
    </row>
    <row r="1190" spans="1:5" x14ac:dyDescent="0.25">
      <c r="A1190" s="8">
        <v>44723</v>
      </c>
      <c r="B1190" t="s">
        <v>101</v>
      </c>
      <c r="C1190">
        <v>2116</v>
      </c>
      <c r="D1190" t="s">
        <v>6</v>
      </c>
      <c r="E1190" t="str">
        <f>IF(june[[#This Row],[ShiftCounter]]&gt;0, "Running", "Down")</f>
        <v>Running</v>
      </c>
    </row>
    <row r="1191" spans="1:5" x14ac:dyDescent="0.25">
      <c r="A1191" s="8">
        <v>44723</v>
      </c>
      <c r="B1191" t="s">
        <v>101</v>
      </c>
      <c r="C1191">
        <v>2060</v>
      </c>
      <c r="D1191" t="s">
        <v>7</v>
      </c>
      <c r="E1191" t="str">
        <f>IF(june[[#This Row],[ShiftCounter]]&gt;0, "Running", "Down")</f>
        <v>Running</v>
      </c>
    </row>
    <row r="1192" spans="1:5" x14ac:dyDescent="0.25">
      <c r="A1192" s="8">
        <v>44723</v>
      </c>
      <c r="B1192" t="s">
        <v>101</v>
      </c>
      <c r="C1192">
        <v>1881</v>
      </c>
      <c r="D1192" t="s">
        <v>8</v>
      </c>
      <c r="E1192" t="str">
        <f>IF(june[[#This Row],[ShiftCounter]]&gt;0, "Running", "Down")</f>
        <v>Running</v>
      </c>
    </row>
    <row r="1193" spans="1:5" x14ac:dyDescent="0.25">
      <c r="A1193" s="8">
        <v>44723</v>
      </c>
      <c r="B1193" t="s">
        <v>14</v>
      </c>
      <c r="C1193">
        <v>2344</v>
      </c>
      <c r="D1193" t="s">
        <v>6</v>
      </c>
      <c r="E1193" t="str">
        <f>IF(june[[#This Row],[ShiftCounter]]&gt;0, "Running", "Down")</f>
        <v>Running</v>
      </c>
    </row>
    <row r="1194" spans="1:5" x14ac:dyDescent="0.25">
      <c r="A1194" s="8">
        <v>44723</v>
      </c>
      <c r="B1194" t="s">
        <v>14</v>
      </c>
      <c r="C1194">
        <v>2237</v>
      </c>
      <c r="D1194" t="s">
        <v>7</v>
      </c>
      <c r="E1194" t="str">
        <f>IF(june[[#This Row],[ShiftCounter]]&gt;0, "Running", "Down")</f>
        <v>Running</v>
      </c>
    </row>
    <row r="1195" spans="1:5" x14ac:dyDescent="0.25">
      <c r="A1195" s="8">
        <v>44723</v>
      </c>
      <c r="B1195" t="s">
        <v>14</v>
      </c>
      <c r="C1195">
        <v>2078</v>
      </c>
      <c r="D1195" t="s">
        <v>8</v>
      </c>
      <c r="E1195" t="str">
        <f>IF(june[[#This Row],[ShiftCounter]]&gt;0, "Running", "Down")</f>
        <v>Running</v>
      </c>
    </row>
    <row r="1196" spans="1:5" x14ac:dyDescent="0.25">
      <c r="A1196" s="8">
        <v>44723</v>
      </c>
      <c r="B1196" t="s">
        <v>15</v>
      </c>
      <c r="C1196">
        <v>2324</v>
      </c>
      <c r="D1196" t="s">
        <v>6</v>
      </c>
      <c r="E1196" t="str">
        <f>IF(june[[#This Row],[ShiftCounter]]&gt;0, "Running", "Down")</f>
        <v>Running</v>
      </c>
    </row>
    <row r="1197" spans="1:5" x14ac:dyDescent="0.25">
      <c r="A1197" s="8">
        <v>44723</v>
      </c>
      <c r="B1197" t="s">
        <v>15</v>
      </c>
      <c r="C1197">
        <v>2238</v>
      </c>
      <c r="D1197" t="s">
        <v>7</v>
      </c>
      <c r="E1197" t="str">
        <f>IF(june[[#This Row],[ShiftCounter]]&gt;0, "Running", "Down")</f>
        <v>Running</v>
      </c>
    </row>
    <row r="1198" spans="1:5" x14ac:dyDescent="0.25">
      <c r="A1198" s="8">
        <v>44723</v>
      </c>
      <c r="B1198" t="s">
        <v>15</v>
      </c>
      <c r="C1198">
        <v>2106</v>
      </c>
      <c r="D1198" t="s">
        <v>8</v>
      </c>
      <c r="E1198" t="str">
        <f>IF(june[[#This Row],[ShiftCounter]]&gt;0, "Running", "Down")</f>
        <v>Running</v>
      </c>
    </row>
    <row r="1199" spans="1:5" x14ac:dyDescent="0.25">
      <c r="A1199" s="8">
        <v>44723</v>
      </c>
      <c r="B1199" t="s">
        <v>16</v>
      </c>
      <c r="C1199">
        <v>2205</v>
      </c>
      <c r="D1199" t="s">
        <v>6</v>
      </c>
      <c r="E1199" t="str">
        <f>IF(june[[#This Row],[ShiftCounter]]&gt;0, "Running", "Down")</f>
        <v>Running</v>
      </c>
    </row>
    <row r="1200" spans="1:5" x14ac:dyDescent="0.25">
      <c r="A1200" s="8">
        <v>44723</v>
      </c>
      <c r="B1200" t="s">
        <v>16</v>
      </c>
      <c r="C1200">
        <v>2198</v>
      </c>
      <c r="D1200" t="s">
        <v>7</v>
      </c>
      <c r="E1200" t="str">
        <f>IF(june[[#This Row],[ShiftCounter]]&gt;0, "Running", "Down")</f>
        <v>Running</v>
      </c>
    </row>
    <row r="1201" spans="1:5" x14ac:dyDescent="0.25">
      <c r="A1201" s="8">
        <v>44723</v>
      </c>
      <c r="B1201" t="s">
        <v>16</v>
      </c>
      <c r="C1201">
        <v>2058</v>
      </c>
      <c r="D1201" t="s">
        <v>8</v>
      </c>
      <c r="E1201" t="str">
        <f>IF(june[[#This Row],[ShiftCounter]]&gt;0, "Running", "Down")</f>
        <v>Running</v>
      </c>
    </row>
    <row r="1202" spans="1:5" x14ac:dyDescent="0.25">
      <c r="A1202" s="8">
        <v>44723</v>
      </c>
      <c r="B1202" t="s">
        <v>17</v>
      </c>
      <c r="C1202">
        <v>2401</v>
      </c>
      <c r="D1202" t="s">
        <v>6</v>
      </c>
      <c r="E1202" t="str">
        <f>IF(june[[#This Row],[ShiftCounter]]&gt;0, "Running", "Down")</f>
        <v>Running</v>
      </c>
    </row>
    <row r="1203" spans="1:5" x14ac:dyDescent="0.25">
      <c r="A1203" s="8">
        <v>44723</v>
      </c>
      <c r="B1203" t="s">
        <v>17</v>
      </c>
      <c r="C1203">
        <v>2311</v>
      </c>
      <c r="D1203" t="s">
        <v>7</v>
      </c>
      <c r="E1203" t="str">
        <f>IF(june[[#This Row],[ShiftCounter]]&gt;0, "Running", "Down")</f>
        <v>Running</v>
      </c>
    </row>
    <row r="1204" spans="1:5" x14ac:dyDescent="0.25">
      <c r="A1204" s="8">
        <v>44723</v>
      </c>
      <c r="B1204" t="s">
        <v>17</v>
      </c>
      <c r="C1204">
        <v>2176</v>
      </c>
      <c r="D1204" t="s">
        <v>8</v>
      </c>
      <c r="E1204" t="str">
        <f>IF(june[[#This Row],[ShiftCounter]]&gt;0, "Running", "Down")</f>
        <v>Running</v>
      </c>
    </row>
    <row r="1205" spans="1:5" x14ac:dyDescent="0.25">
      <c r="A1205" s="8">
        <v>44723</v>
      </c>
      <c r="B1205" t="s">
        <v>19</v>
      </c>
      <c r="C1205">
        <v>1754</v>
      </c>
      <c r="D1205" t="s">
        <v>6</v>
      </c>
      <c r="E1205" t="str">
        <f>IF(june[[#This Row],[ShiftCounter]]&gt;0, "Running", "Down")</f>
        <v>Running</v>
      </c>
    </row>
    <row r="1206" spans="1:5" x14ac:dyDescent="0.25">
      <c r="A1206" s="8">
        <v>44723</v>
      </c>
      <c r="B1206" t="s">
        <v>19</v>
      </c>
      <c r="C1206">
        <v>1813</v>
      </c>
      <c r="D1206" t="s">
        <v>7</v>
      </c>
      <c r="E1206" t="str">
        <f>IF(june[[#This Row],[ShiftCounter]]&gt;0, "Running", "Down")</f>
        <v>Running</v>
      </c>
    </row>
    <row r="1207" spans="1:5" x14ac:dyDescent="0.25">
      <c r="A1207" s="8">
        <v>44723</v>
      </c>
      <c r="B1207" t="s">
        <v>19</v>
      </c>
      <c r="C1207">
        <v>0</v>
      </c>
      <c r="D1207" t="s">
        <v>8</v>
      </c>
      <c r="E1207" t="str">
        <f>IF(june[[#This Row],[ShiftCounter]]&gt;0, "Running", "Down")</f>
        <v>Down</v>
      </c>
    </row>
    <row r="1208" spans="1:5" x14ac:dyDescent="0.25">
      <c r="A1208" s="8">
        <v>44723</v>
      </c>
      <c r="B1208" t="s">
        <v>18</v>
      </c>
      <c r="C1208">
        <v>2396</v>
      </c>
      <c r="D1208" t="s">
        <v>6</v>
      </c>
      <c r="E1208" t="str">
        <f>IF(june[[#This Row],[ShiftCounter]]&gt;0, "Running", "Down")</f>
        <v>Running</v>
      </c>
    </row>
    <row r="1209" spans="1:5" x14ac:dyDescent="0.25">
      <c r="A1209" s="8">
        <v>44723</v>
      </c>
      <c r="B1209" t="s">
        <v>18</v>
      </c>
      <c r="C1209">
        <v>2377</v>
      </c>
      <c r="D1209" t="s">
        <v>7</v>
      </c>
      <c r="E1209" t="str">
        <f>IF(june[[#This Row],[ShiftCounter]]&gt;0, "Running", "Down")</f>
        <v>Running</v>
      </c>
    </row>
    <row r="1210" spans="1:5" x14ac:dyDescent="0.25">
      <c r="A1210" s="8">
        <v>44723</v>
      </c>
      <c r="B1210" t="s">
        <v>18</v>
      </c>
      <c r="C1210">
        <v>2165</v>
      </c>
      <c r="D1210" t="s">
        <v>8</v>
      </c>
      <c r="E1210" t="str">
        <f>IF(june[[#This Row],[ShiftCounter]]&gt;0, "Running", "Down")</f>
        <v>Running</v>
      </c>
    </row>
    <row r="1211" spans="1:5" x14ac:dyDescent="0.25">
      <c r="A1211" s="8">
        <v>44723</v>
      </c>
      <c r="B1211" t="s">
        <v>42</v>
      </c>
      <c r="C1211">
        <v>1866</v>
      </c>
      <c r="D1211" t="s">
        <v>6</v>
      </c>
      <c r="E1211" t="str">
        <f>IF(june[[#This Row],[ShiftCounter]]&gt;0, "Running", "Down")</f>
        <v>Running</v>
      </c>
    </row>
    <row r="1212" spans="1:5" x14ac:dyDescent="0.25">
      <c r="A1212" s="8">
        <v>44723</v>
      </c>
      <c r="B1212" t="s">
        <v>42</v>
      </c>
      <c r="C1212">
        <v>1916</v>
      </c>
      <c r="D1212" t="s">
        <v>7</v>
      </c>
      <c r="E1212" t="str">
        <f>IF(june[[#This Row],[ShiftCounter]]&gt;0, "Running", "Down")</f>
        <v>Running</v>
      </c>
    </row>
    <row r="1213" spans="1:5" x14ac:dyDescent="0.25">
      <c r="A1213" s="8">
        <v>44723</v>
      </c>
      <c r="B1213" t="s">
        <v>42</v>
      </c>
      <c r="C1213">
        <v>1885</v>
      </c>
      <c r="D1213" t="s">
        <v>8</v>
      </c>
      <c r="E1213" t="str">
        <f>IF(june[[#This Row],[ShiftCounter]]&gt;0, "Running", "Down")</f>
        <v>Running</v>
      </c>
    </row>
    <row r="1214" spans="1:5" x14ac:dyDescent="0.25">
      <c r="A1214" s="8">
        <v>44723</v>
      </c>
      <c r="B1214" t="s">
        <v>38</v>
      </c>
      <c r="C1214">
        <v>2378</v>
      </c>
      <c r="D1214" t="s">
        <v>6</v>
      </c>
      <c r="E1214" t="str">
        <f>IF(june[[#This Row],[ShiftCounter]]&gt;0, "Running", "Down")</f>
        <v>Running</v>
      </c>
    </row>
    <row r="1215" spans="1:5" x14ac:dyDescent="0.25">
      <c r="A1215" s="8">
        <v>44723</v>
      </c>
      <c r="B1215" t="s">
        <v>38</v>
      </c>
      <c r="C1215">
        <v>2262</v>
      </c>
      <c r="D1215" t="s">
        <v>7</v>
      </c>
      <c r="E1215" t="str">
        <f>IF(june[[#This Row],[ShiftCounter]]&gt;0, "Running", "Down")</f>
        <v>Running</v>
      </c>
    </row>
    <row r="1216" spans="1:5" x14ac:dyDescent="0.25">
      <c r="A1216" s="8">
        <v>44723</v>
      </c>
      <c r="B1216" t="s">
        <v>38</v>
      </c>
      <c r="C1216">
        <v>2117</v>
      </c>
      <c r="D1216" t="s">
        <v>8</v>
      </c>
      <c r="E1216" t="str">
        <f>IF(june[[#This Row],[ShiftCounter]]&gt;0, "Running", "Down")</f>
        <v>Running</v>
      </c>
    </row>
    <row r="1217" spans="1:5" x14ac:dyDescent="0.25">
      <c r="A1217" s="8">
        <v>44723</v>
      </c>
      <c r="B1217" t="s">
        <v>20</v>
      </c>
      <c r="C1217">
        <v>2027</v>
      </c>
      <c r="D1217" t="s">
        <v>6</v>
      </c>
      <c r="E1217" t="str">
        <f>IF(june[[#This Row],[ShiftCounter]]&gt;0, "Running", "Down")</f>
        <v>Running</v>
      </c>
    </row>
    <row r="1218" spans="1:5" x14ac:dyDescent="0.25">
      <c r="A1218" s="8">
        <v>44723</v>
      </c>
      <c r="B1218" t="s">
        <v>20</v>
      </c>
      <c r="C1218">
        <v>1930</v>
      </c>
      <c r="D1218" t="s">
        <v>7</v>
      </c>
      <c r="E1218" t="str">
        <f>IF(june[[#This Row],[ShiftCounter]]&gt;0, "Running", "Down")</f>
        <v>Running</v>
      </c>
    </row>
    <row r="1219" spans="1:5" x14ac:dyDescent="0.25">
      <c r="A1219" s="8">
        <v>44723</v>
      </c>
      <c r="B1219" t="s">
        <v>20</v>
      </c>
      <c r="C1219">
        <v>1795</v>
      </c>
      <c r="D1219" t="s">
        <v>8</v>
      </c>
      <c r="E1219" t="str">
        <f>IF(june[[#This Row],[ShiftCounter]]&gt;0, "Running", "Down")</f>
        <v>Running</v>
      </c>
    </row>
    <row r="1220" spans="1:5" x14ac:dyDescent="0.25">
      <c r="A1220" s="8">
        <v>44723</v>
      </c>
      <c r="B1220" t="s">
        <v>21</v>
      </c>
      <c r="C1220">
        <v>1990</v>
      </c>
      <c r="D1220" t="s">
        <v>6</v>
      </c>
      <c r="E1220" t="str">
        <f>IF(june[[#This Row],[ShiftCounter]]&gt;0, "Running", "Down")</f>
        <v>Running</v>
      </c>
    </row>
    <row r="1221" spans="1:5" x14ac:dyDescent="0.25">
      <c r="A1221" s="8">
        <v>44723</v>
      </c>
      <c r="B1221" t="s">
        <v>21</v>
      </c>
      <c r="C1221">
        <v>1957</v>
      </c>
      <c r="D1221" t="s">
        <v>7</v>
      </c>
      <c r="E1221" t="str">
        <f>IF(june[[#This Row],[ShiftCounter]]&gt;0, "Running", "Down")</f>
        <v>Running</v>
      </c>
    </row>
    <row r="1222" spans="1:5" x14ac:dyDescent="0.25">
      <c r="A1222" s="8">
        <v>44723</v>
      </c>
      <c r="B1222" t="s">
        <v>21</v>
      </c>
      <c r="C1222">
        <v>1870</v>
      </c>
      <c r="D1222" t="s">
        <v>8</v>
      </c>
      <c r="E1222" t="str">
        <f>IF(june[[#This Row],[ShiftCounter]]&gt;0, "Running", "Down")</f>
        <v>Running</v>
      </c>
    </row>
    <row r="1223" spans="1:5" x14ac:dyDescent="0.25">
      <c r="A1223" s="8">
        <v>44723</v>
      </c>
      <c r="B1223" t="s">
        <v>22</v>
      </c>
      <c r="C1223">
        <v>2372</v>
      </c>
      <c r="D1223" t="s">
        <v>6</v>
      </c>
      <c r="E1223" t="str">
        <f>IF(june[[#This Row],[ShiftCounter]]&gt;0, "Running", "Down")</f>
        <v>Running</v>
      </c>
    </row>
    <row r="1224" spans="1:5" x14ac:dyDescent="0.25">
      <c r="A1224" s="8">
        <v>44723</v>
      </c>
      <c r="B1224" t="s">
        <v>22</v>
      </c>
      <c r="C1224">
        <v>2324</v>
      </c>
      <c r="D1224" t="s">
        <v>7</v>
      </c>
      <c r="E1224" t="str">
        <f>IF(june[[#This Row],[ShiftCounter]]&gt;0, "Running", "Down")</f>
        <v>Running</v>
      </c>
    </row>
    <row r="1225" spans="1:5" x14ac:dyDescent="0.25">
      <c r="A1225" s="8">
        <v>44723</v>
      </c>
      <c r="B1225" t="s">
        <v>22</v>
      </c>
      <c r="C1225">
        <v>2119</v>
      </c>
      <c r="D1225" t="s">
        <v>8</v>
      </c>
      <c r="E1225" t="str">
        <f>IF(june[[#This Row],[ShiftCounter]]&gt;0, "Running", "Down")</f>
        <v>Running</v>
      </c>
    </row>
    <row r="1226" spans="1:5" x14ac:dyDescent="0.25">
      <c r="A1226" s="8">
        <v>44723</v>
      </c>
      <c r="B1226" t="s">
        <v>23</v>
      </c>
      <c r="C1226">
        <v>2400</v>
      </c>
      <c r="D1226" t="s">
        <v>6</v>
      </c>
      <c r="E1226" t="str">
        <f>IF(june[[#This Row],[ShiftCounter]]&gt;0, "Running", "Down")</f>
        <v>Running</v>
      </c>
    </row>
    <row r="1227" spans="1:5" x14ac:dyDescent="0.25">
      <c r="A1227" s="8">
        <v>44723</v>
      </c>
      <c r="B1227" t="s">
        <v>23</v>
      </c>
      <c r="C1227">
        <v>2295</v>
      </c>
      <c r="D1227" t="s">
        <v>7</v>
      </c>
      <c r="E1227" t="str">
        <f>IF(june[[#This Row],[ShiftCounter]]&gt;0, "Running", "Down")</f>
        <v>Running</v>
      </c>
    </row>
    <row r="1228" spans="1:5" x14ac:dyDescent="0.25">
      <c r="A1228" s="8">
        <v>44723</v>
      </c>
      <c r="B1228" t="s">
        <v>23</v>
      </c>
      <c r="C1228">
        <v>2182</v>
      </c>
      <c r="D1228" t="s">
        <v>8</v>
      </c>
      <c r="E1228" t="str">
        <f>IF(june[[#This Row],[ShiftCounter]]&gt;0, "Running", "Down")</f>
        <v>Running</v>
      </c>
    </row>
    <row r="1229" spans="1:5" x14ac:dyDescent="0.25">
      <c r="A1229" s="8">
        <v>44723</v>
      </c>
      <c r="B1229" t="s">
        <v>24</v>
      </c>
      <c r="C1229">
        <v>2004</v>
      </c>
      <c r="D1229" t="s">
        <v>6</v>
      </c>
      <c r="E1229" t="str">
        <f>IF(june[[#This Row],[ShiftCounter]]&gt;0, "Running", "Down")</f>
        <v>Running</v>
      </c>
    </row>
    <row r="1230" spans="1:5" x14ac:dyDescent="0.25">
      <c r="A1230" s="8">
        <v>44723</v>
      </c>
      <c r="B1230" t="s">
        <v>24</v>
      </c>
      <c r="C1230">
        <v>1964</v>
      </c>
      <c r="D1230" t="s">
        <v>7</v>
      </c>
      <c r="E1230" t="str">
        <f>IF(june[[#This Row],[ShiftCounter]]&gt;0, "Running", "Down")</f>
        <v>Running</v>
      </c>
    </row>
    <row r="1231" spans="1:5" x14ac:dyDescent="0.25">
      <c r="A1231" s="8">
        <v>44723</v>
      </c>
      <c r="B1231" t="s">
        <v>24</v>
      </c>
      <c r="C1231">
        <v>1900</v>
      </c>
      <c r="D1231" t="s">
        <v>8</v>
      </c>
      <c r="E1231" t="str">
        <f>IF(june[[#This Row],[ShiftCounter]]&gt;0, "Running", "Down")</f>
        <v>Running</v>
      </c>
    </row>
    <row r="1232" spans="1:5" x14ac:dyDescent="0.25">
      <c r="A1232" s="8">
        <v>44723</v>
      </c>
      <c r="B1232" t="s">
        <v>75</v>
      </c>
      <c r="C1232">
        <v>2228</v>
      </c>
      <c r="D1232" t="s">
        <v>6</v>
      </c>
      <c r="E1232" t="str">
        <f>IF(june[[#This Row],[ShiftCounter]]&gt;0, "Running", "Down")</f>
        <v>Running</v>
      </c>
    </row>
    <row r="1233" spans="1:5" x14ac:dyDescent="0.25">
      <c r="A1233" s="8">
        <v>44723</v>
      </c>
      <c r="B1233" t="s">
        <v>75</v>
      </c>
      <c r="C1233">
        <v>2165</v>
      </c>
      <c r="D1233" t="s">
        <v>7</v>
      </c>
      <c r="E1233" t="str">
        <f>IF(june[[#This Row],[ShiftCounter]]&gt;0, "Running", "Down")</f>
        <v>Running</v>
      </c>
    </row>
    <row r="1234" spans="1:5" x14ac:dyDescent="0.25">
      <c r="A1234" s="8">
        <v>44723</v>
      </c>
      <c r="B1234" t="s">
        <v>75</v>
      </c>
      <c r="C1234">
        <v>2060</v>
      </c>
      <c r="D1234" t="s">
        <v>8</v>
      </c>
      <c r="E1234" t="str">
        <f>IF(june[[#This Row],[ShiftCounter]]&gt;0, "Running", "Down")</f>
        <v>Running</v>
      </c>
    </row>
    <row r="1235" spans="1:5" x14ac:dyDescent="0.25">
      <c r="A1235" s="8">
        <v>44723</v>
      </c>
      <c r="B1235" t="s">
        <v>25</v>
      </c>
      <c r="C1235">
        <v>2184</v>
      </c>
      <c r="D1235" t="s">
        <v>6</v>
      </c>
      <c r="E1235" t="str">
        <f>IF(june[[#This Row],[ShiftCounter]]&gt;0, "Running", "Down")</f>
        <v>Running</v>
      </c>
    </row>
    <row r="1236" spans="1:5" x14ac:dyDescent="0.25">
      <c r="A1236" s="8">
        <v>44723</v>
      </c>
      <c r="B1236" t="s">
        <v>25</v>
      </c>
      <c r="C1236">
        <v>2376</v>
      </c>
      <c r="D1236" t="s">
        <v>7</v>
      </c>
      <c r="E1236" t="str">
        <f>IF(june[[#This Row],[ShiftCounter]]&gt;0, "Running", "Down")</f>
        <v>Running</v>
      </c>
    </row>
    <row r="1237" spans="1:5" x14ac:dyDescent="0.25">
      <c r="A1237" s="8">
        <v>44723</v>
      </c>
      <c r="B1237" t="s">
        <v>25</v>
      </c>
      <c r="C1237">
        <v>2079</v>
      </c>
      <c r="D1237" t="s">
        <v>8</v>
      </c>
      <c r="E1237" t="str">
        <f>IF(june[[#This Row],[ShiftCounter]]&gt;0, "Running", "Down")</f>
        <v>Running</v>
      </c>
    </row>
    <row r="1238" spans="1:5" x14ac:dyDescent="0.25">
      <c r="A1238" s="8">
        <v>44723</v>
      </c>
      <c r="B1238" t="s">
        <v>26</v>
      </c>
      <c r="C1238">
        <v>2015</v>
      </c>
      <c r="D1238" t="s">
        <v>6</v>
      </c>
      <c r="E1238" t="str">
        <f>IF(june[[#This Row],[ShiftCounter]]&gt;0, "Running", "Down")</f>
        <v>Running</v>
      </c>
    </row>
    <row r="1239" spans="1:5" x14ac:dyDescent="0.25">
      <c r="A1239" s="8">
        <v>44723</v>
      </c>
      <c r="B1239" t="s">
        <v>26</v>
      </c>
      <c r="C1239">
        <v>2122</v>
      </c>
      <c r="D1239" t="s">
        <v>7</v>
      </c>
      <c r="E1239" t="str">
        <f>IF(june[[#This Row],[ShiftCounter]]&gt;0, "Running", "Down")</f>
        <v>Running</v>
      </c>
    </row>
    <row r="1240" spans="1:5" x14ac:dyDescent="0.25">
      <c r="A1240" s="8">
        <v>44723</v>
      </c>
      <c r="B1240" t="s">
        <v>26</v>
      </c>
      <c r="C1240">
        <v>2025</v>
      </c>
      <c r="D1240" t="s">
        <v>8</v>
      </c>
      <c r="E1240" t="str">
        <f>IF(june[[#This Row],[ShiftCounter]]&gt;0, "Running", "Down")</f>
        <v>Running</v>
      </c>
    </row>
    <row r="1241" spans="1:5" x14ac:dyDescent="0.25">
      <c r="A1241" s="8">
        <v>44723</v>
      </c>
      <c r="B1241" t="s">
        <v>27</v>
      </c>
      <c r="C1241">
        <v>2410</v>
      </c>
      <c r="D1241" t="s">
        <v>6</v>
      </c>
      <c r="E1241" t="str">
        <f>IF(june[[#This Row],[ShiftCounter]]&gt;0, "Running", "Down")</f>
        <v>Running</v>
      </c>
    </row>
    <row r="1242" spans="1:5" x14ac:dyDescent="0.25">
      <c r="A1242" s="8">
        <v>44723</v>
      </c>
      <c r="B1242" t="s">
        <v>27</v>
      </c>
      <c r="C1242">
        <v>2373</v>
      </c>
      <c r="D1242" t="s">
        <v>7</v>
      </c>
      <c r="E1242" t="str">
        <f>IF(june[[#This Row],[ShiftCounter]]&gt;0, "Running", "Down")</f>
        <v>Running</v>
      </c>
    </row>
    <row r="1243" spans="1:5" x14ac:dyDescent="0.25">
      <c r="A1243" s="8">
        <v>44723</v>
      </c>
      <c r="B1243" t="s">
        <v>27</v>
      </c>
      <c r="C1243">
        <v>2219</v>
      </c>
      <c r="D1243" t="s">
        <v>8</v>
      </c>
      <c r="E1243" t="str">
        <f>IF(june[[#This Row],[ShiftCounter]]&gt;0, "Running", "Down")</f>
        <v>Running</v>
      </c>
    </row>
    <row r="1244" spans="1:5" x14ac:dyDescent="0.25">
      <c r="A1244" s="8">
        <v>44723</v>
      </c>
      <c r="B1244" t="s">
        <v>28</v>
      </c>
      <c r="C1244">
        <v>2210</v>
      </c>
      <c r="D1244" t="s">
        <v>6</v>
      </c>
      <c r="E1244" t="str">
        <f>IF(june[[#This Row],[ShiftCounter]]&gt;0, "Running", "Down")</f>
        <v>Running</v>
      </c>
    </row>
    <row r="1245" spans="1:5" x14ac:dyDescent="0.25">
      <c r="A1245" s="8">
        <v>44723</v>
      </c>
      <c r="B1245" t="s">
        <v>28</v>
      </c>
      <c r="C1245">
        <v>2245</v>
      </c>
      <c r="D1245" t="s">
        <v>7</v>
      </c>
      <c r="E1245" t="str">
        <f>IF(june[[#This Row],[ShiftCounter]]&gt;0, "Running", "Down")</f>
        <v>Running</v>
      </c>
    </row>
    <row r="1246" spans="1:5" x14ac:dyDescent="0.25">
      <c r="A1246" s="8">
        <v>44723</v>
      </c>
      <c r="B1246" t="s">
        <v>28</v>
      </c>
      <c r="C1246">
        <v>2186</v>
      </c>
      <c r="D1246" t="s">
        <v>8</v>
      </c>
      <c r="E1246" t="str">
        <f>IF(june[[#This Row],[ShiftCounter]]&gt;0, "Running", "Down")</f>
        <v>Running</v>
      </c>
    </row>
    <row r="1247" spans="1:5" x14ac:dyDescent="0.25">
      <c r="A1247" s="8">
        <v>44723</v>
      </c>
      <c r="B1247" t="s">
        <v>29</v>
      </c>
      <c r="C1247">
        <v>1981</v>
      </c>
      <c r="D1247" t="s">
        <v>6</v>
      </c>
      <c r="E1247" t="str">
        <f>IF(june[[#This Row],[ShiftCounter]]&gt;0, "Running", "Down")</f>
        <v>Running</v>
      </c>
    </row>
    <row r="1248" spans="1:5" x14ac:dyDescent="0.25">
      <c r="A1248" s="8">
        <v>44723</v>
      </c>
      <c r="B1248" t="s">
        <v>29</v>
      </c>
      <c r="C1248">
        <v>2096</v>
      </c>
      <c r="D1248" t="s">
        <v>7</v>
      </c>
      <c r="E1248" t="str">
        <f>IF(june[[#This Row],[ShiftCounter]]&gt;0, "Running", "Down")</f>
        <v>Running</v>
      </c>
    </row>
    <row r="1249" spans="1:5" x14ac:dyDescent="0.25">
      <c r="A1249" s="8">
        <v>44723</v>
      </c>
      <c r="B1249" t="s">
        <v>29</v>
      </c>
      <c r="C1249">
        <v>2116</v>
      </c>
      <c r="D1249" t="s">
        <v>8</v>
      </c>
      <c r="E1249" t="str">
        <f>IF(june[[#This Row],[ShiftCounter]]&gt;0, "Running", "Down")</f>
        <v>Running</v>
      </c>
    </row>
    <row r="1250" spans="1:5" x14ac:dyDescent="0.25">
      <c r="A1250" s="8">
        <v>44723</v>
      </c>
      <c r="B1250" t="s">
        <v>30</v>
      </c>
      <c r="C1250">
        <v>2275</v>
      </c>
      <c r="D1250" t="s">
        <v>6</v>
      </c>
      <c r="E1250" t="str">
        <f>IF(june[[#This Row],[ShiftCounter]]&gt;0, "Running", "Down")</f>
        <v>Running</v>
      </c>
    </row>
    <row r="1251" spans="1:5" x14ac:dyDescent="0.25">
      <c r="A1251" s="8">
        <v>44723</v>
      </c>
      <c r="B1251" t="s">
        <v>30</v>
      </c>
      <c r="C1251">
        <v>2338</v>
      </c>
      <c r="D1251" t="s">
        <v>7</v>
      </c>
      <c r="E1251" t="str">
        <f>IF(june[[#This Row],[ShiftCounter]]&gt;0, "Running", "Down")</f>
        <v>Running</v>
      </c>
    </row>
    <row r="1252" spans="1:5" x14ac:dyDescent="0.25">
      <c r="A1252" s="8">
        <v>44723</v>
      </c>
      <c r="B1252" t="s">
        <v>30</v>
      </c>
      <c r="C1252">
        <v>2285</v>
      </c>
      <c r="D1252" t="s">
        <v>8</v>
      </c>
      <c r="E1252" t="str">
        <f>IF(june[[#This Row],[ShiftCounter]]&gt;0, "Running", "Down")</f>
        <v>Running</v>
      </c>
    </row>
    <row r="1253" spans="1:5" x14ac:dyDescent="0.25">
      <c r="A1253" s="8">
        <v>44723</v>
      </c>
      <c r="B1253" t="s">
        <v>31</v>
      </c>
      <c r="C1253">
        <v>2243</v>
      </c>
      <c r="D1253" t="s">
        <v>6</v>
      </c>
      <c r="E1253" t="str">
        <f>IF(june[[#This Row],[ShiftCounter]]&gt;0, "Running", "Down")</f>
        <v>Running</v>
      </c>
    </row>
    <row r="1254" spans="1:5" x14ac:dyDescent="0.25">
      <c r="A1254" s="8">
        <v>44723</v>
      </c>
      <c r="B1254" t="s">
        <v>31</v>
      </c>
      <c r="C1254">
        <v>2359</v>
      </c>
      <c r="D1254" t="s">
        <v>7</v>
      </c>
      <c r="E1254" t="str">
        <f>IF(june[[#This Row],[ShiftCounter]]&gt;0, "Running", "Down")</f>
        <v>Running</v>
      </c>
    </row>
    <row r="1255" spans="1:5" x14ac:dyDescent="0.25">
      <c r="A1255" s="8">
        <v>44723</v>
      </c>
      <c r="B1255" t="s">
        <v>31</v>
      </c>
      <c r="C1255">
        <v>2158</v>
      </c>
      <c r="D1255" t="s">
        <v>8</v>
      </c>
      <c r="E1255" t="str">
        <f>IF(june[[#This Row],[ShiftCounter]]&gt;0, "Running", "Down")</f>
        <v>Running</v>
      </c>
    </row>
    <row r="1256" spans="1:5" x14ac:dyDescent="0.25">
      <c r="A1256" s="8">
        <v>44723</v>
      </c>
      <c r="B1256" t="s">
        <v>67</v>
      </c>
      <c r="C1256">
        <v>2260</v>
      </c>
      <c r="D1256" t="s">
        <v>6</v>
      </c>
      <c r="E1256" t="str">
        <f>IF(june[[#This Row],[ShiftCounter]]&gt;0, "Running", "Down")</f>
        <v>Running</v>
      </c>
    </row>
    <row r="1257" spans="1:5" x14ac:dyDescent="0.25">
      <c r="A1257" s="8">
        <v>44723</v>
      </c>
      <c r="B1257" t="s">
        <v>67</v>
      </c>
      <c r="C1257">
        <v>2078</v>
      </c>
      <c r="D1257" t="s">
        <v>7</v>
      </c>
      <c r="E1257" t="str">
        <f>IF(june[[#This Row],[ShiftCounter]]&gt;0, "Running", "Down")</f>
        <v>Running</v>
      </c>
    </row>
    <row r="1258" spans="1:5" x14ac:dyDescent="0.25">
      <c r="A1258" s="8">
        <v>44723</v>
      </c>
      <c r="B1258" t="s">
        <v>67</v>
      </c>
      <c r="C1258">
        <v>2018</v>
      </c>
      <c r="D1258" t="s">
        <v>8</v>
      </c>
      <c r="E1258" t="str">
        <f>IF(june[[#This Row],[ShiftCounter]]&gt;0, "Running", "Down")</f>
        <v>Running</v>
      </c>
    </row>
    <row r="1259" spans="1:5" x14ac:dyDescent="0.25">
      <c r="A1259" s="8">
        <v>44723</v>
      </c>
      <c r="B1259" t="s">
        <v>33</v>
      </c>
      <c r="C1259">
        <v>2606</v>
      </c>
      <c r="D1259" t="s">
        <v>6</v>
      </c>
      <c r="E1259" t="str">
        <f>IF(june[[#This Row],[ShiftCounter]]&gt;0, "Running", "Down")</f>
        <v>Running</v>
      </c>
    </row>
    <row r="1260" spans="1:5" x14ac:dyDescent="0.25">
      <c r="A1260" s="8">
        <v>44723</v>
      </c>
      <c r="B1260" t="s">
        <v>33</v>
      </c>
      <c r="C1260">
        <v>2399</v>
      </c>
      <c r="D1260" t="s">
        <v>7</v>
      </c>
      <c r="E1260" t="str">
        <f>IF(june[[#This Row],[ShiftCounter]]&gt;0, "Running", "Down")</f>
        <v>Running</v>
      </c>
    </row>
    <row r="1261" spans="1:5" x14ac:dyDescent="0.25">
      <c r="A1261" s="8">
        <v>44723</v>
      </c>
      <c r="B1261" t="s">
        <v>33</v>
      </c>
      <c r="C1261">
        <v>2206</v>
      </c>
      <c r="D1261" t="s">
        <v>8</v>
      </c>
      <c r="E1261" t="str">
        <f>IF(june[[#This Row],[ShiftCounter]]&gt;0, "Running", "Down")</f>
        <v>Running</v>
      </c>
    </row>
    <row r="1262" spans="1:5" x14ac:dyDescent="0.25">
      <c r="A1262" s="8">
        <v>44723</v>
      </c>
      <c r="B1262" t="s">
        <v>35</v>
      </c>
      <c r="C1262">
        <v>2312</v>
      </c>
      <c r="D1262" t="s">
        <v>6</v>
      </c>
      <c r="E1262" t="str">
        <f>IF(june[[#This Row],[ShiftCounter]]&gt;0, "Running", "Down")</f>
        <v>Running</v>
      </c>
    </row>
    <row r="1263" spans="1:5" x14ac:dyDescent="0.25">
      <c r="A1263" s="8">
        <v>44723</v>
      </c>
      <c r="B1263" t="s">
        <v>35</v>
      </c>
      <c r="C1263">
        <v>1962</v>
      </c>
      <c r="D1263" t="s">
        <v>7</v>
      </c>
      <c r="E1263" t="str">
        <f>IF(june[[#This Row],[ShiftCounter]]&gt;0, "Running", "Down")</f>
        <v>Running</v>
      </c>
    </row>
    <row r="1264" spans="1:5" x14ac:dyDescent="0.25">
      <c r="A1264" s="8">
        <v>44723</v>
      </c>
      <c r="B1264" t="s">
        <v>35</v>
      </c>
      <c r="C1264">
        <v>1963</v>
      </c>
      <c r="D1264" t="s">
        <v>8</v>
      </c>
      <c r="E1264" t="str">
        <f>IF(june[[#This Row],[ShiftCounter]]&gt;0, "Running", "Down")</f>
        <v>Running</v>
      </c>
    </row>
    <row r="1265" spans="1:5" x14ac:dyDescent="0.25">
      <c r="A1265" s="8">
        <v>44723</v>
      </c>
      <c r="B1265" t="s">
        <v>37</v>
      </c>
      <c r="C1265">
        <v>2507</v>
      </c>
      <c r="D1265" t="s">
        <v>6</v>
      </c>
      <c r="E1265" t="str">
        <f>IF(june[[#This Row],[ShiftCounter]]&gt;0, "Running", "Down")</f>
        <v>Running</v>
      </c>
    </row>
    <row r="1266" spans="1:5" x14ac:dyDescent="0.25">
      <c r="A1266" s="8">
        <v>44723</v>
      </c>
      <c r="B1266" t="s">
        <v>37</v>
      </c>
      <c r="C1266">
        <v>2375</v>
      </c>
      <c r="D1266" t="s">
        <v>7</v>
      </c>
      <c r="E1266" t="str">
        <f>IF(june[[#This Row],[ShiftCounter]]&gt;0, "Running", "Down")</f>
        <v>Running</v>
      </c>
    </row>
    <row r="1267" spans="1:5" x14ac:dyDescent="0.25">
      <c r="A1267" s="8">
        <v>44723</v>
      </c>
      <c r="B1267" t="s">
        <v>37</v>
      </c>
      <c r="C1267">
        <v>2144</v>
      </c>
      <c r="D1267" t="s">
        <v>8</v>
      </c>
      <c r="E1267" t="str">
        <f>IF(june[[#This Row],[ShiftCounter]]&gt;0, "Running", "Down")</f>
        <v>Running</v>
      </c>
    </row>
    <row r="1268" spans="1:5" x14ac:dyDescent="0.25">
      <c r="A1268" s="8">
        <v>44723</v>
      </c>
      <c r="B1268" t="s">
        <v>34</v>
      </c>
      <c r="C1268">
        <v>2203</v>
      </c>
      <c r="D1268" t="s">
        <v>6</v>
      </c>
      <c r="E1268" t="str">
        <f>IF(june[[#This Row],[ShiftCounter]]&gt;0, "Running", "Down")</f>
        <v>Running</v>
      </c>
    </row>
    <row r="1269" spans="1:5" x14ac:dyDescent="0.25">
      <c r="A1269" s="8">
        <v>44723</v>
      </c>
      <c r="B1269" t="s">
        <v>34</v>
      </c>
      <c r="C1269">
        <v>2108</v>
      </c>
      <c r="D1269" t="s">
        <v>7</v>
      </c>
      <c r="E1269" t="str">
        <f>IF(june[[#This Row],[ShiftCounter]]&gt;0, "Running", "Down")</f>
        <v>Running</v>
      </c>
    </row>
    <row r="1270" spans="1:5" x14ac:dyDescent="0.25">
      <c r="A1270" s="8">
        <v>44723</v>
      </c>
      <c r="B1270" t="s">
        <v>34</v>
      </c>
      <c r="C1270">
        <v>1902</v>
      </c>
      <c r="D1270" t="s">
        <v>8</v>
      </c>
      <c r="E1270" t="str">
        <f>IF(june[[#This Row],[ShiftCounter]]&gt;0, "Running", "Down")</f>
        <v>Running</v>
      </c>
    </row>
    <row r="1271" spans="1:5" x14ac:dyDescent="0.25">
      <c r="A1271" s="8">
        <v>44724</v>
      </c>
      <c r="B1271" t="s">
        <v>135</v>
      </c>
      <c r="C1271">
        <v>2216</v>
      </c>
      <c r="D1271" t="s">
        <v>6</v>
      </c>
      <c r="E1271" t="str">
        <f>IF(june[[#This Row],[ShiftCounter]]&gt;0, "Running", "Down")</f>
        <v>Running</v>
      </c>
    </row>
    <row r="1272" spans="1:5" x14ac:dyDescent="0.25">
      <c r="A1272" s="8">
        <v>44724</v>
      </c>
      <c r="B1272" t="s">
        <v>135</v>
      </c>
      <c r="C1272">
        <v>2338</v>
      </c>
      <c r="D1272" t="s">
        <v>7</v>
      </c>
      <c r="E1272" t="str">
        <f>IF(june[[#This Row],[ShiftCounter]]&gt;0, "Running", "Down")</f>
        <v>Running</v>
      </c>
    </row>
    <row r="1273" spans="1:5" x14ac:dyDescent="0.25">
      <c r="A1273" s="8">
        <v>44724</v>
      </c>
      <c r="B1273" t="s">
        <v>135</v>
      </c>
      <c r="C1273">
        <v>2005</v>
      </c>
      <c r="D1273" t="s">
        <v>8</v>
      </c>
      <c r="E1273" t="str">
        <f>IF(june[[#This Row],[ShiftCounter]]&gt;0, "Running", "Down")</f>
        <v>Running</v>
      </c>
    </row>
    <row r="1274" spans="1:5" x14ac:dyDescent="0.25">
      <c r="A1274" s="8">
        <v>44724</v>
      </c>
      <c r="B1274" t="s">
        <v>40</v>
      </c>
      <c r="C1274">
        <v>2356</v>
      </c>
      <c r="D1274" t="s">
        <v>6</v>
      </c>
      <c r="E1274" t="str">
        <f>IF(june[[#This Row],[ShiftCounter]]&gt;0, "Running", "Down")</f>
        <v>Running</v>
      </c>
    </row>
    <row r="1275" spans="1:5" x14ac:dyDescent="0.25">
      <c r="A1275" s="8">
        <v>44724</v>
      </c>
      <c r="B1275" t="s">
        <v>40</v>
      </c>
      <c r="C1275">
        <v>2411</v>
      </c>
      <c r="D1275" t="s">
        <v>7</v>
      </c>
      <c r="E1275" t="str">
        <f>IF(june[[#This Row],[ShiftCounter]]&gt;0, "Running", "Down")</f>
        <v>Running</v>
      </c>
    </row>
    <row r="1276" spans="1:5" x14ac:dyDescent="0.25">
      <c r="A1276" s="8">
        <v>44724</v>
      </c>
      <c r="B1276" t="s">
        <v>40</v>
      </c>
      <c r="C1276">
        <v>2060</v>
      </c>
      <c r="D1276" t="s">
        <v>8</v>
      </c>
      <c r="E1276" t="str">
        <f>IF(june[[#This Row],[ShiftCounter]]&gt;0, "Running", "Down")</f>
        <v>Running</v>
      </c>
    </row>
    <row r="1277" spans="1:5" x14ac:dyDescent="0.25">
      <c r="A1277" s="8">
        <v>44724</v>
      </c>
      <c r="B1277" t="s">
        <v>39</v>
      </c>
      <c r="C1277">
        <v>2239</v>
      </c>
      <c r="D1277" t="s">
        <v>6</v>
      </c>
      <c r="E1277" t="str">
        <f>IF(june[[#This Row],[ShiftCounter]]&gt;0, "Running", "Down")</f>
        <v>Running</v>
      </c>
    </row>
    <row r="1278" spans="1:5" x14ac:dyDescent="0.25">
      <c r="A1278" s="8">
        <v>44724</v>
      </c>
      <c r="B1278" t="s">
        <v>39</v>
      </c>
      <c r="C1278">
        <v>2291</v>
      </c>
      <c r="D1278" t="s">
        <v>7</v>
      </c>
      <c r="E1278" t="str">
        <f>IF(june[[#This Row],[ShiftCounter]]&gt;0, "Running", "Down")</f>
        <v>Running</v>
      </c>
    </row>
    <row r="1279" spans="1:5" x14ac:dyDescent="0.25">
      <c r="A1279" s="8">
        <v>44724</v>
      </c>
      <c r="B1279" t="s">
        <v>39</v>
      </c>
      <c r="C1279">
        <v>1950</v>
      </c>
      <c r="D1279" t="s">
        <v>8</v>
      </c>
      <c r="E1279" t="str">
        <f>IF(june[[#This Row],[ShiftCounter]]&gt;0, "Running", "Down")</f>
        <v>Running</v>
      </c>
    </row>
    <row r="1280" spans="1:5" x14ac:dyDescent="0.25">
      <c r="A1280" s="8">
        <v>44724</v>
      </c>
      <c r="B1280" t="s">
        <v>41</v>
      </c>
      <c r="C1280">
        <v>2352</v>
      </c>
      <c r="D1280" t="s">
        <v>6</v>
      </c>
      <c r="E1280" t="str">
        <f>IF(june[[#This Row],[ShiftCounter]]&gt;0, "Running", "Down")</f>
        <v>Running</v>
      </c>
    </row>
    <row r="1281" spans="1:5" x14ac:dyDescent="0.25">
      <c r="A1281" s="8">
        <v>44724</v>
      </c>
      <c r="B1281" t="s">
        <v>41</v>
      </c>
      <c r="C1281">
        <v>2411</v>
      </c>
      <c r="D1281" t="s">
        <v>7</v>
      </c>
      <c r="E1281" t="str">
        <f>IF(june[[#This Row],[ShiftCounter]]&gt;0, "Running", "Down")</f>
        <v>Running</v>
      </c>
    </row>
    <row r="1282" spans="1:5" x14ac:dyDescent="0.25">
      <c r="A1282" s="8">
        <v>44724</v>
      </c>
      <c r="B1282" t="s">
        <v>41</v>
      </c>
      <c r="C1282">
        <v>2081</v>
      </c>
      <c r="D1282" t="s">
        <v>8</v>
      </c>
      <c r="E1282" t="str">
        <f>IF(june[[#This Row],[ShiftCounter]]&gt;0, "Running", "Down")</f>
        <v>Running</v>
      </c>
    </row>
    <row r="1283" spans="1:5" x14ac:dyDescent="0.25">
      <c r="A1283" s="8">
        <v>44724</v>
      </c>
      <c r="B1283" t="s">
        <v>5</v>
      </c>
      <c r="C1283">
        <v>2344</v>
      </c>
      <c r="D1283" t="s">
        <v>6</v>
      </c>
      <c r="E1283" t="str">
        <f>IF(june[[#This Row],[ShiftCounter]]&gt;0, "Running", "Down")</f>
        <v>Running</v>
      </c>
    </row>
    <row r="1284" spans="1:5" x14ac:dyDescent="0.25">
      <c r="A1284" s="8">
        <v>44724</v>
      </c>
      <c r="B1284" t="s">
        <v>5</v>
      </c>
      <c r="C1284">
        <v>2310</v>
      </c>
      <c r="D1284" t="s">
        <v>7</v>
      </c>
      <c r="E1284" t="str">
        <f>IF(june[[#This Row],[ShiftCounter]]&gt;0, "Running", "Down")</f>
        <v>Running</v>
      </c>
    </row>
    <row r="1285" spans="1:5" x14ac:dyDescent="0.25">
      <c r="A1285" s="8">
        <v>44724</v>
      </c>
      <c r="B1285" t="s">
        <v>5</v>
      </c>
      <c r="C1285">
        <v>2061</v>
      </c>
      <c r="D1285" t="s">
        <v>8</v>
      </c>
      <c r="E1285" t="str">
        <f>IF(june[[#This Row],[ShiftCounter]]&gt;0, "Running", "Down")</f>
        <v>Running</v>
      </c>
    </row>
    <row r="1286" spans="1:5" x14ac:dyDescent="0.25">
      <c r="A1286" s="8">
        <v>44724</v>
      </c>
      <c r="B1286" t="s">
        <v>9</v>
      </c>
      <c r="C1286">
        <v>2332</v>
      </c>
      <c r="D1286" t="s">
        <v>6</v>
      </c>
      <c r="E1286" t="str">
        <f>IF(june[[#This Row],[ShiftCounter]]&gt;0, "Running", "Down")</f>
        <v>Running</v>
      </c>
    </row>
    <row r="1287" spans="1:5" x14ac:dyDescent="0.25">
      <c r="A1287" s="8">
        <v>44724</v>
      </c>
      <c r="B1287" t="s">
        <v>9</v>
      </c>
      <c r="C1287">
        <v>2268</v>
      </c>
      <c r="D1287" t="s">
        <v>7</v>
      </c>
      <c r="E1287" t="str">
        <f>IF(june[[#This Row],[ShiftCounter]]&gt;0, "Running", "Down")</f>
        <v>Running</v>
      </c>
    </row>
    <row r="1288" spans="1:5" x14ac:dyDescent="0.25">
      <c r="A1288" s="8">
        <v>44724</v>
      </c>
      <c r="B1288" t="s">
        <v>9</v>
      </c>
      <c r="C1288">
        <v>2057</v>
      </c>
      <c r="D1288" t="s">
        <v>8</v>
      </c>
      <c r="E1288" t="str">
        <f>IF(june[[#This Row],[ShiftCounter]]&gt;0, "Running", "Down")</f>
        <v>Running</v>
      </c>
    </row>
    <row r="1289" spans="1:5" x14ac:dyDescent="0.25">
      <c r="A1289" s="8">
        <v>44724</v>
      </c>
      <c r="B1289" t="s">
        <v>10</v>
      </c>
      <c r="C1289">
        <v>2346</v>
      </c>
      <c r="D1289" t="s">
        <v>6</v>
      </c>
      <c r="E1289" t="str">
        <f>IF(june[[#This Row],[ShiftCounter]]&gt;0, "Running", "Down")</f>
        <v>Running</v>
      </c>
    </row>
    <row r="1290" spans="1:5" x14ac:dyDescent="0.25">
      <c r="A1290" s="8">
        <v>44724</v>
      </c>
      <c r="B1290" t="s">
        <v>10</v>
      </c>
      <c r="C1290">
        <v>2268</v>
      </c>
      <c r="D1290" t="s">
        <v>7</v>
      </c>
      <c r="E1290" t="str">
        <f>IF(june[[#This Row],[ShiftCounter]]&gt;0, "Running", "Down")</f>
        <v>Running</v>
      </c>
    </row>
    <row r="1291" spans="1:5" x14ac:dyDescent="0.25">
      <c r="A1291" s="8">
        <v>44724</v>
      </c>
      <c r="B1291" t="s">
        <v>10</v>
      </c>
      <c r="C1291">
        <v>2089</v>
      </c>
      <c r="D1291" t="s">
        <v>8</v>
      </c>
      <c r="E1291" t="str">
        <f>IF(june[[#This Row],[ShiftCounter]]&gt;0, "Running", "Down")</f>
        <v>Running</v>
      </c>
    </row>
    <row r="1292" spans="1:5" x14ac:dyDescent="0.25">
      <c r="A1292" s="8">
        <v>44724</v>
      </c>
      <c r="B1292" t="s">
        <v>11</v>
      </c>
      <c r="C1292">
        <v>2392</v>
      </c>
      <c r="D1292" t="s">
        <v>6</v>
      </c>
      <c r="E1292" t="str">
        <f>IF(june[[#This Row],[ShiftCounter]]&gt;0, "Running", "Down")</f>
        <v>Running</v>
      </c>
    </row>
    <row r="1293" spans="1:5" x14ac:dyDescent="0.25">
      <c r="A1293" s="8">
        <v>44724</v>
      </c>
      <c r="B1293" t="s">
        <v>11</v>
      </c>
      <c r="C1293">
        <v>2400</v>
      </c>
      <c r="D1293" t="s">
        <v>7</v>
      </c>
      <c r="E1293" t="str">
        <f>IF(june[[#This Row],[ShiftCounter]]&gt;0, "Running", "Down")</f>
        <v>Running</v>
      </c>
    </row>
    <row r="1294" spans="1:5" x14ac:dyDescent="0.25">
      <c r="A1294" s="8">
        <v>44724</v>
      </c>
      <c r="B1294" t="s">
        <v>11</v>
      </c>
      <c r="C1294">
        <v>2118</v>
      </c>
      <c r="D1294" t="s">
        <v>8</v>
      </c>
      <c r="E1294" t="str">
        <f>IF(june[[#This Row],[ShiftCounter]]&gt;0, "Running", "Down")</f>
        <v>Running</v>
      </c>
    </row>
    <row r="1295" spans="1:5" x14ac:dyDescent="0.25">
      <c r="A1295" s="8">
        <v>44724</v>
      </c>
      <c r="B1295" t="s">
        <v>12</v>
      </c>
      <c r="C1295">
        <v>2432</v>
      </c>
      <c r="D1295" t="s">
        <v>6</v>
      </c>
      <c r="E1295" t="str">
        <f>IF(june[[#This Row],[ShiftCounter]]&gt;0, "Running", "Down")</f>
        <v>Running</v>
      </c>
    </row>
    <row r="1296" spans="1:5" x14ac:dyDescent="0.25">
      <c r="A1296" s="8">
        <v>44724</v>
      </c>
      <c r="B1296" t="s">
        <v>12</v>
      </c>
      <c r="C1296">
        <v>2236</v>
      </c>
      <c r="D1296" t="s">
        <v>7</v>
      </c>
      <c r="E1296" t="str">
        <f>IF(june[[#This Row],[ShiftCounter]]&gt;0, "Running", "Down")</f>
        <v>Running</v>
      </c>
    </row>
    <row r="1297" spans="1:5" x14ac:dyDescent="0.25">
      <c r="A1297" s="8">
        <v>44724</v>
      </c>
      <c r="B1297" t="s">
        <v>12</v>
      </c>
      <c r="C1297">
        <v>2051</v>
      </c>
      <c r="D1297" t="s">
        <v>8</v>
      </c>
      <c r="E1297" t="str">
        <f>IF(june[[#This Row],[ShiftCounter]]&gt;0, "Running", "Down")</f>
        <v>Running</v>
      </c>
    </row>
    <row r="1298" spans="1:5" x14ac:dyDescent="0.25">
      <c r="A1298" s="8">
        <v>44724</v>
      </c>
      <c r="B1298" t="s">
        <v>13</v>
      </c>
      <c r="C1298">
        <v>2284</v>
      </c>
      <c r="D1298" t="s">
        <v>6</v>
      </c>
      <c r="E1298" t="str">
        <f>IF(june[[#This Row],[ShiftCounter]]&gt;0, "Running", "Down")</f>
        <v>Running</v>
      </c>
    </row>
    <row r="1299" spans="1:5" x14ac:dyDescent="0.25">
      <c r="A1299" s="8">
        <v>44724</v>
      </c>
      <c r="B1299" t="s">
        <v>13</v>
      </c>
      <c r="C1299">
        <v>2222</v>
      </c>
      <c r="D1299" t="s">
        <v>7</v>
      </c>
      <c r="E1299" t="str">
        <f>IF(june[[#This Row],[ShiftCounter]]&gt;0, "Running", "Down")</f>
        <v>Running</v>
      </c>
    </row>
    <row r="1300" spans="1:5" x14ac:dyDescent="0.25">
      <c r="A1300" s="8">
        <v>44724</v>
      </c>
      <c r="B1300" t="s">
        <v>13</v>
      </c>
      <c r="C1300">
        <v>1909</v>
      </c>
      <c r="D1300" t="s">
        <v>8</v>
      </c>
      <c r="E1300" t="str">
        <f>IF(june[[#This Row],[ShiftCounter]]&gt;0, "Running", "Down")</f>
        <v>Running</v>
      </c>
    </row>
    <row r="1301" spans="1:5" x14ac:dyDescent="0.25">
      <c r="A1301" s="8">
        <v>44724</v>
      </c>
      <c r="B1301" t="s">
        <v>101</v>
      </c>
      <c r="C1301">
        <v>2070</v>
      </c>
      <c r="D1301" t="s">
        <v>6</v>
      </c>
      <c r="E1301" t="str">
        <f>IF(june[[#This Row],[ShiftCounter]]&gt;0, "Running", "Down")</f>
        <v>Running</v>
      </c>
    </row>
    <row r="1302" spans="1:5" x14ac:dyDescent="0.25">
      <c r="A1302" s="8">
        <v>44724</v>
      </c>
      <c r="B1302" t="s">
        <v>101</v>
      </c>
      <c r="C1302">
        <v>2050</v>
      </c>
      <c r="D1302" t="s">
        <v>7</v>
      </c>
      <c r="E1302" t="str">
        <f>IF(june[[#This Row],[ShiftCounter]]&gt;0, "Running", "Down")</f>
        <v>Running</v>
      </c>
    </row>
    <row r="1303" spans="1:5" x14ac:dyDescent="0.25">
      <c r="A1303" s="8">
        <v>44724</v>
      </c>
      <c r="B1303" t="s">
        <v>101</v>
      </c>
      <c r="C1303">
        <v>1839</v>
      </c>
      <c r="D1303" t="s">
        <v>8</v>
      </c>
      <c r="E1303" t="str">
        <f>IF(june[[#This Row],[ShiftCounter]]&gt;0, "Running", "Down")</f>
        <v>Running</v>
      </c>
    </row>
    <row r="1304" spans="1:5" x14ac:dyDescent="0.25">
      <c r="A1304" s="8">
        <v>44724</v>
      </c>
      <c r="B1304" t="s">
        <v>14</v>
      </c>
      <c r="C1304">
        <v>640</v>
      </c>
      <c r="D1304" t="s">
        <v>6</v>
      </c>
      <c r="E1304" t="str">
        <f>IF(june[[#This Row],[ShiftCounter]]&gt;0, "Running", "Down")</f>
        <v>Running</v>
      </c>
    </row>
    <row r="1305" spans="1:5" x14ac:dyDescent="0.25">
      <c r="A1305" s="8">
        <v>44724</v>
      </c>
      <c r="B1305" t="s">
        <v>14</v>
      </c>
      <c r="C1305">
        <v>2268</v>
      </c>
      <c r="D1305" t="s">
        <v>7</v>
      </c>
      <c r="E1305" t="str">
        <f>IF(june[[#This Row],[ShiftCounter]]&gt;0, "Running", "Down")</f>
        <v>Running</v>
      </c>
    </row>
    <row r="1306" spans="1:5" x14ac:dyDescent="0.25">
      <c r="A1306" s="8">
        <v>44724</v>
      </c>
      <c r="B1306" t="s">
        <v>14</v>
      </c>
      <c r="C1306">
        <v>2099</v>
      </c>
      <c r="D1306" t="s">
        <v>8</v>
      </c>
      <c r="E1306" t="str">
        <f>IF(june[[#This Row],[ShiftCounter]]&gt;0, "Running", "Down")</f>
        <v>Running</v>
      </c>
    </row>
    <row r="1307" spans="1:5" x14ac:dyDescent="0.25">
      <c r="A1307" s="8">
        <v>44724</v>
      </c>
      <c r="B1307" t="s">
        <v>15</v>
      </c>
      <c r="C1307">
        <v>2251</v>
      </c>
      <c r="D1307" t="s">
        <v>6</v>
      </c>
      <c r="E1307" t="str">
        <f>IF(june[[#This Row],[ShiftCounter]]&gt;0, "Running", "Down")</f>
        <v>Running</v>
      </c>
    </row>
    <row r="1308" spans="1:5" x14ac:dyDescent="0.25">
      <c r="A1308" s="8">
        <v>44724</v>
      </c>
      <c r="B1308" t="s">
        <v>15</v>
      </c>
      <c r="C1308">
        <v>2277</v>
      </c>
      <c r="D1308" t="s">
        <v>7</v>
      </c>
      <c r="E1308" t="str">
        <f>IF(june[[#This Row],[ShiftCounter]]&gt;0, "Running", "Down")</f>
        <v>Running</v>
      </c>
    </row>
    <row r="1309" spans="1:5" x14ac:dyDescent="0.25">
      <c r="A1309" s="8">
        <v>44724</v>
      </c>
      <c r="B1309" t="s">
        <v>15</v>
      </c>
      <c r="C1309">
        <v>1973</v>
      </c>
      <c r="D1309" t="s">
        <v>8</v>
      </c>
      <c r="E1309" t="str">
        <f>IF(june[[#This Row],[ShiftCounter]]&gt;0, "Running", "Down")</f>
        <v>Running</v>
      </c>
    </row>
    <row r="1310" spans="1:5" x14ac:dyDescent="0.25">
      <c r="A1310" s="8">
        <v>44724</v>
      </c>
      <c r="B1310" t="s">
        <v>16</v>
      </c>
      <c r="C1310">
        <v>2054</v>
      </c>
      <c r="D1310" t="s">
        <v>6</v>
      </c>
      <c r="E1310" t="str">
        <f>IF(june[[#This Row],[ShiftCounter]]&gt;0, "Running", "Down")</f>
        <v>Running</v>
      </c>
    </row>
    <row r="1311" spans="1:5" x14ac:dyDescent="0.25">
      <c r="A1311" s="8">
        <v>44724</v>
      </c>
      <c r="B1311" t="s">
        <v>16</v>
      </c>
      <c r="C1311">
        <v>2199</v>
      </c>
      <c r="D1311" t="s">
        <v>7</v>
      </c>
      <c r="E1311" t="str">
        <f>IF(june[[#This Row],[ShiftCounter]]&gt;0, "Running", "Down")</f>
        <v>Running</v>
      </c>
    </row>
    <row r="1312" spans="1:5" x14ac:dyDescent="0.25">
      <c r="A1312" s="8">
        <v>44724</v>
      </c>
      <c r="B1312" t="s">
        <v>16</v>
      </c>
      <c r="C1312">
        <v>1999</v>
      </c>
      <c r="D1312" t="s">
        <v>8</v>
      </c>
      <c r="E1312" t="str">
        <f>IF(june[[#This Row],[ShiftCounter]]&gt;0, "Running", "Down")</f>
        <v>Running</v>
      </c>
    </row>
    <row r="1313" spans="1:5" x14ac:dyDescent="0.25">
      <c r="A1313" s="8">
        <v>44724</v>
      </c>
      <c r="B1313" t="s">
        <v>17</v>
      </c>
      <c r="C1313">
        <v>2222</v>
      </c>
      <c r="D1313" t="s">
        <v>6</v>
      </c>
      <c r="E1313" t="str">
        <f>IF(june[[#This Row],[ShiftCounter]]&gt;0, "Running", "Down")</f>
        <v>Running</v>
      </c>
    </row>
    <row r="1314" spans="1:5" x14ac:dyDescent="0.25">
      <c r="A1314" s="8">
        <v>44724</v>
      </c>
      <c r="B1314" t="s">
        <v>17</v>
      </c>
      <c r="C1314">
        <v>2159</v>
      </c>
      <c r="D1314" t="s">
        <v>7</v>
      </c>
      <c r="E1314" t="str">
        <f>IF(june[[#This Row],[ShiftCounter]]&gt;0, "Running", "Down")</f>
        <v>Running</v>
      </c>
    </row>
    <row r="1315" spans="1:5" x14ac:dyDescent="0.25">
      <c r="A1315" s="8">
        <v>44724</v>
      </c>
      <c r="B1315" t="s">
        <v>17</v>
      </c>
      <c r="C1315">
        <v>2294</v>
      </c>
      <c r="D1315" t="s">
        <v>8</v>
      </c>
      <c r="E1315" t="str">
        <f>IF(june[[#This Row],[ShiftCounter]]&gt;0, "Running", "Down")</f>
        <v>Running</v>
      </c>
    </row>
    <row r="1316" spans="1:5" x14ac:dyDescent="0.25">
      <c r="A1316" s="8">
        <v>44724</v>
      </c>
      <c r="B1316" t="s">
        <v>19</v>
      </c>
      <c r="C1316">
        <v>1321</v>
      </c>
      <c r="D1316" t="s">
        <v>6</v>
      </c>
      <c r="E1316" t="str">
        <f>IF(june[[#This Row],[ShiftCounter]]&gt;0, "Running", "Down")</f>
        <v>Running</v>
      </c>
    </row>
    <row r="1317" spans="1:5" x14ac:dyDescent="0.25">
      <c r="A1317" s="8">
        <v>44724</v>
      </c>
      <c r="B1317" t="s">
        <v>19</v>
      </c>
      <c r="C1317">
        <v>2013</v>
      </c>
      <c r="D1317" t="s">
        <v>7</v>
      </c>
      <c r="E1317" t="str">
        <f>IF(june[[#This Row],[ShiftCounter]]&gt;0, "Running", "Down")</f>
        <v>Running</v>
      </c>
    </row>
    <row r="1318" spans="1:5" x14ac:dyDescent="0.25">
      <c r="A1318" s="8">
        <v>44724</v>
      </c>
      <c r="B1318" t="s">
        <v>19</v>
      </c>
      <c r="C1318">
        <v>1902</v>
      </c>
      <c r="D1318" t="s">
        <v>8</v>
      </c>
      <c r="E1318" t="str">
        <f>IF(june[[#This Row],[ShiftCounter]]&gt;0, "Running", "Down")</f>
        <v>Running</v>
      </c>
    </row>
    <row r="1319" spans="1:5" x14ac:dyDescent="0.25">
      <c r="A1319" s="8">
        <v>44724</v>
      </c>
      <c r="B1319" t="s">
        <v>18</v>
      </c>
      <c r="C1319">
        <v>2334</v>
      </c>
      <c r="D1319" t="s">
        <v>6</v>
      </c>
      <c r="E1319" t="str">
        <f>IF(june[[#This Row],[ShiftCounter]]&gt;0, "Running", "Down")</f>
        <v>Running</v>
      </c>
    </row>
    <row r="1320" spans="1:5" x14ac:dyDescent="0.25">
      <c r="A1320" s="8">
        <v>44724</v>
      </c>
      <c r="B1320" t="s">
        <v>18</v>
      </c>
      <c r="C1320">
        <v>2282</v>
      </c>
      <c r="D1320" t="s">
        <v>7</v>
      </c>
      <c r="E1320" t="str">
        <f>IF(june[[#This Row],[ShiftCounter]]&gt;0, "Running", "Down")</f>
        <v>Running</v>
      </c>
    </row>
    <row r="1321" spans="1:5" x14ac:dyDescent="0.25">
      <c r="A1321" s="8">
        <v>44724</v>
      </c>
      <c r="B1321" t="s">
        <v>18</v>
      </c>
      <c r="C1321">
        <v>2258</v>
      </c>
      <c r="D1321" t="s">
        <v>8</v>
      </c>
      <c r="E1321" t="str">
        <f>IF(june[[#This Row],[ShiftCounter]]&gt;0, "Running", "Down")</f>
        <v>Running</v>
      </c>
    </row>
    <row r="1322" spans="1:5" x14ac:dyDescent="0.25">
      <c r="A1322" s="8">
        <v>44724</v>
      </c>
      <c r="B1322" t="s">
        <v>42</v>
      </c>
      <c r="C1322">
        <v>2000</v>
      </c>
      <c r="D1322" t="s">
        <v>6</v>
      </c>
      <c r="E1322" t="str">
        <f>IF(june[[#This Row],[ShiftCounter]]&gt;0, "Running", "Down")</f>
        <v>Running</v>
      </c>
    </row>
    <row r="1323" spans="1:5" x14ac:dyDescent="0.25">
      <c r="A1323" s="8">
        <v>44724</v>
      </c>
      <c r="B1323" t="s">
        <v>42</v>
      </c>
      <c r="C1323">
        <v>1975</v>
      </c>
      <c r="D1323" t="s">
        <v>7</v>
      </c>
      <c r="E1323" t="str">
        <f>IF(june[[#This Row],[ShiftCounter]]&gt;0, "Running", "Down")</f>
        <v>Running</v>
      </c>
    </row>
    <row r="1324" spans="1:5" x14ac:dyDescent="0.25">
      <c r="A1324" s="8">
        <v>44724</v>
      </c>
      <c r="B1324" t="s">
        <v>42</v>
      </c>
      <c r="C1324">
        <v>1825</v>
      </c>
      <c r="D1324" t="s">
        <v>8</v>
      </c>
      <c r="E1324" t="str">
        <f>IF(june[[#This Row],[ShiftCounter]]&gt;0, "Running", "Down")</f>
        <v>Running</v>
      </c>
    </row>
    <row r="1325" spans="1:5" x14ac:dyDescent="0.25">
      <c r="A1325" s="8">
        <v>44724</v>
      </c>
      <c r="B1325" t="s">
        <v>38</v>
      </c>
      <c r="C1325">
        <v>2398</v>
      </c>
      <c r="D1325" t="s">
        <v>6</v>
      </c>
      <c r="E1325" t="str">
        <f>IF(june[[#This Row],[ShiftCounter]]&gt;0, "Running", "Down")</f>
        <v>Running</v>
      </c>
    </row>
    <row r="1326" spans="1:5" x14ac:dyDescent="0.25">
      <c r="A1326" s="8">
        <v>44724</v>
      </c>
      <c r="B1326" t="s">
        <v>38</v>
      </c>
      <c r="C1326">
        <v>2383</v>
      </c>
      <c r="D1326" t="s">
        <v>7</v>
      </c>
      <c r="E1326" t="str">
        <f>IF(june[[#This Row],[ShiftCounter]]&gt;0, "Running", "Down")</f>
        <v>Running</v>
      </c>
    </row>
    <row r="1327" spans="1:5" x14ac:dyDescent="0.25">
      <c r="A1327" s="8">
        <v>44724</v>
      </c>
      <c r="B1327" t="s">
        <v>38</v>
      </c>
      <c r="C1327">
        <v>2172</v>
      </c>
      <c r="D1327" t="s">
        <v>8</v>
      </c>
      <c r="E1327" t="str">
        <f>IF(june[[#This Row],[ShiftCounter]]&gt;0, "Running", "Down")</f>
        <v>Running</v>
      </c>
    </row>
    <row r="1328" spans="1:5" x14ac:dyDescent="0.25">
      <c r="A1328" s="8">
        <v>44724</v>
      </c>
      <c r="B1328" t="s">
        <v>20</v>
      </c>
      <c r="C1328">
        <v>2045</v>
      </c>
      <c r="D1328" t="s">
        <v>6</v>
      </c>
      <c r="E1328" t="str">
        <f>IF(june[[#This Row],[ShiftCounter]]&gt;0, "Running", "Down")</f>
        <v>Running</v>
      </c>
    </row>
    <row r="1329" spans="1:5" x14ac:dyDescent="0.25">
      <c r="A1329" s="8">
        <v>44724</v>
      </c>
      <c r="B1329" t="s">
        <v>20</v>
      </c>
      <c r="C1329">
        <v>2053</v>
      </c>
      <c r="D1329" t="s">
        <v>7</v>
      </c>
      <c r="E1329" t="str">
        <f>IF(june[[#This Row],[ShiftCounter]]&gt;0, "Running", "Down")</f>
        <v>Running</v>
      </c>
    </row>
    <row r="1330" spans="1:5" x14ac:dyDescent="0.25">
      <c r="A1330" s="8">
        <v>44724</v>
      </c>
      <c r="B1330" t="s">
        <v>20</v>
      </c>
      <c r="C1330">
        <v>1878</v>
      </c>
      <c r="D1330" t="s">
        <v>8</v>
      </c>
      <c r="E1330" t="str">
        <f>IF(june[[#This Row],[ShiftCounter]]&gt;0, "Running", "Down")</f>
        <v>Running</v>
      </c>
    </row>
    <row r="1331" spans="1:5" x14ac:dyDescent="0.25">
      <c r="A1331" s="8">
        <v>44724</v>
      </c>
      <c r="B1331" t="s">
        <v>21</v>
      </c>
      <c r="C1331">
        <v>2097</v>
      </c>
      <c r="D1331" t="s">
        <v>6</v>
      </c>
      <c r="E1331" t="str">
        <f>IF(june[[#This Row],[ShiftCounter]]&gt;0, "Running", "Down")</f>
        <v>Running</v>
      </c>
    </row>
    <row r="1332" spans="1:5" x14ac:dyDescent="0.25">
      <c r="A1332" s="8">
        <v>44724</v>
      </c>
      <c r="B1332" t="s">
        <v>21</v>
      </c>
      <c r="C1332">
        <v>2100</v>
      </c>
      <c r="D1332" t="s">
        <v>7</v>
      </c>
      <c r="E1332" t="str">
        <f>IF(june[[#This Row],[ShiftCounter]]&gt;0, "Running", "Down")</f>
        <v>Running</v>
      </c>
    </row>
    <row r="1333" spans="1:5" x14ac:dyDescent="0.25">
      <c r="A1333" s="8">
        <v>44724</v>
      </c>
      <c r="B1333" t="s">
        <v>21</v>
      </c>
      <c r="C1333">
        <v>1929</v>
      </c>
      <c r="D1333" t="s">
        <v>8</v>
      </c>
      <c r="E1333" t="str">
        <f>IF(june[[#This Row],[ShiftCounter]]&gt;0, "Running", "Down")</f>
        <v>Running</v>
      </c>
    </row>
    <row r="1334" spans="1:5" x14ac:dyDescent="0.25">
      <c r="A1334" s="8">
        <v>44724</v>
      </c>
      <c r="B1334" t="s">
        <v>22</v>
      </c>
      <c r="C1334">
        <v>2422</v>
      </c>
      <c r="D1334" t="s">
        <v>6</v>
      </c>
      <c r="E1334" t="str">
        <f>IF(june[[#This Row],[ShiftCounter]]&gt;0, "Running", "Down")</f>
        <v>Running</v>
      </c>
    </row>
    <row r="1335" spans="1:5" x14ac:dyDescent="0.25">
      <c r="A1335" s="8">
        <v>44724</v>
      </c>
      <c r="B1335" t="s">
        <v>22</v>
      </c>
      <c r="C1335">
        <v>2353</v>
      </c>
      <c r="D1335" t="s">
        <v>7</v>
      </c>
      <c r="E1335" t="str">
        <f>IF(june[[#This Row],[ShiftCounter]]&gt;0, "Running", "Down")</f>
        <v>Running</v>
      </c>
    </row>
    <row r="1336" spans="1:5" x14ac:dyDescent="0.25">
      <c r="A1336" s="8">
        <v>44724</v>
      </c>
      <c r="B1336" t="s">
        <v>22</v>
      </c>
      <c r="C1336">
        <v>2157</v>
      </c>
      <c r="D1336" t="s">
        <v>8</v>
      </c>
      <c r="E1336" t="str">
        <f>IF(june[[#This Row],[ShiftCounter]]&gt;0, "Running", "Down")</f>
        <v>Running</v>
      </c>
    </row>
    <row r="1337" spans="1:5" x14ac:dyDescent="0.25">
      <c r="A1337" s="8">
        <v>44724</v>
      </c>
      <c r="B1337" t="s">
        <v>23</v>
      </c>
      <c r="C1337">
        <v>2345</v>
      </c>
      <c r="D1337" t="s">
        <v>6</v>
      </c>
      <c r="E1337" t="str">
        <f>IF(june[[#This Row],[ShiftCounter]]&gt;0, "Running", "Down")</f>
        <v>Running</v>
      </c>
    </row>
    <row r="1338" spans="1:5" x14ac:dyDescent="0.25">
      <c r="A1338" s="8">
        <v>44724</v>
      </c>
      <c r="B1338" t="s">
        <v>23</v>
      </c>
      <c r="C1338">
        <v>2374</v>
      </c>
      <c r="D1338" t="s">
        <v>7</v>
      </c>
      <c r="E1338" t="str">
        <f>IF(june[[#This Row],[ShiftCounter]]&gt;0, "Running", "Down")</f>
        <v>Running</v>
      </c>
    </row>
    <row r="1339" spans="1:5" x14ac:dyDescent="0.25">
      <c r="A1339" s="8">
        <v>44724</v>
      </c>
      <c r="B1339" t="s">
        <v>23</v>
      </c>
      <c r="C1339">
        <v>2187</v>
      </c>
      <c r="D1339" t="s">
        <v>8</v>
      </c>
      <c r="E1339" t="str">
        <f>IF(june[[#This Row],[ShiftCounter]]&gt;0, "Running", "Down")</f>
        <v>Running</v>
      </c>
    </row>
    <row r="1340" spans="1:5" x14ac:dyDescent="0.25">
      <c r="A1340" s="8">
        <v>44724</v>
      </c>
      <c r="B1340" t="s">
        <v>24</v>
      </c>
      <c r="C1340">
        <v>2116</v>
      </c>
      <c r="D1340" t="s">
        <v>6</v>
      </c>
      <c r="E1340" t="str">
        <f>IF(june[[#This Row],[ShiftCounter]]&gt;0, "Running", "Down")</f>
        <v>Running</v>
      </c>
    </row>
    <row r="1341" spans="1:5" x14ac:dyDescent="0.25">
      <c r="A1341" s="8">
        <v>44724</v>
      </c>
      <c r="B1341" t="s">
        <v>24</v>
      </c>
      <c r="C1341">
        <v>2048</v>
      </c>
      <c r="D1341" t="s">
        <v>7</v>
      </c>
      <c r="E1341" t="str">
        <f>IF(june[[#This Row],[ShiftCounter]]&gt;0, "Running", "Down")</f>
        <v>Running</v>
      </c>
    </row>
    <row r="1342" spans="1:5" x14ac:dyDescent="0.25">
      <c r="A1342" s="8">
        <v>44724</v>
      </c>
      <c r="B1342" t="s">
        <v>24</v>
      </c>
      <c r="C1342">
        <v>1860</v>
      </c>
      <c r="D1342" t="s">
        <v>8</v>
      </c>
      <c r="E1342" t="str">
        <f>IF(june[[#This Row],[ShiftCounter]]&gt;0, "Running", "Down")</f>
        <v>Running</v>
      </c>
    </row>
    <row r="1343" spans="1:5" x14ac:dyDescent="0.25">
      <c r="A1343" s="8">
        <v>44724</v>
      </c>
      <c r="B1343" t="s">
        <v>75</v>
      </c>
      <c r="C1343">
        <v>2299</v>
      </c>
      <c r="D1343" t="s">
        <v>6</v>
      </c>
      <c r="E1343" t="str">
        <f>IF(june[[#This Row],[ShiftCounter]]&gt;0, "Running", "Down")</f>
        <v>Running</v>
      </c>
    </row>
    <row r="1344" spans="1:5" x14ac:dyDescent="0.25">
      <c r="A1344" s="8">
        <v>44724</v>
      </c>
      <c r="B1344" t="s">
        <v>75</v>
      </c>
      <c r="C1344">
        <v>2144</v>
      </c>
      <c r="D1344" t="s">
        <v>7</v>
      </c>
      <c r="E1344" t="str">
        <f>IF(june[[#This Row],[ShiftCounter]]&gt;0, "Running", "Down")</f>
        <v>Running</v>
      </c>
    </row>
    <row r="1345" spans="1:5" x14ac:dyDescent="0.25">
      <c r="A1345" s="8">
        <v>44724</v>
      </c>
      <c r="B1345" t="s">
        <v>75</v>
      </c>
      <c r="C1345">
        <v>2105</v>
      </c>
      <c r="D1345" t="s">
        <v>8</v>
      </c>
      <c r="E1345" t="str">
        <f>IF(june[[#This Row],[ShiftCounter]]&gt;0, "Running", "Down")</f>
        <v>Running</v>
      </c>
    </row>
    <row r="1346" spans="1:5" x14ac:dyDescent="0.25">
      <c r="A1346" s="8">
        <v>44724</v>
      </c>
      <c r="B1346" t="s">
        <v>25</v>
      </c>
      <c r="C1346">
        <v>2290</v>
      </c>
      <c r="D1346" t="s">
        <v>6</v>
      </c>
      <c r="E1346" t="str">
        <f>IF(june[[#This Row],[ShiftCounter]]&gt;0, "Running", "Down")</f>
        <v>Running</v>
      </c>
    </row>
    <row r="1347" spans="1:5" x14ac:dyDescent="0.25">
      <c r="A1347" s="8">
        <v>44724</v>
      </c>
      <c r="B1347" t="s">
        <v>25</v>
      </c>
      <c r="C1347">
        <v>2072</v>
      </c>
      <c r="D1347" t="s">
        <v>7</v>
      </c>
      <c r="E1347" t="str">
        <f>IF(june[[#This Row],[ShiftCounter]]&gt;0, "Running", "Down")</f>
        <v>Running</v>
      </c>
    </row>
    <row r="1348" spans="1:5" x14ac:dyDescent="0.25">
      <c r="A1348" s="8">
        <v>44724</v>
      </c>
      <c r="B1348" t="s">
        <v>25</v>
      </c>
      <c r="C1348">
        <v>1978</v>
      </c>
      <c r="D1348" t="s">
        <v>8</v>
      </c>
      <c r="E1348" t="str">
        <f>IF(june[[#This Row],[ShiftCounter]]&gt;0, "Running", "Down")</f>
        <v>Running</v>
      </c>
    </row>
    <row r="1349" spans="1:5" x14ac:dyDescent="0.25">
      <c r="A1349" s="8">
        <v>44724</v>
      </c>
      <c r="B1349" t="s">
        <v>26</v>
      </c>
      <c r="C1349">
        <v>2054</v>
      </c>
      <c r="D1349" t="s">
        <v>6</v>
      </c>
      <c r="E1349" t="str">
        <f>IF(june[[#This Row],[ShiftCounter]]&gt;0, "Running", "Down")</f>
        <v>Running</v>
      </c>
    </row>
    <row r="1350" spans="1:5" x14ac:dyDescent="0.25">
      <c r="A1350" s="8">
        <v>44724</v>
      </c>
      <c r="B1350" t="s">
        <v>26</v>
      </c>
      <c r="C1350">
        <v>1969</v>
      </c>
      <c r="D1350" t="s">
        <v>7</v>
      </c>
      <c r="E1350" t="str">
        <f>IF(june[[#This Row],[ShiftCounter]]&gt;0, "Running", "Down")</f>
        <v>Running</v>
      </c>
    </row>
    <row r="1351" spans="1:5" x14ac:dyDescent="0.25">
      <c r="A1351" s="8">
        <v>44724</v>
      </c>
      <c r="B1351" t="s">
        <v>26</v>
      </c>
      <c r="C1351">
        <v>1803</v>
      </c>
      <c r="D1351" t="s">
        <v>8</v>
      </c>
      <c r="E1351" t="str">
        <f>IF(june[[#This Row],[ShiftCounter]]&gt;0, "Running", "Down")</f>
        <v>Running</v>
      </c>
    </row>
    <row r="1352" spans="1:5" x14ac:dyDescent="0.25">
      <c r="A1352" s="8">
        <v>44724</v>
      </c>
      <c r="B1352" t="s">
        <v>27</v>
      </c>
      <c r="C1352">
        <v>2293</v>
      </c>
      <c r="D1352" t="s">
        <v>6</v>
      </c>
      <c r="E1352" t="str">
        <f>IF(june[[#This Row],[ShiftCounter]]&gt;0, "Running", "Down")</f>
        <v>Running</v>
      </c>
    </row>
    <row r="1353" spans="1:5" x14ac:dyDescent="0.25">
      <c r="A1353" s="8">
        <v>44724</v>
      </c>
      <c r="B1353" t="s">
        <v>27</v>
      </c>
      <c r="C1353">
        <v>2192</v>
      </c>
      <c r="D1353" t="s">
        <v>7</v>
      </c>
      <c r="E1353" t="str">
        <f>IF(june[[#This Row],[ShiftCounter]]&gt;0, "Running", "Down")</f>
        <v>Running</v>
      </c>
    </row>
    <row r="1354" spans="1:5" x14ac:dyDescent="0.25">
      <c r="A1354" s="8">
        <v>44724</v>
      </c>
      <c r="B1354" t="s">
        <v>27</v>
      </c>
      <c r="C1354">
        <v>1926</v>
      </c>
      <c r="D1354" t="s">
        <v>8</v>
      </c>
      <c r="E1354" t="str">
        <f>IF(june[[#This Row],[ShiftCounter]]&gt;0, "Running", "Down")</f>
        <v>Running</v>
      </c>
    </row>
    <row r="1355" spans="1:5" x14ac:dyDescent="0.25">
      <c r="A1355" s="8">
        <v>44724</v>
      </c>
      <c r="B1355" t="s">
        <v>28</v>
      </c>
      <c r="C1355">
        <v>2182</v>
      </c>
      <c r="D1355" t="s">
        <v>6</v>
      </c>
      <c r="E1355" t="str">
        <f>IF(june[[#This Row],[ShiftCounter]]&gt;0, "Running", "Down")</f>
        <v>Running</v>
      </c>
    </row>
    <row r="1356" spans="1:5" x14ac:dyDescent="0.25">
      <c r="A1356" s="8">
        <v>44724</v>
      </c>
      <c r="B1356" t="s">
        <v>28</v>
      </c>
      <c r="C1356">
        <v>2193</v>
      </c>
      <c r="D1356" t="s">
        <v>7</v>
      </c>
      <c r="E1356" t="str">
        <f>IF(june[[#This Row],[ShiftCounter]]&gt;0, "Running", "Down")</f>
        <v>Running</v>
      </c>
    </row>
    <row r="1357" spans="1:5" x14ac:dyDescent="0.25">
      <c r="A1357" s="8">
        <v>44724</v>
      </c>
      <c r="B1357" t="s">
        <v>28</v>
      </c>
      <c r="C1357">
        <v>1944</v>
      </c>
      <c r="D1357" t="s">
        <v>8</v>
      </c>
      <c r="E1357" t="str">
        <f>IF(june[[#This Row],[ShiftCounter]]&gt;0, "Running", "Down")</f>
        <v>Running</v>
      </c>
    </row>
    <row r="1358" spans="1:5" x14ac:dyDescent="0.25">
      <c r="A1358" s="8">
        <v>44724</v>
      </c>
      <c r="B1358" t="s">
        <v>29</v>
      </c>
      <c r="C1358">
        <v>2198</v>
      </c>
      <c r="D1358" t="s">
        <v>6</v>
      </c>
      <c r="E1358" t="str">
        <f>IF(june[[#This Row],[ShiftCounter]]&gt;0, "Running", "Down")</f>
        <v>Running</v>
      </c>
    </row>
    <row r="1359" spans="1:5" x14ac:dyDescent="0.25">
      <c r="A1359" s="8">
        <v>44724</v>
      </c>
      <c r="B1359" t="s">
        <v>29</v>
      </c>
      <c r="C1359">
        <v>2182</v>
      </c>
      <c r="D1359" t="s">
        <v>7</v>
      </c>
      <c r="E1359" t="str">
        <f>IF(june[[#This Row],[ShiftCounter]]&gt;0, "Running", "Down")</f>
        <v>Running</v>
      </c>
    </row>
    <row r="1360" spans="1:5" x14ac:dyDescent="0.25">
      <c r="A1360" s="8">
        <v>44724</v>
      </c>
      <c r="B1360" t="s">
        <v>29</v>
      </c>
      <c r="C1360">
        <v>1903</v>
      </c>
      <c r="D1360" t="s">
        <v>8</v>
      </c>
      <c r="E1360" t="str">
        <f>IF(june[[#This Row],[ShiftCounter]]&gt;0, "Running", "Down")</f>
        <v>Running</v>
      </c>
    </row>
    <row r="1361" spans="1:5" x14ac:dyDescent="0.25">
      <c r="A1361" s="8">
        <v>44724</v>
      </c>
      <c r="B1361" t="s">
        <v>30</v>
      </c>
      <c r="C1361">
        <v>2265</v>
      </c>
      <c r="D1361" t="s">
        <v>6</v>
      </c>
      <c r="E1361" t="str">
        <f>IF(june[[#This Row],[ShiftCounter]]&gt;0, "Running", "Down")</f>
        <v>Running</v>
      </c>
    </row>
    <row r="1362" spans="1:5" x14ac:dyDescent="0.25">
      <c r="A1362" s="8">
        <v>44724</v>
      </c>
      <c r="B1362" t="s">
        <v>30</v>
      </c>
      <c r="C1362">
        <v>2254</v>
      </c>
      <c r="D1362" t="s">
        <v>7</v>
      </c>
      <c r="E1362" t="str">
        <f>IF(june[[#This Row],[ShiftCounter]]&gt;0, "Running", "Down")</f>
        <v>Running</v>
      </c>
    </row>
    <row r="1363" spans="1:5" x14ac:dyDescent="0.25">
      <c r="A1363" s="8">
        <v>44724</v>
      </c>
      <c r="B1363" t="s">
        <v>30</v>
      </c>
      <c r="C1363">
        <v>2002</v>
      </c>
      <c r="D1363" t="s">
        <v>8</v>
      </c>
      <c r="E1363" t="str">
        <f>IF(june[[#This Row],[ShiftCounter]]&gt;0, "Running", "Down")</f>
        <v>Running</v>
      </c>
    </row>
    <row r="1364" spans="1:5" x14ac:dyDescent="0.25">
      <c r="A1364" s="8">
        <v>44724</v>
      </c>
      <c r="B1364" t="s">
        <v>31</v>
      </c>
      <c r="C1364">
        <v>2197</v>
      </c>
      <c r="D1364" t="s">
        <v>6</v>
      </c>
      <c r="E1364" t="str">
        <f>IF(june[[#This Row],[ShiftCounter]]&gt;0, "Running", "Down")</f>
        <v>Running</v>
      </c>
    </row>
    <row r="1365" spans="1:5" x14ac:dyDescent="0.25">
      <c r="A1365" s="8">
        <v>44724</v>
      </c>
      <c r="B1365" t="s">
        <v>31</v>
      </c>
      <c r="C1365">
        <v>2262</v>
      </c>
      <c r="D1365" t="s">
        <v>7</v>
      </c>
      <c r="E1365" t="str">
        <f>IF(june[[#This Row],[ShiftCounter]]&gt;0, "Running", "Down")</f>
        <v>Running</v>
      </c>
    </row>
    <row r="1366" spans="1:5" x14ac:dyDescent="0.25">
      <c r="A1366" s="8">
        <v>44724</v>
      </c>
      <c r="B1366" t="s">
        <v>31</v>
      </c>
      <c r="C1366">
        <v>1958</v>
      </c>
      <c r="D1366" t="s">
        <v>8</v>
      </c>
      <c r="E1366" t="str">
        <f>IF(june[[#This Row],[ShiftCounter]]&gt;0, "Running", "Down")</f>
        <v>Running</v>
      </c>
    </row>
    <row r="1367" spans="1:5" x14ac:dyDescent="0.25">
      <c r="A1367" s="8">
        <v>44724</v>
      </c>
      <c r="B1367" t="s">
        <v>67</v>
      </c>
      <c r="C1367">
        <v>2218</v>
      </c>
      <c r="D1367" t="s">
        <v>6</v>
      </c>
      <c r="E1367" t="str">
        <f>IF(june[[#This Row],[ShiftCounter]]&gt;0, "Running", "Down")</f>
        <v>Running</v>
      </c>
    </row>
    <row r="1368" spans="1:5" x14ac:dyDescent="0.25">
      <c r="A1368" s="8">
        <v>44724</v>
      </c>
      <c r="B1368" t="s">
        <v>67</v>
      </c>
      <c r="C1368">
        <v>2186</v>
      </c>
      <c r="D1368" t="s">
        <v>7</v>
      </c>
      <c r="E1368" t="str">
        <f>IF(june[[#This Row],[ShiftCounter]]&gt;0, "Running", "Down")</f>
        <v>Running</v>
      </c>
    </row>
    <row r="1369" spans="1:5" x14ac:dyDescent="0.25">
      <c r="A1369" s="8">
        <v>44724</v>
      </c>
      <c r="B1369" t="s">
        <v>67</v>
      </c>
      <c r="C1369">
        <v>1237</v>
      </c>
      <c r="D1369" t="s">
        <v>8</v>
      </c>
      <c r="E1369" t="str">
        <f>IF(june[[#This Row],[ShiftCounter]]&gt;0, "Running", "Down")</f>
        <v>Running</v>
      </c>
    </row>
    <row r="1370" spans="1:5" x14ac:dyDescent="0.25">
      <c r="A1370" s="8">
        <v>44724</v>
      </c>
      <c r="B1370" t="s">
        <v>33</v>
      </c>
      <c r="C1370">
        <v>2525</v>
      </c>
      <c r="D1370" t="s">
        <v>6</v>
      </c>
      <c r="E1370" t="str">
        <f>IF(june[[#This Row],[ShiftCounter]]&gt;0, "Running", "Down")</f>
        <v>Running</v>
      </c>
    </row>
    <row r="1371" spans="1:5" x14ac:dyDescent="0.25">
      <c r="A1371" s="8">
        <v>44724</v>
      </c>
      <c r="B1371" t="s">
        <v>33</v>
      </c>
      <c r="C1371">
        <v>2385</v>
      </c>
      <c r="D1371" t="s">
        <v>7</v>
      </c>
      <c r="E1371" t="str">
        <f>IF(june[[#This Row],[ShiftCounter]]&gt;0, "Running", "Down")</f>
        <v>Running</v>
      </c>
    </row>
    <row r="1372" spans="1:5" x14ac:dyDescent="0.25">
      <c r="A1372" s="8">
        <v>44724</v>
      </c>
      <c r="B1372" t="s">
        <v>33</v>
      </c>
      <c r="C1372">
        <v>2253</v>
      </c>
      <c r="D1372" t="s">
        <v>8</v>
      </c>
      <c r="E1372" t="str">
        <f>IF(june[[#This Row],[ShiftCounter]]&gt;0, "Running", "Down")</f>
        <v>Running</v>
      </c>
    </row>
    <row r="1373" spans="1:5" x14ac:dyDescent="0.25">
      <c r="A1373" s="8">
        <v>44724</v>
      </c>
      <c r="B1373" t="s">
        <v>34</v>
      </c>
      <c r="C1373">
        <v>1806</v>
      </c>
      <c r="D1373" t="s">
        <v>6</v>
      </c>
      <c r="E1373" t="str">
        <f>IF(june[[#This Row],[ShiftCounter]]&gt;0, "Running", "Down")</f>
        <v>Running</v>
      </c>
    </row>
    <row r="1374" spans="1:5" x14ac:dyDescent="0.25">
      <c r="A1374" s="8">
        <v>44724</v>
      </c>
      <c r="B1374" t="s">
        <v>34</v>
      </c>
      <c r="C1374">
        <v>1926</v>
      </c>
      <c r="D1374" t="s">
        <v>7</v>
      </c>
      <c r="E1374" t="str">
        <f>IF(june[[#This Row],[ShiftCounter]]&gt;0, "Running", "Down")</f>
        <v>Running</v>
      </c>
    </row>
    <row r="1375" spans="1:5" x14ac:dyDescent="0.25">
      <c r="A1375" s="8">
        <v>44724</v>
      </c>
      <c r="B1375" t="s">
        <v>34</v>
      </c>
      <c r="C1375">
        <v>1868</v>
      </c>
      <c r="D1375" t="s">
        <v>8</v>
      </c>
      <c r="E1375" t="str">
        <f>IF(june[[#This Row],[ShiftCounter]]&gt;0, "Running", "Down")</f>
        <v>Running</v>
      </c>
    </row>
    <row r="1376" spans="1:5" x14ac:dyDescent="0.25">
      <c r="A1376" s="8">
        <v>44724</v>
      </c>
      <c r="B1376" t="s">
        <v>35</v>
      </c>
      <c r="C1376">
        <v>1963</v>
      </c>
      <c r="D1376" t="s">
        <v>6</v>
      </c>
      <c r="E1376" t="str">
        <f>IF(june[[#This Row],[ShiftCounter]]&gt;0, "Running", "Down")</f>
        <v>Running</v>
      </c>
    </row>
    <row r="1377" spans="1:5" x14ac:dyDescent="0.25">
      <c r="A1377" s="8">
        <v>44724</v>
      </c>
      <c r="B1377" t="s">
        <v>35</v>
      </c>
      <c r="C1377">
        <v>2104</v>
      </c>
      <c r="D1377" t="s">
        <v>7</v>
      </c>
      <c r="E1377" t="str">
        <f>IF(june[[#This Row],[ShiftCounter]]&gt;0, "Running", "Down")</f>
        <v>Running</v>
      </c>
    </row>
    <row r="1378" spans="1:5" x14ac:dyDescent="0.25">
      <c r="A1378" s="8">
        <v>44724</v>
      </c>
      <c r="B1378" t="s">
        <v>35</v>
      </c>
      <c r="C1378">
        <v>2009</v>
      </c>
      <c r="D1378" t="s">
        <v>8</v>
      </c>
      <c r="E1378" t="str">
        <f>IF(june[[#This Row],[ShiftCounter]]&gt;0, "Running", "Down")</f>
        <v>Running</v>
      </c>
    </row>
    <row r="1379" spans="1:5" x14ac:dyDescent="0.25">
      <c r="A1379" s="8">
        <v>44724</v>
      </c>
      <c r="B1379" t="s">
        <v>36</v>
      </c>
      <c r="C1379">
        <v>0</v>
      </c>
      <c r="D1379" t="s">
        <v>6</v>
      </c>
      <c r="E1379" t="str">
        <f>IF(june[[#This Row],[ShiftCounter]]&gt;0, "Running", "Down")</f>
        <v>Down</v>
      </c>
    </row>
    <row r="1380" spans="1:5" x14ac:dyDescent="0.25">
      <c r="A1380" s="8">
        <v>44724</v>
      </c>
      <c r="B1380" t="s">
        <v>36</v>
      </c>
      <c r="C1380">
        <v>1885</v>
      </c>
      <c r="D1380" t="s">
        <v>7</v>
      </c>
      <c r="E1380" t="str">
        <f>IF(june[[#This Row],[ShiftCounter]]&gt;0, "Running", "Down")</f>
        <v>Running</v>
      </c>
    </row>
    <row r="1381" spans="1:5" x14ac:dyDescent="0.25">
      <c r="A1381" s="8">
        <v>44724</v>
      </c>
      <c r="B1381" t="s">
        <v>36</v>
      </c>
      <c r="C1381">
        <v>2139</v>
      </c>
      <c r="D1381" t="s">
        <v>8</v>
      </c>
      <c r="E1381" t="str">
        <f>IF(june[[#This Row],[ShiftCounter]]&gt;0, "Running", "Down")</f>
        <v>Running</v>
      </c>
    </row>
    <row r="1382" spans="1:5" x14ac:dyDescent="0.25">
      <c r="A1382" s="8">
        <v>44724</v>
      </c>
      <c r="B1382" t="s">
        <v>37</v>
      </c>
      <c r="C1382">
        <v>2464</v>
      </c>
      <c r="D1382" t="s">
        <v>6</v>
      </c>
      <c r="E1382" t="str">
        <f>IF(june[[#This Row],[ShiftCounter]]&gt;0, "Running", "Down")</f>
        <v>Running</v>
      </c>
    </row>
    <row r="1383" spans="1:5" x14ac:dyDescent="0.25">
      <c r="A1383" s="8">
        <v>44724</v>
      </c>
      <c r="B1383" t="s">
        <v>37</v>
      </c>
      <c r="C1383">
        <v>2325</v>
      </c>
      <c r="D1383" t="s">
        <v>7</v>
      </c>
      <c r="E1383" t="str">
        <f>IF(june[[#This Row],[ShiftCounter]]&gt;0, "Running", "Down")</f>
        <v>Running</v>
      </c>
    </row>
    <row r="1384" spans="1:5" x14ac:dyDescent="0.25">
      <c r="A1384" s="8">
        <v>44724</v>
      </c>
      <c r="B1384" t="s">
        <v>37</v>
      </c>
      <c r="C1384">
        <v>2251</v>
      </c>
      <c r="D1384" t="s">
        <v>8</v>
      </c>
      <c r="E1384" t="str">
        <f>IF(june[[#This Row],[ShiftCounter]]&gt;0, "Running", "Down")</f>
        <v>Running</v>
      </c>
    </row>
    <row r="1385" spans="1:5" x14ac:dyDescent="0.25">
      <c r="A1385" s="8">
        <v>44725</v>
      </c>
      <c r="B1385" t="s">
        <v>39</v>
      </c>
      <c r="C1385">
        <v>2144</v>
      </c>
      <c r="D1385" t="s">
        <v>6</v>
      </c>
      <c r="E1385" t="str">
        <f>IF(june[[#This Row],[ShiftCounter]]&gt;0, "Running", "Down")</f>
        <v>Running</v>
      </c>
    </row>
    <row r="1386" spans="1:5" x14ac:dyDescent="0.25">
      <c r="A1386" s="8">
        <v>44725</v>
      </c>
      <c r="B1386" t="s">
        <v>39</v>
      </c>
      <c r="C1386">
        <v>2160</v>
      </c>
      <c r="D1386" t="s">
        <v>7</v>
      </c>
      <c r="E1386" t="str">
        <f>IF(june[[#This Row],[ShiftCounter]]&gt;0, "Running", "Down")</f>
        <v>Running</v>
      </c>
    </row>
    <row r="1387" spans="1:5" x14ac:dyDescent="0.25">
      <c r="A1387" s="8">
        <v>44725</v>
      </c>
      <c r="B1387" t="s">
        <v>39</v>
      </c>
      <c r="C1387">
        <v>2027</v>
      </c>
      <c r="D1387" t="s">
        <v>8</v>
      </c>
      <c r="E1387" t="str">
        <f>IF(june[[#This Row],[ShiftCounter]]&gt;0, "Running", "Down")</f>
        <v>Running</v>
      </c>
    </row>
    <row r="1388" spans="1:5" x14ac:dyDescent="0.25">
      <c r="A1388" s="8">
        <v>44725</v>
      </c>
      <c r="B1388" t="s">
        <v>135</v>
      </c>
      <c r="C1388">
        <v>2336</v>
      </c>
      <c r="D1388" t="s">
        <v>6</v>
      </c>
      <c r="E1388" t="str">
        <f>IF(june[[#This Row],[ShiftCounter]]&gt;0, "Running", "Down")</f>
        <v>Running</v>
      </c>
    </row>
    <row r="1389" spans="1:5" x14ac:dyDescent="0.25">
      <c r="A1389" s="8">
        <v>44725</v>
      </c>
      <c r="B1389" t="s">
        <v>135</v>
      </c>
      <c r="C1389">
        <v>2159</v>
      </c>
      <c r="D1389" t="s">
        <v>7</v>
      </c>
      <c r="E1389" t="str">
        <f>IF(june[[#This Row],[ShiftCounter]]&gt;0, "Running", "Down")</f>
        <v>Running</v>
      </c>
    </row>
    <row r="1390" spans="1:5" x14ac:dyDescent="0.25">
      <c r="A1390" s="8">
        <v>44725</v>
      </c>
      <c r="B1390" t="s">
        <v>135</v>
      </c>
      <c r="C1390">
        <v>2023</v>
      </c>
      <c r="D1390" t="s">
        <v>8</v>
      </c>
      <c r="E1390" t="str">
        <f>IF(june[[#This Row],[ShiftCounter]]&gt;0, "Running", "Down")</f>
        <v>Running</v>
      </c>
    </row>
    <row r="1391" spans="1:5" x14ac:dyDescent="0.25">
      <c r="A1391" s="8">
        <v>44725</v>
      </c>
      <c r="B1391" t="s">
        <v>40</v>
      </c>
      <c r="C1391">
        <v>2403</v>
      </c>
      <c r="D1391" t="s">
        <v>6</v>
      </c>
      <c r="E1391" t="str">
        <f>IF(june[[#This Row],[ShiftCounter]]&gt;0, "Running", "Down")</f>
        <v>Running</v>
      </c>
    </row>
    <row r="1392" spans="1:5" x14ac:dyDescent="0.25">
      <c r="A1392" s="8">
        <v>44725</v>
      </c>
      <c r="B1392" t="s">
        <v>40</v>
      </c>
      <c r="C1392">
        <v>2315</v>
      </c>
      <c r="D1392" t="s">
        <v>7</v>
      </c>
      <c r="E1392" t="str">
        <f>IF(june[[#This Row],[ShiftCounter]]&gt;0, "Running", "Down")</f>
        <v>Running</v>
      </c>
    </row>
    <row r="1393" spans="1:5" x14ac:dyDescent="0.25">
      <c r="A1393" s="8">
        <v>44725</v>
      </c>
      <c r="B1393" t="s">
        <v>40</v>
      </c>
      <c r="C1393">
        <v>2080</v>
      </c>
      <c r="D1393" t="s">
        <v>8</v>
      </c>
      <c r="E1393" t="str">
        <f>IF(june[[#This Row],[ShiftCounter]]&gt;0, "Running", "Down")</f>
        <v>Running</v>
      </c>
    </row>
    <row r="1394" spans="1:5" x14ac:dyDescent="0.25">
      <c r="A1394" s="8">
        <v>44725</v>
      </c>
      <c r="B1394" t="s">
        <v>41</v>
      </c>
      <c r="C1394">
        <v>2414</v>
      </c>
      <c r="D1394" t="s">
        <v>6</v>
      </c>
      <c r="E1394" t="str">
        <f>IF(june[[#This Row],[ShiftCounter]]&gt;0, "Running", "Down")</f>
        <v>Running</v>
      </c>
    </row>
    <row r="1395" spans="1:5" x14ac:dyDescent="0.25">
      <c r="A1395" s="8">
        <v>44725</v>
      </c>
      <c r="B1395" t="s">
        <v>41</v>
      </c>
      <c r="C1395">
        <v>2252</v>
      </c>
      <c r="D1395" t="s">
        <v>7</v>
      </c>
      <c r="E1395" t="str">
        <f>IF(june[[#This Row],[ShiftCounter]]&gt;0, "Running", "Down")</f>
        <v>Running</v>
      </c>
    </row>
    <row r="1396" spans="1:5" x14ac:dyDescent="0.25">
      <c r="A1396" s="8">
        <v>44725</v>
      </c>
      <c r="B1396" t="s">
        <v>41</v>
      </c>
      <c r="C1396">
        <v>2074</v>
      </c>
      <c r="D1396" t="s">
        <v>8</v>
      </c>
      <c r="E1396" t="str">
        <f>IF(june[[#This Row],[ShiftCounter]]&gt;0, "Running", "Down")</f>
        <v>Running</v>
      </c>
    </row>
    <row r="1397" spans="1:5" x14ac:dyDescent="0.25">
      <c r="A1397" s="8">
        <v>44725</v>
      </c>
      <c r="B1397" t="s">
        <v>5</v>
      </c>
      <c r="C1397">
        <v>2381</v>
      </c>
      <c r="D1397" t="s">
        <v>6</v>
      </c>
      <c r="E1397" t="str">
        <f>IF(june[[#This Row],[ShiftCounter]]&gt;0, "Running", "Down")</f>
        <v>Running</v>
      </c>
    </row>
    <row r="1398" spans="1:5" x14ac:dyDescent="0.25">
      <c r="A1398" s="8">
        <v>44725</v>
      </c>
      <c r="B1398" t="s">
        <v>5</v>
      </c>
      <c r="C1398">
        <v>2238</v>
      </c>
      <c r="D1398" t="s">
        <v>7</v>
      </c>
      <c r="E1398" t="str">
        <f>IF(june[[#This Row],[ShiftCounter]]&gt;0, "Running", "Down")</f>
        <v>Running</v>
      </c>
    </row>
    <row r="1399" spans="1:5" x14ac:dyDescent="0.25">
      <c r="A1399" s="8">
        <v>44725</v>
      </c>
      <c r="B1399" t="s">
        <v>5</v>
      </c>
      <c r="C1399">
        <v>2035</v>
      </c>
      <c r="D1399" t="s">
        <v>8</v>
      </c>
      <c r="E1399" t="str">
        <f>IF(june[[#This Row],[ShiftCounter]]&gt;0, "Running", "Down")</f>
        <v>Running</v>
      </c>
    </row>
    <row r="1400" spans="1:5" x14ac:dyDescent="0.25">
      <c r="A1400" s="8">
        <v>44725</v>
      </c>
      <c r="B1400" t="s">
        <v>9</v>
      </c>
      <c r="C1400">
        <v>2369</v>
      </c>
      <c r="D1400" t="s">
        <v>6</v>
      </c>
      <c r="E1400" t="str">
        <f>IF(june[[#This Row],[ShiftCounter]]&gt;0, "Running", "Down")</f>
        <v>Running</v>
      </c>
    </row>
    <row r="1401" spans="1:5" x14ac:dyDescent="0.25">
      <c r="A1401" s="8">
        <v>44725</v>
      </c>
      <c r="B1401" t="s">
        <v>9</v>
      </c>
      <c r="C1401">
        <v>2247</v>
      </c>
      <c r="D1401" t="s">
        <v>7</v>
      </c>
      <c r="E1401" t="str">
        <f>IF(june[[#This Row],[ShiftCounter]]&gt;0, "Running", "Down")</f>
        <v>Running</v>
      </c>
    </row>
    <row r="1402" spans="1:5" x14ac:dyDescent="0.25">
      <c r="A1402" s="8">
        <v>44725</v>
      </c>
      <c r="B1402" t="s">
        <v>9</v>
      </c>
      <c r="C1402">
        <v>2007</v>
      </c>
      <c r="D1402" t="s">
        <v>8</v>
      </c>
      <c r="E1402" t="str">
        <f>IF(june[[#This Row],[ShiftCounter]]&gt;0, "Running", "Down")</f>
        <v>Running</v>
      </c>
    </row>
    <row r="1403" spans="1:5" x14ac:dyDescent="0.25">
      <c r="A1403" s="8">
        <v>44725</v>
      </c>
      <c r="B1403" t="s">
        <v>10</v>
      </c>
      <c r="C1403">
        <v>2405</v>
      </c>
      <c r="D1403" t="s">
        <v>6</v>
      </c>
      <c r="E1403" t="str">
        <f>IF(june[[#This Row],[ShiftCounter]]&gt;0, "Running", "Down")</f>
        <v>Running</v>
      </c>
    </row>
    <row r="1404" spans="1:5" x14ac:dyDescent="0.25">
      <c r="A1404" s="8">
        <v>44725</v>
      </c>
      <c r="B1404" t="s">
        <v>10</v>
      </c>
      <c r="C1404">
        <v>2353</v>
      </c>
      <c r="D1404" t="s">
        <v>7</v>
      </c>
      <c r="E1404" t="str">
        <f>IF(june[[#This Row],[ShiftCounter]]&gt;0, "Running", "Down")</f>
        <v>Running</v>
      </c>
    </row>
    <row r="1405" spans="1:5" x14ac:dyDescent="0.25">
      <c r="A1405" s="8">
        <v>44725</v>
      </c>
      <c r="B1405" t="s">
        <v>10</v>
      </c>
      <c r="C1405">
        <v>2052</v>
      </c>
      <c r="D1405" t="s">
        <v>8</v>
      </c>
      <c r="E1405" t="str">
        <f>IF(june[[#This Row],[ShiftCounter]]&gt;0, "Running", "Down")</f>
        <v>Running</v>
      </c>
    </row>
    <row r="1406" spans="1:5" x14ac:dyDescent="0.25">
      <c r="A1406" s="8">
        <v>44725</v>
      </c>
      <c r="B1406" t="s">
        <v>11</v>
      </c>
      <c r="C1406">
        <v>2416</v>
      </c>
      <c r="D1406" t="s">
        <v>6</v>
      </c>
      <c r="E1406" t="str">
        <f>IF(june[[#This Row],[ShiftCounter]]&gt;0, "Running", "Down")</f>
        <v>Running</v>
      </c>
    </row>
    <row r="1407" spans="1:5" x14ac:dyDescent="0.25">
      <c r="A1407" s="8">
        <v>44725</v>
      </c>
      <c r="B1407" t="s">
        <v>11</v>
      </c>
      <c r="C1407">
        <v>2251</v>
      </c>
      <c r="D1407" t="s">
        <v>7</v>
      </c>
      <c r="E1407" t="str">
        <f>IF(june[[#This Row],[ShiftCounter]]&gt;0, "Running", "Down")</f>
        <v>Running</v>
      </c>
    </row>
    <row r="1408" spans="1:5" x14ac:dyDescent="0.25">
      <c r="A1408" s="8">
        <v>44725</v>
      </c>
      <c r="B1408" t="s">
        <v>11</v>
      </c>
      <c r="C1408">
        <v>2063</v>
      </c>
      <c r="D1408" t="s">
        <v>8</v>
      </c>
      <c r="E1408" t="str">
        <f>IF(june[[#This Row],[ShiftCounter]]&gt;0, "Running", "Down")</f>
        <v>Running</v>
      </c>
    </row>
    <row r="1409" spans="1:5" x14ac:dyDescent="0.25">
      <c r="A1409" s="8">
        <v>44725</v>
      </c>
      <c r="B1409" t="s">
        <v>12</v>
      </c>
      <c r="C1409">
        <v>2452</v>
      </c>
      <c r="D1409" t="s">
        <v>6</v>
      </c>
      <c r="E1409" t="str">
        <f>IF(june[[#This Row],[ShiftCounter]]&gt;0, "Running", "Down")</f>
        <v>Running</v>
      </c>
    </row>
    <row r="1410" spans="1:5" x14ac:dyDescent="0.25">
      <c r="A1410" s="8">
        <v>44725</v>
      </c>
      <c r="B1410" t="s">
        <v>12</v>
      </c>
      <c r="C1410">
        <v>2245</v>
      </c>
      <c r="D1410" t="s">
        <v>7</v>
      </c>
      <c r="E1410" t="str">
        <f>IF(june[[#This Row],[ShiftCounter]]&gt;0, "Running", "Down")</f>
        <v>Running</v>
      </c>
    </row>
    <row r="1411" spans="1:5" x14ac:dyDescent="0.25">
      <c r="A1411" s="8">
        <v>44725</v>
      </c>
      <c r="B1411" t="s">
        <v>12</v>
      </c>
      <c r="C1411">
        <v>2015</v>
      </c>
      <c r="D1411" t="s">
        <v>8</v>
      </c>
      <c r="E1411" t="str">
        <f>IF(june[[#This Row],[ShiftCounter]]&gt;0, "Running", "Down")</f>
        <v>Running</v>
      </c>
    </row>
    <row r="1412" spans="1:5" x14ac:dyDescent="0.25">
      <c r="A1412" s="8">
        <v>44725</v>
      </c>
      <c r="B1412" t="s">
        <v>13</v>
      </c>
      <c r="C1412">
        <v>2218</v>
      </c>
      <c r="D1412" t="s">
        <v>6</v>
      </c>
      <c r="E1412" t="str">
        <f>IF(june[[#This Row],[ShiftCounter]]&gt;0, "Running", "Down")</f>
        <v>Running</v>
      </c>
    </row>
    <row r="1413" spans="1:5" x14ac:dyDescent="0.25">
      <c r="A1413" s="8">
        <v>44725</v>
      </c>
      <c r="B1413" t="s">
        <v>13</v>
      </c>
      <c r="C1413">
        <v>2072</v>
      </c>
      <c r="D1413" t="s">
        <v>7</v>
      </c>
      <c r="E1413" t="str">
        <f>IF(june[[#This Row],[ShiftCounter]]&gt;0, "Running", "Down")</f>
        <v>Running</v>
      </c>
    </row>
    <row r="1414" spans="1:5" x14ac:dyDescent="0.25">
      <c r="A1414" s="8">
        <v>44725</v>
      </c>
      <c r="B1414" t="s">
        <v>13</v>
      </c>
      <c r="C1414">
        <v>2040</v>
      </c>
      <c r="D1414" t="s">
        <v>8</v>
      </c>
      <c r="E1414" t="str">
        <f>IF(june[[#This Row],[ShiftCounter]]&gt;0, "Running", "Down")</f>
        <v>Running</v>
      </c>
    </row>
    <row r="1415" spans="1:5" x14ac:dyDescent="0.25">
      <c r="A1415" s="8">
        <v>44725</v>
      </c>
      <c r="B1415" t="s">
        <v>101</v>
      </c>
      <c r="C1415">
        <v>2111</v>
      </c>
      <c r="D1415" t="s">
        <v>6</v>
      </c>
      <c r="E1415" t="str">
        <f>IF(june[[#This Row],[ShiftCounter]]&gt;0, "Running", "Down")</f>
        <v>Running</v>
      </c>
    </row>
    <row r="1416" spans="1:5" x14ac:dyDescent="0.25">
      <c r="A1416" s="8">
        <v>44725</v>
      </c>
      <c r="B1416" t="s">
        <v>101</v>
      </c>
      <c r="C1416">
        <v>2017</v>
      </c>
      <c r="D1416" t="s">
        <v>7</v>
      </c>
      <c r="E1416" t="str">
        <f>IF(june[[#This Row],[ShiftCounter]]&gt;0, "Running", "Down")</f>
        <v>Running</v>
      </c>
    </row>
    <row r="1417" spans="1:5" x14ac:dyDescent="0.25">
      <c r="A1417" s="8">
        <v>44725</v>
      </c>
      <c r="B1417" t="s">
        <v>101</v>
      </c>
      <c r="C1417">
        <v>1964</v>
      </c>
      <c r="D1417" t="s">
        <v>8</v>
      </c>
      <c r="E1417" t="str">
        <f>IF(june[[#This Row],[ShiftCounter]]&gt;0, "Running", "Down")</f>
        <v>Running</v>
      </c>
    </row>
    <row r="1418" spans="1:5" x14ac:dyDescent="0.25">
      <c r="A1418" s="8">
        <v>44725</v>
      </c>
      <c r="B1418" t="s">
        <v>14</v>
      </c>
      <c r="C1418">
        <v>2375</v>
      </c>
      <c r="D1418" t="s">
        <v>6</v>
      </c>
      <c r="E1418" t="str">
        <f>IF(june[[#This Row],[ShiftCounter]]&gt;0, "Running", "Down")</f>
        <v>Running</v>
      </c>
    </row>
    <row r="1419" spans="1:5" x14ac:dyDescent="0.25">
      <c r="A1419" s="8">
        <v>44725</v>
      </c>
      <c r="B1419" t="s">
        <v>14</v>
      </c>
      <c r="C1419">
        <v>2233</v>
      </c>
      <c r="D1419" t="s">
        <v>7</v>
      </c>
      <c r="E1419" t="str">
        <f>IF(june[[#This Row],[ShiftCounter]]&gt;0, "Running", "Down")</f>
        <v>Running</v>
      </c>
    </row>
    <row r="1420" spans="1:5" x14ac:dyDescent="0.25">
      <c r="A1420" s="8">
        <v>44725</v>
      </c>
      <c r="B1420" t="s">
        <v>14</v>
      </c>
      <c r="C1420">
        <v>2185</v>
      </c>
      <c r="D1420" t="s">
        <v>8</v>
      </c>
      <c r="E1420" t="str">
        <f>IF(june[[#This Row],[ShiftCounter]]&gt;0, "Running", "Down")</f>
        <v>Running</v>
      </c>
    </row>
    <row r="1421" spans="1:5" x14ac:dyDescent="0.25">
      <c r="A1421" s="8">
        <v>44725</v>
      </c>
      <c r="B1421" t="s">
        <v>15</v>
      </c>
      <c r="C1421">
        <v>2231</v>
      </c>
      <c r="D1421" t="s">
        <v>6</v>
      </c>
      <c r="E1421" t="str">
        <f>IF(june[[#This Row],[ShiftCounter]]&gt;0, "Running", "Down")</f>
        <v>Running</v>
      </c>
    </row>
    <row r="1422" spans="1:5" x14ac:dyDescent="0.25">
      <c r="A1422" s="8">
        <v>44725</v>
      </c>
      <c r="B1422" t="s">
        <v>15</v>
      </c>
      <c r="C1422">
        <v>1935</v>
      </c>
      <c r="D1422" t="s">
        <v>7</v>
      </c>
      <c r="E1422" t="str">
        <f>IF(june[[#This Row],[ShiftCounter]]&gt;0, "Running", "Down")</f>
        <v>Running</v>
      </c>
    </row>
    <row r="1423" spans="1:5" x14ac:dyDescent="0.25">
      <c r="A1423" s="8">
        <v>44725</v>
      </c>
      <c r="B1423" t="s">
        <v>15</v>
      </c>
      <c r="C1423">
        <v>1937</v>
      </c>
      <c r="D1423" t="s">
        <v>8</v>
      </c>
      <c r="E1423" t="str">
        <f>IF(june[[#This Row],[ShiftCounter]]&gt;0, "Running", "Down")</f>
        <v>Running</v>
      </c>
    </row>
    <row r="1424" spans="1:5" x14ac:dyDescent="0.25">
      <c r="A1424" s="8">
        <v>44725</v>
      </c>
      <c r="B1424" t="s">
        <v>16</v>
      </c>
      <c r="C1424">
        <v>2273</v>
      </c>
      <c r="D1424" t="s">
        <v>6</v>
      </c>
      <c r="E1424" t="str">
        <f>IF(june[[#This Row],[ShiftCounter]]&gt;0, "Running", "Down")</f>
        <v>Running</v>
      </c>
    </row>
    <row r="1425" spans="1:5" x14ac:dyDescent="0.25">
      <c r="A1425" s="8">
        <v>44725</v>
      </c>
      <c r="B1425" t="s">
        <v>16</v>
      </c>
      <c r="C1425">
        <v>2163</v>
      </c>
      <c r="D1425" t="s">
        <v>7</v>
      </c>
      <c r="E1425" t="str">
        <f>IF(june[[#This Row],[ShiftCounter]]&gt;0, "Running", "Down")</f>
        <v>Running</v>
      </c>
    </row>
    <row r="1426" spans="1:5" x14ac:dyDescent="0.25">
      <c r="A1426" s="8">
        <v>44725</v>
      </c>
      <c r="B1426" t="s">
        <v>16</v>
      </c>
      <c r="C1426">
        <v>2126</v>
      </c>
      <c r="D1426" t="s">
        <v>8</v>
      </c>
      <c r="E1426" t="str">
        <f>IF(june[[#This Row],[ShiftCounter]]&gt;0, "Running", "Down")</f>
        <v>Running</v>
      </c>
    </row>
    <row r="1427" spans="1:5" x14ac:dyDescent="0.25">
      <c r="A1427" s="8">
        <v>44725</v>
      </c>
      <c r="B1427" t="s">
        <v>17</v>
      </c>
      <c r="C1427">
        <v>2422</v>
      </c>
      <c r="D1427" t="s">
        <v>6</v>
      </c>
      <c r="E1427" t="str">
        <f>IF(june[[#This Row],[ShiftCounter]]&gt;0, "Running", "Down")</f>
        <v>Running</v>
      </c>
    </row>
    <row r="1428" spans="1:5" x14ac:dyDescent="0.25">
      <c r="A1428" s="8">
        <v>44725</v>
      </c>
      <c r="B1428" t="s">
        <v>17</v>
      </c>
      <c r="C1428">
        <v>2423</v>
      </c>
      <c r="D1428" t="s">
        <v>7</v>
      </c>
      <c r="E1428" t="str">
        <f>IF(june[[#This Row],[ShiftCounter]]&gt;0, "Running", "Down")</f>
        <v>Running</v>
      </c>
    </row>
    <row r="1429" spans="1:5" x14ac:dyDescent="0.25">
      <c r="A1429" s="8">
        <v>44725</v>
      </c>
      <c r="B1429" t="s">
        <v>17</v>
      </c>
      <c r="C1429">
        <v>2082</v>
      </c>
      <c r="D1429" t="s">
        <v>8</v>
      </c>
      <c r="E1429" t="str">
        <f>IF(june[[#This Row],[ShiftCounter]]&gt;0, "Running", "Down")</f>
        <v>Running</v>
      </c>
    </row>
    <row r="1430" spans="1:5" x14ac:dyDescent="0.25">
      <c r="A1430" s="8">
        <v>44725</v>
      </c>
      <c r="B1430" t="s">
        <v>19</v>
      </c>
      <c r="C1430">
        <v>1020</v>
      </c>
      <c r="D1430" t="s">
        <v>6</v>
      </c>
      <c r="E1430" t="str">
        <f>IF(june[[#This Row],[ShiftCounter]]&gt;0, "Running", "Down")</f>
        <v>Running</v>
      </c>
    </row>
    <row r="1431" spans="1:5" x14ac:dyDescent="0.25">
      <c r="A1431" s="8">
        <v>44725</v>
      </c>
      <c r="B1431" t="s">
        <v>19</v>
      </c>
      <c r="C1431">
        <v>1900</v>
      </c>
      <c r="D1431" t="s">
        <v>7</v>
      </c>
      <c r="E1431" t="str">
        <f>IF(june[[#This Row],[ShiftCounter]]&gt;0, "Running", "Down")</f>
        <v>Running</v>
      </c>
    </row>
    <row r="1432" spans="1:5" x14ac:dyDescent="0.25">
      <c r="A1432" s="8">
        <v>44725</v>
      </c>
      <c r="B1432" t="s">
        <v>19</v>
      </c>
      <c r="C1432">
        <v>1732</v>
      </c>
      <c r="D1432" t="s">
        <v>8</v>
      </c>
      <c r="E1432" t="str">
        <f>IF(june[[#This Row],[ShiftCounter]]&gt;0, "Running", "Down")</f>
        <v>Running</v>
      </c>
    </row>
    <row r="1433" spans="1:5" x14ac:dyDescent="0.25">
      <c r="A1433" s="8">
        <v>44725</v>
      </c>
      <c r="B1433" t="s">
        <v>18</v>
      </c>
      <c r="C1433">
        <v>2390</v>
      </c>
      <c r="D1433" t="s">
        <v>6</v>
      </c>
      <c r="E1433" t="str">
        <f>IF(june[[#This Row],[ShiftCounter]]&gt;0, "Running", "Down")</f>
        <v>Running</v>
      </c>
    </row>
    <row r="1434" spans="1:5" x14ac:dyDescent="0.25">
      <c r="A1434" s="8">
        <v>44725</v>
      </c>
      <c r="B1434" t="s">
        <v>18</v>
      </c>
      <c r="C1434">
        <v>2303</v>
      </c>
      <c r="D1434" t="s">
        <v>7</v>
      </c>
      <c r="E1434" t="str">
        <f>IF(june[[#This Row],[ShiftCounter]]&gt;0, "Running", "Down")</f>
        <v>Running</v>
      </c>
    </row>
    <row r="1435" spans="1:5" x14ac:dyDescent="0.25">
      <c r="A1435" s="8">
        <v>44725</v>
      </c>
      <c r="B1435" t="s">
        <v>18</v>
      </c>
      <c r="C1435">
        <v>2112</v>
      </c>
      <c r="D1435" t="s">
        <v>8</v>
      </c>
      <c r="E1435" t="str">
        <f>IF(june[[#This Row],[ShiftCounter]]&gt;0, "Running", "Down")</f>
        <v>Running</v>
      </c>
    </row>
    <row r="1436" spans="1:5" x14ac:dyDescent="0.25">
      <c r="A1436" s="8">
        <v>44725</v>
      </c>
      <c r="B1436" t="s">
        <v>42</v>
      </c>
      <c r="C1436">
        <v>2039</v>
      </c>
      <c r="D1436" t="s">
        <v>6</v>
      </c>
      <c r="E1436" t="str">
        <f>IF(june[[#This Row],[ShiftCounter]]&gt;0, "Running", "Down")</f>
        <v>Running</v>
      </c>
    </row>
    <row r="1437" spans="1:5" x14ac:dyDescent="0.25">
      <c r="A1437" s="8">
        <v>44725</v>
      </c>
      <c r="B1437" t="s">
        <v>42</v>
      </c>
      <c r="C1437">
        <v>2123</v>
      </c>
      <c r="D1437" t="s">
        <v>7</v>
      </c>
      <c r="E1437" t="str">
        <f>IF(june[[#This Row],[ShiftCounter]]&gt;0, "Running", "Down")</f>
        <v>Running</v>
      </c>
    </row>
    <row r="1438" spans="1:5" x14ac:dyDescent="0.25">
      <c r="A1438" s="8">
        <v>44725</v>
      </c>
      <c r="B1438" t="s">
        <v>42</v>
      </c>
      <c r="C1438">
        <v>2001</v>
      </c>
      <c r="D1438" t="s">
        <v>8</v>
      </c>
      <c r="E1438" t="str">
        <f>IF(june[[#This Row],[ShiftCounter]]&gt;0, "Running", "Down")</f>
        <v>Running</v>
      </c>
    </row>
    <row r="1439" spans="1:5" x14ac:dyDescent="0.25">
      <c r="A1439" s="8">
        <v>44725</v>
      </c>
      <c r="B1439" t="s">
        <v>38</v>
      </c>
      <c r="C1439">
        <v>2336</v>
      </c>
      <c r="D1439" t="s">
        <v>6</v>
      </c>
      <c r="E1439" t="str">
        <f>IF(june[[#This Row],[ShiftCounter]]&gt;0, "Running", "Down")</f>
        <v>Running</v>
      </c>
    </row>
    <row r="1440" spans="1:5" x14ac:dyDescent="0.25">
      <c r="A1440" s="8">
        <v>44725</v>
      </c>
      <c r="B1440" t="s">
        <v>38</v>
      </c>
      <c r="C1440">
        <v>2324</v>
      </c>
      <c r="D1440" t="s">
        <v>7</v>
      </c>
      <c r="E1440" t="str">
        <f>IF(june[[#This Row],[ShiftCounter]]&gt;0, "Running", "Down")</f>
        <v>Running</v>
      </c>
    </row>
    <row r="1441" spans="1:5" x14ac:dyDescent="0.25">
      <c r="A1441" s="8">
        <v>44725</v>
      </c>
      <c r="B1441" t="s">
        <v>38</v>
      </c>
      <c r="C1441">
        <v>2156</v>
      </c>
      <c r="D1441" t="s">
        <v>8</v>
      </c>
      <c r="E1441" t="str">
        <f>IF(june[[#This Row],[ShiftCounter]]&gt;0, "Running", "Down")</f>
        <v>Running</v>
      </c>
    </row>
    <row r="1442" spans="1:5" x14ac:dyDescent="0.25">
      <c r="A1442" s="8">
        <v>44725</v>
      </c>
      <c r="B1442" t="s">
        <v>20</v>
      </c>
      <c r="C1442">
        <v>2010</v>
      </c>
      <c r="D1442" t="s">
        <v>6</v>
      </c>
      <c r="E1442" t="str">
        <f>IF(june[[#This Row],[ShiftCounter]]&gt;0, "Running", "Down")</f>
        <v>Running</v>
      </c>
    </row>
    <row r="1443" spans="1:5" x14ac:dyDescent="0.25">
      <c r="A1443" s="8">
        <v>44725</v>
      </c>
      <c r="B1443" t="s">
        <v>20</v>
      </c>
      <c r="C1443">
        <v>1997</v>
      </c>
      <c r="D1443" t="s">
        <v>7</v>
      </c>
      <c r="E1443" t="str">
        <f>IF(june[[#This Row],[ShiftCounter]]&gt;0, "Running", "Down")</f>
        <v>Running</v>
      </c>
    </row>
    <row r="1444" spans="1:5" x14ac:dyDescent="0.25">
      <c r="A1444" s="8">
        <v>44725</v>
      </c>
      <c r="B1444" t="s">
        <v>20</v>
      </c>
      <c r="C1444">
        <v>1943</v>
      </c>
      <c r="D1444" t="s">
        <v>8</v>
      </c>
      <c r="E1444" t="str">
        <f>IF(june[[#This Row],[ShiftCounter]]&gt;0, "Running", "Down")</f>
        <v>Running</v>
      </c>
    </row>
    <row r="1445" spans="1:5" x14ac:dyDescent="0.25">
      <c r="A1445" s="8">
        <v>44725</v>
      </c>
      <c r="B1445" t="s">
        <v>21</v>
      </c>
      <c r="C1445">
        <v>2038</v>
      </c>
      <c r="D1445" t="s">
        <v>6</v>
      </c>
      <c r="E1445" t="str">
        <f>IF(june[[#This Row],[ShiftCounter]]&gt;0, "Running", "Down")</f>
        <v>Running</v>
      </c>
    </row>
    <row r="1446" spans="1:5" x14ac:dyDescent="0.25">
      <c r="A1446" s="8">
        <v>44725</v>
      </c>
      <c r="B1446" t="s">
        <v>21</v>
      </c>
      <c r="C1446">
        <v>2049</v>
      </c>
      <c r="D1446" t="s">
        <v>7</v>
      </c>
      <c r="E1446" t="str">
        <f>IF(june[[#This Row],[ShiftCounter]]&gt;0, "Running", "Down")</f>
        <v>Running</v>
      </c>
    </row>
    <row r="1447" spans="1:5" x14ac:dyDescent="0.25">
      <c r="A1447" s="8">
        <v>44725</v>
      </c>
      <c r="B1447" t="s">
        <v>21</v>
      </c>
      <c r="C1447">
        <v>1997</v>
      </c>
      <c r="D1447" t="s">
        <v>8</v>
      </c>
      <c r="E1447" t="str">
        <f>IF(june[[#This Row],[ShiftCounter]]&gt;0, "Running", "Down")</f>
        <v>Running</v>
      </c>
    </row>
    <row r="1448" spans="1:5" x14ac:dyDescent="0.25">
      <c r="A1448" s="8">
        <v>44725</v>
      </c>
      <c r="B1448" t="s">
        <v>22</v>
      </c>
      <c r="C1448">
        <v>2320</v>
      </c>
      <c r="D1448" t="s">
        <v>6</v>
      </c>
      <c r="E1448" t="str">
        <f>IF(june[[#This Row],[ShiftCounter]]&gt;0, "Running", "Down")</f>
        <v>Running</v>
      </c>
    </row>
    <row r="1449" spans="1:5" x14ac:dyDescent="0.25">
      <c r="A1449" s="8">
        <v>44725</v>
      </c>
      <c r="B1449" t="s">
        <v>22</v>
      </c>
      <c r="C1449">
        <v>2383</v>
      </c>
      <c r="D1449" t="s">
        <v>7</v>
      </c>
      <c r="E1449" t="str">
        <f>IF(june[[#This Row],[ShiftCounter]]&gt;0, "Running", "Down")</f>
        <v>Running</v>
      </c>
    </row>
    <row r="1450" spans="1:5" x14ac:dyDescent="0.25">
      <c r="A1450" s="8">
        <v>44725</v>
      </c>
      <c r="B1450" t="s">
        <v>22</v>
      </c>
      <c r="C1450">
        <v>2270</v>
      </c>
      <c r="D1450" t="s">
        <v>8</v>
      </c>
      <c r="E1450" t="str">
        <f>IF(june[[#This Row],[ShiftCounter]]&gt;0, "Running", "Down")</f>
        <v>Running</v>
      </c>
    </row>
    <row r="1451" spans="1:5" x14ac:dyDescent="0.25">
      <c r="A1451" s="8">
        <v>44725</v>
      </c>
      <c r="B1451" t="s">
        <v>23</v>
      </c>
      <c r="C1451">
        <v>2545</v>
      </c>
      <c r="D1451" t="s">
        <v>6</v>
      </c>
      <c r="E1451" t="str">
        <f>IF(june[[#This Row],[ShiftCounter]]&gt;0, "Running", "Down")</f>
        <v>Running</v>
      </c>
    </row>
    <row r="1452" spans="1:5" x14ac:dyDescent="0.25">
      <c r="A1452" s="8">
        <v>44725</v>
      </c>
      <c r="B1452" t="s">
        <v>23</v>
      </c>
      <c r="C1452">
        <v>2406</v>
      </c>
      <c r="D1452" t="s">
        <v>7</v>
      </c>
      <c r="E1452" t="str">
        <f>IF(june[[#This Row],[ShiftCounter]]&gt;0, "Running", "Down")</f>
        <v>Running</v>
      </c>
    </row>
    <row r="1453" spans="1:5" x14ac:dyDescent="0.25">
      <c r="A1453" s="8">
        <v>44725</v>
      </c>
      <c r="B1453" t="s">
        <v>23</v>
      </c>
      <c r="C1453">
        <v>2312</v>
      </c>
      <c r="D1453" t="s">
        <v>8</v>
      </c>
      <c r="E1453" t="str">
        <f>IF(june[[#This Row],[ShiftCounter]]&gt;0, "Running", "Down")</f>
        <v>Running</v>
      </c>
    </row>
    <row r="1454" spans="1:5" x14ac:dyDescent="0.25">
      <c r="A1454" s="8">
        <v>44725</v>
      </c>
      <c r="B1454" t="s">
        <v>24</v>
      </c>
      <c r="C1454">
        <v>1996</v>
      </c>
      <c r="D1454" t="s">
        <v>6</v>
      </c>
      <c r="E1454" t="str">
        <f>IF(june[[#This Row],[ShiftCounter]]&gt;0, "Running", "Down")</f>
        <v>Running</v>
      </c>
    </row>
    <row r="1455" spans="1:5" x14ac:dyDescent="0.25">
      <c r="A1455" s="8">
        <v>44725</v>
      </c>
      <c r="B1455" t="s">
        <v>24</v>
      </c>
      <c r="C1455">
        <v>2088</v>
      </c>
      <c r="D1455" t="s">
        <v>7</v>
      </c>
      <c r="E1455" t="str">
        <f>IF(june[[#This Row],[ShiftCounter]]&gt;0, "Running", "Down")</f>
        <v>Running</v>
      </c>
    </row>
    <row r="1456" spans="1:5" x14ac:dyDescent="0.25">
      <c r="A1456" s="8">
        <v>44725</v>
      </c>
      <c r="B1456" t="s">
        <v>24</v>
      </c>
      <c r="C1456">
        <v>2049</v>
      </c>
      <c r="D1456" t="s">
        <v>8</v>
      </c>
      <c r="E1456" t="str">
        <f>IF(june[[#This Row],[ShiftCounter]]&gt;0, "Running", "Down")</f>
        <v>Running</v>
      </c>
    </row>
    <row r="1457" spans="1:5" x14ac:dyDescent="0.25">
      <c r="A1457" s="8">
        <v>44725</v>
      </c>
      <c r="B1457" t="s">
        <v>75</v>
      </c>
      <c r="C1457">
        <v>2308</v>
      </c>
      <c r="D1457" t="s">
        <v>6</v>
      </c>
      <c r="E1457" t="str">
        <f>IF(june[[#This Row],[ShiftCounter]]&gt;0, "Running", "Down")</f>
        <v>Running</v>
      </c>
    </row>
    <row r="1458" spans="1:5" x14ac:dyDescent="0.25">
      <c r="A1458" s="8">
        <v>44725</v>
      </c>
      <c r="B1458" t="s">
        <v>75</v>
      </c>
      <c r="C1458">
        <v>2295</v>
      </c>
      <c r="D1458" t="s">
        <v>7</v>
      </c>
      <c r="E1458" t="str">
        <f>IF(june[[#This Row],[ShiftCounter]]&gt;0, "Running", "Down")</f>
        <v>Running</v>
      </c>
    </row>
    <row r="1459" spans="1:5" x14ac:dyDescent="0.25">
      <c r="A1459" s="8">
        <v>44725</v>
      </c>
      <c r="B1459" t="s">
        <v>75</v>
      </c>
      <c r="C1459">
        <v>2186</v>
      </c>
      <c r="D1459" t="s">
        <v>8</v>
      </c>
      <c r="E1459" t="str">
        <f>IF(june[[#This Row],[ShiftCounter]]&gt;0, "Running", "Down")</f>
        <v>Running</v>
      </c>
    </row>
    <row r="1460" spans="1:5" x14ac:dyDescent="0.25">
      <c r="A1460" s="8">
        <v>44725</v>
      </c>
      <c r="B1460" t="s">
        <v>25</v>
      </c>
      <c r="C1460">
        <v>2307</v>
      </c>
      <c r="D1460" t="s">
        <v>6</v>
      </c>
      <c r="E1460" t="str">
        <f>IF(june[[#This Row],[ShiftCounter]]&gt;0, "Running", "Down")</f>
        <v>Running</v>
      </c>
    </row>
    <row r="1461" spans="1:5" x14ac:dyDescent="0.25">
      <c r="A1461" s="8">
        <v>44725</v>
      </c>
      <c r="B1461" t="s">
        <v>25</v>
      </c>
      <c r="C1461">
        <v>2328</v>
      </c>
      <c r="D1461" t="s">
        <v>7</v>
      </c>
      <c r="E1461" t="str">
        <f>IF(june[[#This Row],[ShiftCounter]]&gt;0, "Running", "Down")</f>
        <v>Running</v>
      </c>
    </row>
    <row r="1462" spans="1:5" x14ac:dyDescent="0.25">
      <c r="A1462" s="8">
        <v>44725</v>
      </c>
      <c r="B1462" t="s">
        <v>25</v>
      </c>
      <c r="C1462">
        <v>2164</v>
      </c>
      <c r="D1462" t="s">
        <v>8</v>
      </c>
      <c r="E1462" t="str">
        <f>IF(june[[#This Row],[ShiftCounter]]&gt;0, "Running", "Down")</f>
        <v>Running</v>
      </c>
    </row>
    <row r="1463" spans="1:5" x14ac:dyDescent="0.25">
      <c r="A1463" s="8">
        <v>44725</v>
      </c>
      <c r="B1463" t="s">
        <v>26</v>
      </c>
      <c r="C1463">
        <v>1981</v>
      </c>
      <c r="D1463" t="s">
        <v>6</v>
      </c>
      <c r="E1463" t="str">
        <f>IF(june[[#This Row],[ShiftCounter]]&gt;0, "Running", "Down")</f>
        <v>Running</v>
      </c>
    </row>
    <row r="1464" spans="1:5" x14ac:dyDescent="0.25">
      <c r="A1464" s="8">
        <v>44725</v>
      </c>
      <c r="B1464" t="s">
        <v>26</v>
      </c>
      <c r="C1464">
        <v>2150</v>
      </c>
      <c r="D1464" t="s">
        <v>7</v>
      </c>
      <c r="E1464" t="str">
        <f>IF(june[[#This Row],[ShiftCounter]]&gt;0, "Running", "Down")</f>
        <v>Running</v>
      </c>
    </row>
    <row r="1465" spans="1:5" x14ac:dyDescent="0.25">
      <c r="A1465" s="8">
        <v>44725</v>
      </c>
      <c r="B1465" t="s">
        <v>26</v>
      </c>
      <c r="C1465">
        <v>1976</v>
      </c>
      <c r="D1465" t="s">
        <v>8</v>
      </c>
      <c r="E1465" t="str">
        <f>IF(june[[#This Row],[ShiftCounter]]&gt;0, "Running", "Down")</f>
        <v>Running</v>
      </c>
    </row>
    <row r="1466" spans="1:5" x14ac:dyDescent="0.25">
      <c r="A1466" s="8">
        <v>44725</v>
      </c>
      <c r="B1466" t="s">
        <v>27</v>
      </c>
      <c r="C1466">
        <v>2324</v>
      </c>
      <c r="D1466" t="s">
        <v>6</v>
      </c>
      <c r="E1466" t="str">
        <f>IF(june[[#This Row],[ShiftCounter]]&gt;0, "Running", "Down")</f>
        <v>Running</v>
      </c>
    </row>
    <row r="1467" spans="1:5" x14ac:dyDescent="0.25">
      <c r="A1467" s="8">
        <v>44725</v>
      </c>
      <c r="B1467" t="s">
        <v>27</v>
      </c>
      <c r="C1467">
        <v>2380</v>
      </c>
      <c r="D1467" t="s">
        <v>7</v>
      </c>
      <c r="E1467" t="str">
        <f>IF(june[[#This Row],[ShiftCounter]]&gt;0, "Running", "Down")</f>
        <v>Running</v>
      </c>
    </row>
    <row r="1468" spans="1:5" x14ac:dyDescent="0.25">
      <c r="A1468" s="8">
        <v>44725</v>
      </c>
      <c r="B1468" t="s">
        <v>27</v>
      </c>
      <c r="C1468">
        <v>2155</v>
      </c>
      <c r="D1468" t="s">
        <v>8</v>
      </c>
      <c r="E1468" t="str">
        <f>IF(june[[#This Row],[ShiftCounter]]&gt;0, "Running", "Down")</f>
        <v>Running</v>
      </c>
    </row>
    <row r="1469" spans="1:5" x14ac:dyDescent="0.25">
      <c r="A1469" s="8">
        <v>44725</v>
      </c>
      <c r="B1469" t="s">
        <v>28</v>
      </c>
      <c r="C1469">
        <v>2234</v>
      </c>
      <c r="D1469" t="s">
        <v>6</v>
      </c>
      <c r="E1469" t="str">
        <f>IF(june[[#This Row],[ShiftCounter]]&gt;0, "Running", "Down")</f>
        <v>Running</v>
      </c>
    </row>
    <row r="1470" spans="1:5" x14ac:dyDescent="0.25">
      <c r="A1470" s="8">
        <v>44725</v>
      </c>
      <c r="B1470" t="s">
        <v>28</v>
      </c>
      <c r="C1470">
        <v>2094</v>
      </c>
      <c r="D1470" t="s">
        <v>7</v>
      </c>
      <c r="E1470" t="str">
        <f>IF(june[[#This Row],[ShiftCounter]]&gt;0, "Running", "Down")</f>
        <v>Running</v>
      </c>
    </row>
    <row r="1471" spans="1:5" x14ac:dyDescent="0.25">
      <c r="A1471" s="8">
        <v>44725</v>
      </c>
      <c r="B1471" t="s">
        <v>28</v>
      </c>
      <c r="C1471">
        <v>2096</v>
      </c>
      <c r="D1471" t="s">
        <v>8</v>
      </c>
      <c r="E1471" t="str">
        <f>IF(june[[#This Row],[ShiftCounter]]&gt;0, "Running", "Down")</f>
        <v>Running</v>
      </c>
    </row>
    <row r="1472" spans="1:5" x14ac:dyDescent="0.25">
      <c r="A1472" s="8">
        <v>44725</v>
      </c>
      <c r="B1472" t="s">
        <v>29</v>
      </c>
      <c r="C1472">
        <v>2128</v>
      </c>
      <c r="D1472" t="s">
        <v>6</v>
      </c>
      <c r="E1472" t="str">
        <f>IF(june[[#This Row],[ShiftCounter]]&gt;0, "Running", "Down")</f>
        <v>Running</v>
      </c>
    </row>
    <row r="1473" spans="1:5" x14ac:dyDescent="0.25">
      <c r="A1473" s="8">
        <v>44725</v>
      </c>
      <c r="B1473" t="s">
        <v>29</v>
      </c>
      <c r="C1473">
        <v>1987</v>
      </c>
      <c r="D1473" t="s">
        <v>7</v>
      </c>
      <c r="E1473" t="str">
        <f>IF(june[[#This Row],[ShiftCounter]]&gt;0, "Running", "Down")</f>
        <v>Running</v>
      </c>
    </row>
    <row r="1474" spans="1:5" x14ac:dyDescent="0.25">
      <c r="A1474" s="8">
        <v>44725</v>
      </c>
      <c r="B1474" t="s">
        <v>29</v>
      </c>
      <c r="C1474">
        <v>2098</v>
      </c>
      <c r="D1474" t="s">
        <v>8</v>
      </c>
      <c r="E1474" t="str">
        <f>IF(june[[#This Row],[ShiftCounter]]&gt;0, "Running", "Down")</f>
        <v>Running</v>
      </c>
    </row>
    <row r="1475" spans="1:5" x14ac:dyDescent="0.25">
      <c r="A1475" s="8">
        <v>44725</v>
      </c>
      <c r="B1475" t="s">
        <v>30</v>
      </c>
      <c r="C1475">
        <v>2190</v>
      </c>
      <c r="D1475" t="s">
        <v>6</v>
      </c>
      <c r="E1475" t="str">
        <f>IF(june[[#This Row],[ShiftCounter]]&gt;0, "Running", "Down")</f>
        <v>Running</v>
      </c>
    </row>
    <row r="1476" spans="1:5" x14ac:dyDescent="0.25">
      <c r="A1476" s="8">
        <v>44725</v>
      </c>
      <c r="B1476" t="s">
        <v>30</v>
      </c>
      <c r="C1476">
        <v>2166</v>
      </c>
      <c r="D1476" t="s">
        <v>7</v>
      </c>
      <c r="E1476" t="str">
        <f>IF(june[[#This Row],[ShiftCounter]]&gt;0, "Running", "Down")</f>
        <v>Running</v>
      </c>
    </row>
    <row r="1477" spans="1:5" x14ac:dyDescent="0.25">
      <c r="A1477" s="8">
        <v>44725</v>
      </c>
      <c r="B1477" t="s">
        <v>30</v>
      </c>
      <c r="C1477">
        <v>2146</v>
      </c>
      <c r="D1477" t="s">
        <v>8</v>
      </c>
      <c r="E1477" t="str">
        <f>IF(june[[#This Row],[ShiftCounter]]&gt;0, "Running", "Down")</f>
        <v>Running</v>
      </c>
    </row>
    <row r="1478" spans="1:5" x14ac:dyDescent="0.25">
      <c r="A1478" s="8">
        <v>44725</v>
      </c>
      <c r="B1478" t="s">
        <v>31</v>
      </c>
      <c r="C1478">
        <v>2247</v>
      </c>
      <c r="D1478" t="s">
        <v>6</v>
      </c>
      <c r="E1478" t="str">
        <f>IF(june[[#This Row],[ShiftCounter]]&gt;0, "Running", "Down")</f>
        <v>Running</v>
      </c>
    </row>
    <row r="1479" spans="1:5" x14ac:dyDescent="0.25">
      <c r="A1479" s="8">
        <v>44725</v>
      </c>
      <c r="B1479" t="s">
        <v>31</v>
      </c>
      <c r="C1479">
        <v>2136</v>
      </c>
      <c r="D1479" t="s">
        <v>7</v>
      </c>
      <c r="E1479" t="str">
        <f>IF(june[[#This Row],[ShiftCounter]]&gt;0, "Running", "Down")</f>
        <v>Running</v>
      </c>
    </row>
    <row r="1480" spans="1:5" x14ac:dyDescent="0.25">
      <c r="A1480" s="8">
        <v>44725</v>
      </c>
      <c r="B1480" t="s">
        <v>31</v>
      </c>
      <c r="C1480">
        <v>2114</v>
      </c>
      <c r="D1480" t="s">
        <v>8</v>
      </c>
      <c r="E1480" t="str">
        <f>IF(june[[#This Row],[ShiftCounter]]&gt;0, "Running", "Down")</f>
        <v>Running</v>
      </c>
    </row>
    <row r="1481" spans="1:5" x14ac:dyDescent="0.25">
      <c r="A1481" s="8">
        <v>44725</v>
      </c>
      <c r="B1481" t="s">
        <v>32</v>
      </c>
      <c r="C1481">
        <v>423</v>
      </c>
      <c r="D1481" t="s">
        <v>6</v>
      </c>
      <c r="E1481" t="str">
        <f>IF(june[[#This Row],[ShiftCounter]]&gt;0, "Running", "Down")</f>
        <v>Running</v>
      </c>
    </row>
    <row r="1482" spans="1:5" x14ac:dyDescent="0.25">
      <c r="A1482" s="8">
        <v>44725</v>
      </c>
      <c r="B1482" t="s">
        <v>32</v>
      </c>
      <c r="C1482">
        <v>2334</v>
      </c>
      <c r="D1482" t="s">
        <v>7</v>
      </c>
      <c r="E1482" t="str">
        <f>IF(june[[#This Row],[ShiftCounter]]&gt;0, "Running", "Down")</f>
        <v>Running</v>
      </c>
    </row>
    <row r="1483" spans="1:5" x14ac:dyDescent="0.25">
      <c r="A1483" s="8">
        <v>44725</v>
      </c>
      <c r="B1483" t="s">
        <v>32</v>
      </c>
      <c r="C1483">
        <v>2398</v>
      </c>
      <c r="D1483" t="s">
        <v>8</v>
      </c>
      <c r="E1483" t="str">
        <f>IF(june[[#This Row],[ShiftCounter]]&gt;0, "Running", "Down")</f>
        <v>Running</v>
      </c>
    </row>
    <row r="1484" spans="1:5" x14ac:dyDescent="0.25">
      <c r="A1484" s="8">
        <v>44725</v>
      </c>
      <c r="B1484" t="s">
        <v>67</v>
      </c>
      <c r="C1484">
        <v>2170</v>
      </c>
      <c r="D1484" t="s">
        <v>6</v>
      </c>
      <c r="E1484" t="str">
        <f>IF(june[[#This Row],[ShiftCounter]]&gt;0, "Running", "Down")</f>
        <v>Running</v>
      </c>
    </row>
    <row r="1485" spans="1:5" x14ac:dyDescent="0.25">
      <c r="A1485" s="8">
        <v>44725</v>
      </c>
      <c r="B1485" t="s">
        <v>67</v>
      </c>
      <c r="C1485">
        <v>2049</v>
      </c>
      <c r="D1485" t="s">
        <v>7</v>
      </c>
      <c r="E1485" t="str">
        <f>IF(june[[#This Row],[ShiftCounter]]&gt;0, "Running", "Down")</f>
        <v>Running</v>
      </c>
    </row>
    <row r="1486" spans="1:5" x14ac:dyDescent="0.25">
      <c r="A1486" s="8">
        <v>44725</v>
      </c>
      <c r="B1486" t="s">
        <v>67</v>
      </c>
      <c r="C1486">
        <v>1998</v>
      </c>
      <c r="D1486" t="s">
        <v>8</v>
      </c>
      <c r="E1486" t="str">
        <f>IF(june[[#This Row],[ShiftCounter]]&gt;0, "Running", "Down")</f>
        <v>Running</v>
      </c>
    </row>
    <row r="1487" spans="1:5" x14ac:dyDescent="0.25">
      <c r="A1487" s="8">
        <v>44725</v>
      </c>
      <c r="B1487" t="s">
        <v>33</v>
      </c>
      <c r="C1487">
        <v>2530</v>
      </c>
      <c r="D1487" t="s">
        <v>6</v>
      </c>
      <c r="E1487" t="str">
        <f>IF(june[[#This Row],[ShiftCounter]]&gt;0, "Running", "Down")</f>
        <v>Running</v>
      </c>
    </row>
    <row r="1488" spans="1:5" x14ac:dyDescent="0.25">
      <c r="A1488" s="8">
        <v>44725</v>
      </c>
      <c r="B1488" t="s">
        <v>33</v>
      </c>
      <c r="C1488">
        <v>2388</v>
      </c>
      <c r="D1488" t="s">
        <v>7</v>
      </c>
      <c r="E1488" t="str">
        <f>IF(june[[#This Row],[ShiftCounter]]&gt;0, "Running", "Down")</f>
        <v>Running</v>
      </c>
    </row>
    <row r="1489" spans="1:5" x14ac:dyDescent="0.25">
      <c r="A1489" s="8">
        <v>44725</v>
      </c>
      <c r="B1489" t="s">
        <v>33</v>
      </c>
      <c r="C1489">
        <v>2330</v>
      </c>
      <c r="D1489" t="s">
        <v>8</v>
      </c>
      <c r="E1489" t="str">
        <f>IF(june[[#This Row],[ShiftCounter]]&gt;0, "Running", "Down")</f>
        <v>Running</v>
      </c>
    </row>
    <row r="1490" spans="1:5" x14ac:dyDescent="0.25">
      <c r="A1490" s="8">
        <v>44725</v>
      </c>
      <c r="B1490" t="s">
        <v>34</v>
      </c>
      <c r="C1490">
        <v>2073</v>
      </c>
      <c r="D1490" t="s">
        <v>6</v>
      </c>
      <c r="E1490" t="str">
        <f>IF(june[[#This Row],[ShiftCounter]]&gt;0, "Running", "Down")</f>
        <v>Running</v>
      </c>
    </row>
    <row r="1491" spans="1:5" x14ac:dyDescent="0.25">
      <c r="A1491" s="8">
        <v>44725</v>
      </c>
      <c r="B1491" t="s">
        <v>34</v>
      </c>
      <c r="C1491">
        <v>1854</v>
      </c>
      <c r="D1491" t="s">
        <v>7</v>
      </c>
      <c r="E1491" t="str">
        <f>IF(june[[#This Row],[ShiftCounter]]&gt;0, "Running", "Down")</f>
        <v>Running</v>
      </c>
    </row>
    <row r="1492" spans="1:5" x14ac:dyDescent="0.25">
      <c r="A1492" s="8">
        <v>44725</v>
      </c>
      <c r="B1492" t="s">
        <v>34</v>
      </c>
      <c r="C1492">
        <v>1896</v>
      </c>
      <c r="D1492" t="s">
        <v>8</v>
      </c>
      <c r="E1492" t="str">
        <f>IF(june[[#This Row],[ShiftCounter]]&gt;0, "Running", "Down")</f>
        <v>Running</v>
      </c>
    </row>
    <row r="1493" spans="1:5" x14ac:dyDescent="0.25">
      <c r="A1493" s="8">
        <v>44725</v>
      </c>
      <c r="B1493" t="s">
        <v>35</v>
      </c>
      <c r="C1493">
        <v>1962</v>
      </c>
      <c r="D1493" t="s">
        <v>6</v>
      </c>
      <c r="E1493" t="str">
        <f>IF(june[[#This Row],[ShiftCounter]]&gt;0, "Running", "Down")</f>
        <v>Running</v>
      </c>
    </row>
    <row r="1494" spans="1:5" x14ac:dyDescent="0.25">
      <c r="A1494" s="8">
        <v>44725</v>
      </c>
      <c r="B1494" t="s">
        <v>35</v>
      </c>
      <c r="C1494">
        <v>2129</v>
      </c>
      <c r="D1494" t="s">
        <v>7</v>
      </c>
      <c r="E1494" t="str">
        <f>IF(june[[#This Row],[ShiftCounter]]&gt;0, "Running", "Down")</f>
        <v>Running</v>
      </c>
    </row>
    <row r="1495" spans="1:5" x14ac:dyDescent="0.25">
      <c r="A1495" s="8">
        <v>44725</v>
      </c>
      <c r="B1495" t="s">
        <v>35</v>
      </c>
      <c r="C1495">
        <v>2072</v>
      </c>
      <c r="D1495" t="s">
        <v>8</v>
      </c>
      <c r="E1495" t="str">
        <f>IF(june[[#This Row],[ShiftCounter]]&gt;0, "Running", "Down")</f>
        <v>Running</v>
      </c>
    </row>
    <row r="1496" spans="1:5" x14ac:dyDescent="0.25">
      <c r="A1496" s="8">
        <v>44725</v>
      </c>
      <c r="B1496" t="s">
        <v>36</v>
      </c>
      <c r="C1496">
        <v>2481</v>
      </c>
      <c r="D1496" t="s">
        <v>6</v>
      </c>
      <c r="E1496" t="str">
        <f>IF(june[[#This Row],[ShiftCounter]]&gt;0, "Running", "Down")</f>
        <v>Running</v>
      </c>
    </row>
    <row r="1497" spans="1:5" x14ac:dyDescent="0.25">
      <c r="A1497" s="8">
        <v>44725</v>
      </c>
      <c r="B1497" t="s">
        <v>36</v>
      </c>
      <c r="C1497">
        <v>2316</v>
      </c>
      <c r="D1497" t="s">
        <v>7</v>
      </c>
      <c r="E1497" t="str">
        <f>IF(june[[#This Row],[ShiftCounter]]&gt;0, "Running", "Down")</f>
        <v>Running</v>
      </c>
    </row>
    <row r="1498" spans="1:5" x14ac:dyDescent="0.25">
      <c r="A1498" s="8">
        <v>44725</v>
      </c>
      <c r="B1498" t="s">
        <v>36</v>
      </c>
      <c r="C1498">
        <v>2270</v>
      </c>
      <c r="D1498" t="s">
        <v>8</v>
      </c>
      <c r="E1498" t="str">
        <f>IF(june[[#This Row],[ShiftCounter]]&gt;0, "Running", "Down")</f>
        <v>Running</v>
      </c>
    </row>
    <row r="1499" spans="1:5" x14ac:dyDescent="0.25">
      <c r="A1499" s="8">
        <v>44725</v>
      </c>
      <c r="B1499" t="s">
        <v>37</v>
      </c>
      <c r="C1499">
        <v>2510</v>
      </c>
      <c r="D1499" t="s">
        <v>6</v>
      </c>
      <c r="E1499" t="str">
        <f>IF(june[[#This Row],[ShiftCounter]]&gt;0, "Running", "Down")</f>
        <v>Running</v>
      </c>
    </row>
    <row r="1500" spans="1:5" x14ac:dyDescent="0.25">
      <c r="A1500" s="8">
        <v>44725</v>
      </c>
      <c r="B1500" t="s">
        <v>37</v>
      </c>
      <c r="C1500">
        <v>2250</v>
      </c>
      <c r="D1500" t="s">
        <v>7</v>
      </c>
      <c r="E1500" t="str">
        <f>IF(june[[#This Row],[ShiftCounter]]&gt;0, "Running", "Down")</f>
        <v>Running</v>
      </c>
    </row>
    <row r="1501" spans="1:5" x14ac:dyDescent="0.25">
      <c r="A1501" s="8">
        <v>44725</v>
      </c>
      <c r="B1501" t="s">
        <v>37</v>
      </c>
      <c r="C1501">
        <v>2280</v>
      </c>
      <c r="D1501" t="s">
        <v>8</v>
      </c>
      <c r="E1501" t="str">
        <f>IF(june[[#This Row],[ShiftCounter]]&gt;0, "Running", "Down")</f>
        <v>Running</v>
      </c>
    </row>
    <row r="1502" spans="1:5" x14ac:dyDescent="0.25">
      <c r="A1502" s="8">
        <v>44726</v>
      </c>
      <c r="B1502" t="s">
        <v>135</v>
      </c>
      <c r="C1502">
        <v>2316</v>
      </c>
      <c r="D1502" t="s">
        <v>6</v>
      </c>
      <c r="E1502" t="str">
        <f>IF(june[[#This Row],[ShiftCounter]]&gt;0, "Running", "Down")</f>
        <v>Running</v>
      </c>
    </row>
    <row r="1503" spans="1:5" x14ac:dyDescent="0.25">
      <c r="A1503" s="8">
        <v>44726</v>
      </c>
      <c r="B1503" t="s">
        <v>135</v>
      </c>
      <c r="C1503">
        <v>2173</v>
      </c>
      <c r="D1503" t="s">
        <v>7</v>
      </c>
      <c r="E1503" t="str">
        <f>IF(june[[#This Row],[ShiftCounter]]&gt;0, "Running", "Down")</f>
        <v>Running</v>
      </c>
    </row>
    <row r="1504" spans="1:5" x14ac:dyDescent="0.25">
      <c r="A1504" s="8">
        <v>44726</v>
      </c>
      <c r="B1504" t="s">
        <v>135</v>
      </c>
      <c r="C1504">
        <v>2078</v>
      </c>
      <c r="D1504" t="s">
        <v>8</v>
      </c>
      <c r="E1504" t="str">
        <f>IF(june[[#This Row],[ShiftCounter]]&gt;0, "Running", "Down")</f>
        <v>Running</v>
      </c>
    </row>
    <row r="1505" spans="1:5" x14ac:dyDescent="0.25">
      <c r="A1505" s="8">
        <v>44726</v>
      </c>
      <c r="B1505" t="s">
        <v>40</v>
      </c>
      <c r="C1505">
        <v>2275</v>
      </c>
      <c r="D1505" t="s">
        <v>6</v>
      </c>
      <c r="E1505" t="str">
        <f>IF(june[[#This Row],[ShiftCounter]]&gt;0, "Running", "Down")</f>
        <v>Running</v>
      </c>
    </row>
    <row r="1506" spans="1:5" x14ac:dyDescent="0.25">
      <c r="A1506" s="8">
        <v>44726</v>
      </c>
      <c r="B1506" t="s">
        <v>40</v>
      </c>
      <c r="C1506">
        <v>2232</v>
      </c>
      <c r="D1506" t="s">
        <v>7</v>
      </c>
      <c r="E1506" t="str">
        <f>IF(june[[#This Row],[ShiftCounter]]&gt;0, "Running", "Down")</f>
        <v>Running</v>
      </c>
    </row>
    <row r="1507" spans="1:5" x14ac:dyDescent="0.25">
      <c r="A1507" s="8">
        <v>44726</v>
      </c>
      <c r="B1507" t="s">
        <v>40</v>
      </c>
      <c r="C1507">
        <v>2149</v>
      </c>
      <c r="D1507" t="s">
        <v>8</v>
      </c>
      <c r="E1507" t="str">
        <f>IF(june[[#This Row],[ShiftCounter]]&gt;0, "Running", "Down")</f>
        <v>Running</v>
      </c>
    </row>
    <row r="1508" spans="1:5" x14ac:dyDescent="0.25">
      <c r="A1508" s="8">
        <v>44726</v>
      </c>
      <c r="B1508" t="s">
        <v>39</v>
      </c>
      <c r="C1508">
        <v>2336</v>
      </c>
      <c r="D1508" t="s">
        <v>6</v>
      </c>
      <c r="E1508" t="str">
        <f>IF(june[[#This Row],[ShiftCounter]]&gt;0, "Running", "Down")</f>
        <v>Running</v>
      </c>
    </row>
    <row r="1509" spans="1:5" x14ac:dyDescent="0.25">
      <c r="A1509" s="8">
        <v>44726</v>
      </c>
      <c r="B1509" t="s">
        <v>39</v>
      </c>
      <c r="C1509">
        <v>2172</v>
      </c>
      <c r="D1509" t="s">
        <v>7</v>
      </c>
      <c r="E1509" t="str">
        <f>IF(june[[#This Row],[ShiftCounter]]&gt;0, "Running", "Down")</f>
        <v>Running</v>
      </c>
    </row>
    <row r="1510" spans="1:5" x14ac:dyDescent="0.25">
      <c r="A1510" s="8">
        <v>44726</v>
      </c>
      <c r="B1510" t="s">
        <v>39</v>
      </c>
      <c r="C1510">
        <v>2051</v>
      </c>
      <c r="D1510" t="s">
        <v>8</v>
      </c>
      <c r="E1510" t="str">
        <f>IF(june[[#This Row],[ShiftCounter]]&gt;0, "Running", "Down")</f>
        <v>Running</v>
      </c>
    </row>
    <row r="1511" spans="1:5" x14ac:dyDescent="0.25">
      <c r="A1511" s="8">
        <v>44726</v>
      </c>
      <c r="B1511" t="s">
        <v>41</v>
      </c>
      <c r="C1511">
        <v>2432</v>
      </c>
      <c r="D1511" t="s">
        <v>6</v>
      </c>
      <c r="E1511" t="str">
        <f>IF(june[[#This Row],[ShiftCounter]]&gt;0, "Running", "Down")</f>
        <v>Running</v>
      </c>
    </row>
    <row r="1512" spans="1:5" x14ac:dyDescent="0.25">
      <c r="A1512" s="8">
        <v>44726</v>
      </c>
      <c r="B1512" t="s">
        <v>41</v>
      </c>
      <c r="C1512">
        <v>2232</v>
      </c>
      <c r="D1512" t="s">
        <v>7</v>
      </c>
      <c r="E1512" t="str">
        <f>IF(june[[#This Row],[ShiftCounter]]&gt;0, "Running", "Down")</f>
        <v>Running</v>
      </c>
    </row>
    <row r="1513" spans="1:5" x14ac:dyDescent="0.25">
      <c r="A1513" s="8">
        <v>44726</v>
      </c>
      <c r="B1513" t="s">
        <v>41</v>
      </c>
      <c r="C1513">
        <v>2135</v>
      </c>
      <c r="D1513" t="s">
        <v>8</v>
      </c>
      <c r="E1513" t="str">
        <f>IF(june[[#This Row],[ShiftCounter]]&gt;0, "Running", "Down")</f>
        <v>Running</v>
      </c>
    </row>
    <row r="1514" spans="1:5" x14ac:dyDescent="0.25">
      <c r="A1514" s="8">
        <v>44726</v>
      </c>
      <c r="B1514" t="s">
        <v>9</v>
      </c>
      <c r="C1514">
        <v>1024</v>
      </c>
      <c r="D1514" t="s">
        <v>6</v>
      </c>
      <c r="E1514" t="str">
        <f>IF(june[[#This Row],[ShiftCounter]]&gt;0, "Running", "Down")</f>
        <v>Running</v>
      </c>
    </row>
    <row r="1515" spans="1:5" x14ac:dyDescent="0.25">
      <c r="A1515" s="8">
        <v>44726</v>
      </c>
      <c r="B1515" t="s">
        <v>9</v>
      </c>
      <c r="C1515">
        <v>2269</v>
      </c>
      <c r="D1515" t="s">
        <v>7</v>
      </c>
      <c r="E1515" t="str">
        <f>IF(june[[#This Row],[ShiftCounter]]&gt;0, "Running", "Down")</f>
        <v>Running</v>
      </c>
    </row>
    <row r="1516" spans="1:5" x14ac:dyDescent="0.25">
      <c r="A1516" s="8">
        <v>44726</v>
      </c>
      <c r="B1516" t="s">
        <v>9</v>
      </c>
      <c r="C1516">
        <v>2027</v>
      </c>
      <c r="D1516" t="s">
        <v>8</v>
      </c>
      <c r="E1516" t="str">
        <f>IF(june[[#This Row],[ShiftCounter]]&gt;0, "Running", "Down")</f>
        <v>Running</v>
      </c>
    </row>
    <row r="1517" spans="1:5" x14ac:dyDescent="0.25">
      <c r="A1517" s="8">
        <v>44726</v>
      </c>
      <c r="B1517" t="s">
        <v>11</v>
      </c>
      <c r="C1517">
        <v>2366</v>
      </c>
      <c r="D1517" t="s">
        <v>6</v>
      </c>
      <c r="E1517" t="str">
        <f>IF(june[[#This Row],[ShiftCounter]]&gt;0, "Running", "Down")</f>
        <v>Running</v>
      </c>
    </row>
    <row r="1518" spans="1:5" x14ac:dyDescent="0.25">
      <c r="A1518" s="8">
        <v>44726</v>
      </c>
      <c r="B1518" t="s">
        <v>11</v>
      </c>
      <c r="C1518">
        <v>2250</v>
      </c>
      <c r="D1518" t="s">
        <v>7</v>
      </c>
      <c r="E1518" t="str">
        <f>IF(june[[#This Row],[ShiftCounter]]&gt;0, "Running", "Down")</f>
        <v>Running</v>
      </c>
    </row>
    <row r="1519" spans="1:5" x14ac:dyDescent="0.25">
      <c r="A1519" s="8">
        <v>44726</v>
      </c>
      <c r="B1519" t="s">
        <v>11</v>
      </c>
      <c r="C1519">
        <v>2142</v>
      </c>
      <c r="D1519" t="s">
        <v>8</v>
      </c>
      <c r="E1519" t="str">
        <f>IF(june[[#This Row],[ShiftCounter]]&gt;0, "Running", "Down")</f>
        <v>Running</v>
      </c>
    </row>
    <row r="1520" spans="1:5" x14ac:dyDescent="0.25">
      <c r="A1520" s="8">
        <v>44726</v>
      </c>
      <c r="B1520" t="s">
        <v>10</v>
      </c>
      <c r="C1520">
        <v>2410</v>
      </c>
      <c r="D1520" t="s">
        <v>6</v>
      </c>
      <c r="E1520" t="str">
        <f>IF(june[[#This Row],[ShiftCounter]]&gt;0, "Running", "Down")</f>
        <v>Running</v>
      </c>
    </row>
    <row r="1521" spans="1:5" x14ac:dyDescent="0.25">
      <c r="A1521" s="8">
        <v>44726</v>
      </c>
      <c r="B1521" t="s">
        <v>10</v>
      </c>
      <c r="C1521">
        <v>2218</v>
      </c>
      <c r="D1521" t="s">
        <v>7</v>
      </c>
      <c r="E1521" t="str">
        <f>IF(june[[#This Row],[ShiftCounter]]&gt;0, "Running", "Down")</f>
        <v>Running</v>
      </c>
    </row>
    <row r="1522" spans="1:5" x14ac:dyDescent="0.25">
      <c r="A1522" s="8">
        <v>44726</v>
      </c>
      <c r="B1522" t="s">
        <v>10</v>
      </c>
      <c r="C1522">
        <v>2111</v>
      </c>
      <c r="D1522" t="s">
        <v>8</v>
      </c>
      <c r="E1522" t="str">
        <f>IF(june[[#This Row],[ShiftCounter]]&gt;0, "Running", "Down")</f>
        <v>Running</v>
      </c>
    </row>
    <row r="1523" spans="1:5" x14ac:dyDescent="0.25">
      <c r="A1523" s="8">
        <v>44726</v>
      </c>
      <c r="B1523" t="s">
        <v>12</v>
      </c>
      <c r="C1523">
        <v>2407</v>
      </c>
      <c r="D1523" t="s">
        <v>6</v>
      </c>
      <c r="E1523" t="str">
        <f>IF(june[[#This Row],[ShiftCounter]]&gt;0, "Running", "Down")</f>
        <v>Running</v>
      </c>
    </row>
    <row r="1524" spans="1:5" x14ac:dyDescent="0.25">
      <c r="A1524" s="8">
        <v>44726</v>
      </c>
      <c r="B1524" t="s">
        <v>12</v>
      </c>
      <c r="C1524">
        <v>2082</v>
      </c>
      <c r="D1524" t="s">
        <v>7</v>
      </c>
      <c r="E1524" t="str">
        <f>IF(june[[#This Row],[ShiftCounter]]&gt;0, "Running", "Down")</f>
        <v>Running</v>
      </c>
    </row>
    <row r="1525" spans="1:5" x14ac:dyDescent="0.25">
      <c r="A1525" s="8">
        <v>44726</v>
      </c>
      <c r="B1525" t="s">
        <v>12</v>
      </c>
      <c r="C1525">
        <v>2016</v>
      </c>
      <c r="D1525" t="s">
        <v>8</v>
      </c>
      <c r="E1525" t="str">
        <f>IF(june[[#This Row],[ShiftCounter]]&gt;0, "Running", "Down")</f>
        <v>Running</v>
      </c>
    </row>
    <row r="1526" spans="1:5" x14ac:dyDescent="0.25">
      <c r="A1526" s="8">
        <v>44726</v>
      </c>
      <c r="B1526" t="s">
        <v>13</v>
      </c>
      <c r="C1526">
        <v>2241</v>
      </c>
      <c r="D1526" t="s">
        <v>6</v>
      </c>
      <c r="E1526" t="str">
        <f>IF(june[[#This Row],[ShiftCounter]]&gt;0, "Running", "Down")</f>
        <v>Running</v>
      </c>
    </row>
    <row r="1527" spans="1:5" x14ac:dyDescent="0.25">
      <c r="A1527" s="8">
        <v>44726</v>
      </c>
      <c r="B1527" t="s">
        <v>13</v>
      </c>
      <c r="C1527">
        <v>2055</v>
      </c>
      <c r="D1527" t="s">
        <v>7</v>
      </c>
      <c r="E1527" t="str">
        <f>IF(june[[#This Row],[ShiftCounter]]&gt;0, "Running", "Down")</f>
        <v>Running</v>
      </c>
    </row>
    <row r="1528" spans="1:5" x14ac:dyDescent="0.25">
      <c r="A1528" s="8">
        <v>44726</v>
      </c>
      <c r="B1528" t="s">
        <v>13</v>
      </c>
      <c r="C1528">
        <v>2052</v>
      </c>
      <c r="D1528" t="s">
        <v>8</v>
      </c>
      <c r="E1528" t="str">
        <f>IF(june[[#This Row],[ShiftCounter]]&gt;0, "Running", "Down")</f>
        <v>Running</v>
      </c>
    </row>
    <row r="1529" spans="1:5" x14ac:dyDescent="0.25">
      <c r="A1529" s="8">
        <v>44726</v>
      </c>
      <c r="B1529" t="s">
        <v>101</v>
      </c>
      <c r="C1529">
        <v>2083</v>
      </c>
      <c r="D1529" t="s">
        <v>6</v>
      </c>
      <c r="E1529" t="str">
        <f>IF(june[[#This Row],[ShiftCounter]]&gt;0, "Running", "Down")</f>
        <v>Running</v>
      </c>
    </row>
    <row r="1530" spans="1:5" x14ac:dyDescent="0.25">
      <c r="A1530" s="8">
        <v>44726</v>
      </c>
      <c r="B1530" t="s">
        <v>101</v>
      </c>
      <c r="C1530">
        <v>2075</v>
      </c>
      <c r="D1530" t="s">
        <v>7</v>
      </c>
      <c r="E1530" t="str">
        <f>IF(june[[#This Row],[ShiftCounter]]&gt;0, "Running", "Down")</f>
        <v>Running</v>
      </c>
    </row>
    <row r="1531" spans="1:5" x14ac:dyDescent="0.25">
      <c r="A1531" s="8">
        <v>44726</v>
      </c>
      <c r="B1531" t="s">
        <v>101</v>
      </c>
      <c r="C1531">
        <v>1975</v>
      </c>
      <c r="D1531" t="s">
        <v>8</v>
      </c>
      <c r="E1531" t="str">
        <f>IF(june[[#This Row],[ShiftCounter]]&gt;0, "Running", "Down")</f>
        <v>Running</v>
      </c>
    </row>
    <row r="1532" spans="1:5" x14ac:dyDescent="0.25">
      <c r="A1532" s="8">
        <v>44726</v>
      </c>
      <c r="B1532" t="s">
        <v>14</v>
      </c>
      <c r="C1532">
        <v>2250</v>
      </c>
      <c r="D1532" t="s">
        <v>6</v>
      </c>
      <c r="E1532" t="str">
        <f>IF(june[[#This Row],[ShiftCounter]]&gt;0, "Running", "Down")</f>
        <v>Running</v>
      </c>
    </row>
    <row r="1533" spans="1:5" x14ac:dyDescent="0.25">
      <c r="A1533" s="8">
        <v>44726</v>
      </c>
      <c r="B1533" t="s">
        <v>14</v>
      </c>
      <c r="C1533">
        <v>2186</v>
      </c>
      <c r="D1533" t="s">
        <v>7</v>
      </c>
      <c r="E1533" t="str">
        <f>IF(june[[#This Row],[ShiftCounter]]&gt;0, "Running", "Down")</f>
        <v>Running</v>
      </c>
    </row>
    <row r="1534" spans="1:5" x14ac:dyDescent="0.25">
      <c r="A1534" s="8">
        <v>44726</v>
      </c>
      <c r="B1534" t="s">
        <v>14</v>
      </c>
      <c r="C1534">
        <v>2195</v>
      </c>
      <c r="D1534" t="s">
        <v>8</v>
      </c>
      <c r="E1534" t="str">
        <f>IF(june[[#This Row],[ShiftCounter]]&gt;0, "Running", "Down")</f>
        <v>Running</v>
      </c>
    </row>
    <row r="1535" spans="1:5" x14ac:dyDescent="0.25">
      <c r="A1535" s="8">
        <v>44726</v>
      </c>
      <c r="B1535" t="s">
        <v>15</v>
      </c>
      <c r="C1535">
        <v>2295</v>
      </c>
      <c r="D1535" t="s">
        <v>6</v>
      </c>
      <c r="E1535" t="str">
        <f>IF(june[[#This Row],[ShiftCounter]]&gt;0, "Running", "Down")</f>
        <v>Running</v>
      </c>
    </row>
    <row r="1536" spans="1:5" x14ac:dyDescent="0.25">
      <c r="A1536" s="8">
        <v>44726</v>
      </c>
      <c r="B1536" t="s">
        <v>15</v>
      </c>
      <c r="C1536">
        <v>2253</v>
      </c>
      <c r="D1536" t="s">
        <v>7</v>
      </c>
      <c r="E1536" t="str">
        <f>IF(june[[#This Row],[ShiftCounter]]&gt;0, "Running", "Down")</f>
        <v>Running</v>
      </c>
    </row>
    <row r="1537" spans="1:5" x14ac:dyDescent="0.25">
      <c r="A1537" s="8">
        <v>44726</v>
      </c>
      <c r="B1537" t="s">
        <v>15</v>
      </c>
      <c r="C1537">
        <v>1944</v>
      </c>
      <c r="D1537" t="s">
        <v>8</v>
      </c>
      <c r="E1537" t="str">
        <f>IF(june[[#This Row],[ShiftCounter]]&gt;0, "Running", "Down")</f>
        <v>Running</v>
      </c>
    </row>
    <row r="1538" spans="1:5" x14ac:dyDescent="0.25">
      <c r="A1538" s="8">
        <v>44726</v>
      </c>
      <c r="B1538" t="s">
        <v>16</v>
      </c>
      <c r="C1538">
        <v>2217</v>
      </c>
      <c r="D1538" t="s">
        <v>6</v>
      </c>
      <c r="E1538" t="str">
        <f>IF(june[[#This Row],[ShiftCounter]]&gt;0, "Running", "Down")</f>
        <v>Running</v>
      </c>
    </row>
    <row r="1539" spans="1:5" x14ac:dyDescent="0.25">
      <c r="A1539" s="8">
        <v>44726</v>
      </c>
      <c r="B1539" t="s">
        <v>16</v>
      </c>
      <c r="C1539">
        <v>2210</v>
      </c>
      <c r="D1539" t="s">
        <v>7</v>
      </c>
      <c r="E1539" t="str">
        <f>IF(june[[#This Row],[ShiftCounter]]&gt;0, "Running", "Down")</f>
        <v>Running</v>
      </c>
    </row>
    <row r="1540" spans="1:5" x14ac:dyDescent="0.25">
      <c r="A1540" s="8">
        <v>44726</v>
      </c>
      <c r="B1540" t="s">
        <v>16</v>
      </c>
      <c r="C1540">
        <v>2054</v>
      </c>
      <c r="D1540" t="s">
        <v>8</v>
      </c>
      <c r="E1540" t="str">
        <f>IF(june[[#This Row],[ShiftCounter]]&gt;0, "Running", "Down")</f>
        <v>Running</v>
      </c>
    </row>
    <row r="1541" spans="1:5" x14ac:dyDescent="0.25">
      <c r="A1541" s="8">
        <v>44726</v>
      </c>
      <c r="B1541" t="s">
        <v>17</v>
      </c>
      <c r="C1541">
        <v>2495</v>
      </c>
      <c r="D1541" t="s">
        <v>6</v>
      </c>
      <c r="E1541" t="str">
        <f>IF(june[[#This Row],[ShiftCounter]]&gt;0, "Running", "Down")</f>
        <v>Running</v>
      </c>
    </row>
    <row r="1542" spans="1:5" x14ac:dyDescent="0.25">
      <c r="A1542" s="8">
        <v>44726</v>
      </c>
      <c r="B1542" t="s">
        <v>17</v>
      </c>
      <c r="C1542">
        <v>2289</v>
      </c>
      <c r="D1542" t="s">
        <v>7</v>
      </c>
      <c r="E1542" t="str">
        <f>IF(june[[#This Row],[ShiftCounter]]&gt;0, "Running", "Down")</f>
        <v>Running</v>
      </c>
    </row>
    <row r="1543" spans="1:5" x14ac:dyDescent="0.25">
      <c r="A1543" s="8">
        <v>44726</v>
      </c>
      <c r="B1543" t="s">
        <v>17</v>
      </c>
      <c r="C1543">
        <v>2303</v>
      </c>
      <c r="D1543" t="s">
        <v>8</v>
      </c>
      <c r="E1543" t="str">
        <f>IF(june[[#This Row],[ShiftCounter]]&gt;0, "Running", "Down")</f>
        <v>Running</v>
      </c>
    </row>
    <row r="1544" spans="1:5" x14ac:dyDescent="0.25">
      <c r="A1544" s="8">
        <v>44726</v>
      </c>
      <c r="B1544" t="s">
        <v>19</v>
      </c>
      <c r="C1544">
        <v>2021</v>
      </c>
      <c r="D1544" t="s">
        <v>6</v>
      </c>
      <c r="E1544" t="str">
        <f>IF(june[[#This Row],[ShiftCounter]]&gt;0, "Running", "Down")</f>
        <v>Running</v>
      </c>
    </row>
    <row r="1545" spans="1:5" x14ac:dyDescent="0.25">
      <c r="A1545" s="8">
        <v>44726</v>
      </c>
      <c r="B1545" t="s">
        <v>19</v>
      </c>
      <c r="C1545">
        <v>1825</v>
      </c>
      <c r="D1545" t="s">
        <v>7</v>
      </c>
      <c r="E1545" t="str">
        <f>IF(june[[#This Row],[ShiftCounter]]&gt;0, "Running", "Down")</f>
        <v>Running</v>
      </c>
    </row>
    <row r="1546" spans="1:5" x14ac:dyDescent="0.25">
      <c r="A1546" s="8">
        <v>44726</v>
      </c>
      <c r="B1546" t="s">
        <v>19</v>
      </c>
      <c r="C1546">
        <v>1873</v>
      </c>
      <c r="D1546" t="s">
        <v>8</v>
      </c>
      <c r="E1546" t="str">
        <f>IF(june[[#This Row],[ShiftCounter]]&gt;0, "Running", "Down")</f>
        <v>Running</v>
      </c>
    </row>
    <row r="1547" spans="1:5" x14ac:dyDescent="0.25">
      <c r="A1547" s="8">
        <v>44726</v>
      </c>
      <c r="B1547" t="s">
        <v>18</v>
      </c>
      <c r="C1547">
        <v>2414</v>
      </c>
      <c r="D1547" t="s">
        <v>6</v>
      </c>
      <c r="E1547" t="str">
        <f>IF(june[[#This Row],[ShiftCounter]]&gt;0, "Running", "Down")</f>
        <v>Running</v>
      </c>
    </row>
    <row r="1548" spans="1:5" x14ac:dyDescent="0.25">
      <c r="A1548" s="8">
        <v>44726</v>
      </c>
      <c r="B1548" t="s">
        <v>18</v>
      </c>
      <c r="C1548">
        <v>2384</v>
      </c>
      <c r="D1548" t="s">
        <v>7</v>
      </c>
      <c r="E1548" t="str">
        <f>IF(june[[#This Row],[ShiftCounter]]&gt;0, "Running", "Down")</f>
        <v>Running</v>
      </c>
    </row>
    <row r="1549" spans="1:5" x14ac:dyDescent="0.25">
      <c r="A1549" s="8">
        <v>44726</v>
      </c>
      <c r="B1549" t="s">
        <v>18</v>
      </c>
      <c r="C1549">
        <v>2286</v>
      </c>
      <c r="D1549" t="s">
        <v>8</v>
      </c>
      <c r="E1549" t="str">
        <f>IF(june[[#This Row],[ShiftCounter]]&gt;0, "Running", "Down")</f>
        <v>Running</v>
      </c>
    </row>
    <row r="1550" spans="1:5" x14ac:dyDescent="0.25">
      <c r="A1550" s="8">
        <v>44726</v>
      </c>
      <c r="B1550" t="s">
        <v>42</v>
      </c>
      <c r="C1550">
        <v>2180</v>
      </c>
      <c r="D1550" t="s">
        <v>6</v>
      </c>
      <c r="E1550" t="str">
        <f>IF(june[[#This Row],[ShiftCounter]]&gt;0, "Running", "Down")</f>
        <v>Running</v>
      </c>
    </row>
    <row r="1551" spans="1:5" x14ac:dyDescent="0.25">
      <c r="A1551" s="8">
        <v>44726</v>
      </c>
      <c r="B1551" t="s">
        <v>42</v>
      </c>
      <c r="C1551">
        <v>2219</v>
      </c>
      <c r="D1551" t="s">
        <v>7</v>
      </c>
      <c r="E1551" t="str">
        <f>IF(june[[#This Row],[ShiftCounter]]&gt;0, "Running", "Down")</f>
        <v>Running</v>
      </c>
    </row>
    <row r="1552" spans="1:5" x14ac:dyDescent="0.25">
      <c r="A1552" s="8">
        <v>44726</v>
      </c>
      <c r="B1552" t="s">
        <v>42</v>
      </c>
      <c r="C1552">
        <v>2051</v>
      </c>
      <c r="D1552" t="s">
        <v>8</v>
      </c>
      <c r="E1552" t="str">
        <f>IF(june[[#This Row],[ShiftCounter]]&gt;0, "Running", "Down")</f>
        <v>Running</v>
      </c>
    </row>
    <row r="1553" spans="1:5" x14ac:dyDescent="0.25">
      <c r="A1553" s="8">
        <v>44726</v>
      </c>
      <c r="B1553" t="s">
        <v>38</v>
      </c>
      <c r="C1553">
        <v>2370</v>
      </c>
      <c r="D1553" t="s">
        <v>6</v>
      </c>
      <c r="E1553" t="str">
        <f>IF(june[[#This Row],[ShiftCounter]]&gt;0, "Running", "Down")</f>
        <v>Running</v>
      </c>
    </row>
    <row r="1554" spans="1:5" x14ac:dyDescent="0.25">
      <c r="A1554" s="8">
        <v>44726</v>
      </c>
      <c r="B1554" t="s">
        <v>38</v>
      </c>
      <c r="C1554">
        <v>2401</v>
      </c>
      <c r="D1554" t="s">
        <v>7</v>
      </c>
      <c r="E1554" t="str">
        <f>IF(june[[#This Row],[ShiftCounter]]&gt;0, "Running", "Down")</f>
        <v>Running</v>
      </c>
    </row>
    <row r="1555" spans="1:5" x14ac:dyDescent="0.25">
      <c r="A1555" s="8">
        <v>44726</v>
      </c>
      <c r="B1555" t="s">
        <v>38</v>
      </c>
      <c r="C1555">
        <v>2250</v>
      </c>
      <c r="D1555" t="s">
        <v>8</v>
      </c>
      <c r="E1555" t="str">
        <f>IF(june[[#This Row],[ShiftCounter]]&gt;0, "Running", "Down")</f>
        <v>Running</v>
      </c>
    </row>
    <row r="1556" spans="1:5" x14ac:dyDescent="0.25">
      <c r="A1556" s="8">
        <v>44726</v>
      </c>
      <c r="B1556" t="s">
        <v>20</v>
      </c>
      <c r="C1556">
        <v>2019</v>
      </c>
      <c r="D1556" t="s">
        <v>6</v>
      </c>
      <c r="E1556" t="str">
        <f>IF(june[[#This Row],[ShiftCounter]]&gt;0, "Running", "Down")</f>
        <v>Running</v>
      </c>
    </row>
    <row r="1557" spans="1:5" x14ac:dyDescent="0.25">
      <c r="A1557" s="8">
        <v>44726</v>
      </c>
      <c r="B1557" t="s">
        <v>20</v>
      </c>
      <c r="C1557">
        <v>2068</v>
      </c>
      <c r="D1557" t="s">
        <v>7</v>
      </c>
      <c r="E1557" t="str">
        <f>IF(june[[#This Row],[ShiftCounter]]&gt;0, "Running", "Down")</f>
        <v>Running</v>
      </c>
    </row>
    <row r="1558" spans="1:5" x14ac:dyDescent="0.25">
      <c r="A1558" s="8">
        <v>44726</v>
      </c>
      <c r="B1558" t="s">
        <v>20</v>
      </c>
      <c r="C1558">
        <v>1945</v>
      </c>
      <c r="D1558" t="s">
        <v>8</v>
      </c>
      <c r="E1558" t="str">
        <f>IF(june[[#This Row],[ShiftCounter]]&gt;0, "Running", "Down")</f>
        <v>Running</v>
      </c>
    </row>
    <row r="1559" spans="1:5" x14ac:dyDescent="0.25">
      <c r="A1559" s="8">
        <v>44726</v>
      </c>
      <c r="B1559" t="s">
        <v>21</v>
      </c>
      <c r="C1559">
        <v>2028</v>
      </c>
      <c r="D1559" t="s">
        <v>6</v>
      </c>
      <c r="E1559" t="str">
        <f>IF(june[[#This Row],[ShiftCounter]]&gt;0, "Running", "Down")</f>
        <v>Running</v>
      </c>
    </row>
    <row r="1560" spans="1:5" x14ac:dyDescent="0.25">
      <c r="A1560" s="8">
        <v>44726</v>
      </c>
      <c r="B1560" t="s">
        <v>21</v>
      </c>
      <c r="C1560">
        <v>2103</v>
      </c>
      <c r="D1560" t="s">
        <v>7</v>
      </c>
      <c r="E1560" t="str">
        <f>IF(june[[#This Row],[ShiftCounter]]&gt;0, "Running", "Down")</f>
        <v>Running</v>
      </c>
    </row>
    <row r="1561" spans="1:5" x14ac:dyDescent="0.25">
      <c r="A1561" s="8">
        <v>44726</v>
      </c>
      <c r="B1561" t="s">
        <v>21</v>
      </c>
      <c r="C1561">
        <v>1980</v>
      </c>
      <c r="D1561" t="s">
        <v>8</v>
      </c>
      <c r="E1561" t="str">
        <f>IF(june[[#This Row],[ShiftCounter]]&gt;0, "Running", "Down")</f>
        <v>Running</v>
      </c>
    </row>
    <row r="1562" spans="1:5" x14ac:dyDescent="0.25">
      <c r="A1562" s="8">
        <v>44726</v>
      </c>
      <c r="B1562" t="s">
        <v>22</v>
      </c>
      <c r="C1562">
        <v>1689</v>
      </c>
      <c r="D1562" t="s">
        <v>6</v>
      </c>
      <c r="E1562" t="str">
        <f>IF(june[[#This Row],[ShiftCounter]]&gt;0, "Running", "Down")</f>
        <v>Running</v>
      </c>
    </row>
    <row r="1563" spans="1:5" x14ac:dyDescent="0.25">
      <c r="A1563" s="8">
        <v>44726</v>
      </c>
      <c r="B1563" t="s">
        <v>22</v>
      </c>
      <c r="C1563">
        <v>2435</v>
      </c>
      <c r="D1563" t="s">
        <v>7</v>
      </c>
      <c r="E1563" t="str">
        <f>IF(june[[#This Row],[ShiftCounter]]&gt;0, "Running", "Down")</f>
        <v>Running</v>
      </c>
    </row>
    <row r="1564" spans="1:5" x14ac:dyDescent="0.25">
      <c r="A1564" s="8">
        <v>44726</v>
      </c>
      <c r="B1564" t="s">
        <v>22</v>
      </c>
      <c r="C1564">
        <v>2309</v>
      </c>
      <c r="D1564" t="s">
        <v>8</v>
      </c>
      <c r="E1564" t="str">
        <f>IF(june[[#This Row],[ShiftCounter]]&gt;0, "Running", "Down")</f>
        <v>Running</v>
      </c>
    </row>
    <row r="1565" spans="1:5" x14ac:dyDescent="0.25">
      <c r="A1565" s="8">
        <v>44726</v>
      </c>
      <c r="B1565" t="s">
        <v>23</v>
      </c>
      <c r="C1565">
        <v>1861</v>
      </c>
      <c r="D1565" t="s">
        <v>6</v>
      </c>
      <c r="E1565" t="str">
        <f>IF(june[[#This Row],[ShiftCounter]]&gt;0, "Running", "Down")</f>
        <v>Running</v>
      </c>
    </row>
    <row r="1566" spans="1:5" x14ac:dyDescent="0.25">
      <c r="A1566" s="8">
        <v>44726</v>
      </c>
      <c r="B1566" t="s">
        <v>23</v>
      </c>
      <c r="C1566">
        <v>2304</v>
      </c>
      <c r="D1566" t="s">
        <v>7</v>
      </c>
      <c r="E1566" t="str">
        <f>IF(june[[#This Row],[ShiftCounter]]&gt;0, "Running", "Down")</f>
        <v>Running</v>
      </c>
    </row>
    <row r="1567" spans="1:5" x14ac:dyDescent="0.25">
      <c r="A1567" s="8">
        <v>44726</v>
      </c>
      <c r="B1567" t="s">
        <v>23</v>
      </c>
      <c r="C1567">
        <v>2358</v>
      </c>
      <c r="D1567" t="s">
        <v>8</v>
      </c>
      <c r="E1567" t="str">
        <f>IF(june[[#This Row],[ShiftCounter]]&gt;0, "Running", "Down")</f>
        <v>Running</v>
      </c>
    </row>
    <row r="1568" spans="1:5" x14ac:dyDescent="0.25">
      <c r="A1568" s="8">
        <v>44726</v>
      </c>
      <c r="B1568" t="s">
        <v>24</v>
      </c>
      <c r="C1568">
        <v>1989</v>
      </c>
      <c r="D1568" t="s">
        <v>6</v>
      </c>
      <c r="E1568" t="str">
        <f>IF(june[[#This Row],[ShiftCounter]]&gt;0, "Running", "Down")</f>
        <v>Running</v>
      </c>
    </row>
    <row r="1569" spans="1:5" x14ac:dyDescent="0.25">
      <c r="A1569" s="8">
        <v>44726</v>
      </c>
      <c r="B1569" t="s">
        <v>24</v>
      </c>
      <c r="C1569">
        <v>2069</v>
      </c>
      <c r="D1569" t="s">
        <v>7</v>
      </c>
      <c r="E1569" t="str">
        <f>IF(june[[#This Row],[ShiftCounter]]&gt;0, "Running", "Down")</f>
        <v>Running</v>
      </c>
    </row>
    <row r="1570" spans="1:5" x14ac:dyDescent="0.25">
      <c r="A1570" s="8">
        <v>44726</v>
      </c>
      <c r="B1570" t="s">
        <v>24</v>
      </c>
      <c r="C1570">
        <v>1946</v>
      </c>
      <c r="D1570" t="s">
        <v>8</v>
      </c>
      <c r="E1570" t="str">
        <f>IF(june[[#This Row],[ShiftCounter]]&gt;0, "Running", "Down")</f>
        <v>Running</v>
      </c>
    </row>
    <row r="1571" spans="1:5" x14ac:dyDescent="0.25">
      <c r="A1571" s="8">
        <v>44726</v>
      </c>
      <c r="B1571" t="s">
        <v>25</v>
      </c>
      <c r="C1571">
        <v>2232</v>
      </c>
      <c r="D1571" t="s">
        <v>6</v>
      </c>
      <c r="E1571" t="str">
        <f>IF(june[[#This Row],[ShiftCounter]]&gt;0, "Running", "Down")</f>
        <v>Running</v>
      </c>
    </row>
    <row r="1572" spans="1:5" x14ac:dyDescent="0.25">
      <c r="A1572" s="8">
        <v>44726</v>
      </c>
      <c r="B1572" t="s">
        <v>25</v>
      </c>
      <c r="C1572">
        <v>2178</v>
      </c>
      <c r="D1572" t="s">
        <v>7</v>
      </c>
      <c r="E1572" t="str">
        <f>IF(june[[#This Row],[ShiftCounter]]&gt;0, "Running", "Down")</f>
        <v>Running</v>
      </c>
    </row>
    <row r="1573" spans="1:5" x14ac:dyDescent="0.25">
      <c r="A1573" s="8">
        <v>44726</v>
      </c>
      <c r="B1573" t="s">
        <v>25</v>
      </c>
      <c r="C1573">
        <v>2184</v>
      </c>
      <c r="D1573" t="s">
        <v>8</v>
      </c>
      <c r="E1573" t="str">
        <f>IF(june[[#This Row],[ShiftCounter]]&gt;0, "Running", "Down")</f>
        <v>Running</v>
      </c>
    </row>
    <row r="1574" spans="1:5" x14ac:dyDescent="0.25">
      <c r="A1574" s="8">
        <v>44726</v>
      </c>
      <c r="B1574" t="s">
        <v>26</v>
      </c>
      <c r="C1574">
        <v>2045</v>
      </c>
      <c r="D1574" t="s">
        <v>6</v>
      </c>
      <c r="E1574" t="str">
        <f>IF(june[[#This Row],[ShiftCounter]]&gt;0, "Running", "Down")</f>
        <v>Running</v>
      </c>
    </row>
    <row r="1575" spans="1:5" x14ac:dyDescent="0.25">
      <c r="A1575" s="8">
        <v>44726</v>
      </c>
      <c r="B1575" t="s">
        <v>26</v>
      </c>
      <c r="C1575">
        <v>2018</v>
      </c>
      <c r="D1575" t="s">
        <v>7</v>
      </c>
      <c r="E1575" t="str">
        <f>IF(june[[#This Row],[ShiftCounter]]&gt;0, "Running", "Down")</f>
        <v>Running</v>
      </c>
    </row>
    <row r="1576" spans="1:5" x14ac:dyDescent="0.25">
      <c r="A1576" s="8">
        <v>44726</v>
      </c>
      <c r="B1576" t="s">
        <v>26</v>
      </c>
      <c r="C1576">
        <v>2005</v>
      </c>
      <c r="D1576" t="s">
        <v>8</v>
      </c>
      <c r="E1576" t="str">
        <f>IF(june[[#This Row],[ShiftCounter]]&gt;0, "Running", "Down")</f>
        <v>Running</v>
      </c>
    </row>
    <row r="1577" spans="1:5" x14ac:dyDescent="0.25">
      <c r="A1577" s="8">
        <v>44726</v>
      </c>
      <c r="B1577" t="s">
        <v>28</v>
      </c>
      <c r="C1577">
        <v>2194</v>
      </c>
      <c r="D1577" t="s">
        <v>6</v>
      </c>
      <c r="E1577" t="str">
        <f>IF(june[[#This Row],[ShiftCounter]]&gt;0, "Running", "Down")</f>
        <v>Running</v>
      </c>
    </row>
    <row r="1578" spans="1:5" x14ac:dyDescent="0.25">
      <c r="A1578" s="8">
        <v>44726</v>
      </c>
      <c r="B1578" t="s">
        <v>28</v>
      </c>
      <c r="C1578">
        <v>2229</v>
      </c>
      <c r="D1578" t="s">
        <v>7</v>
      </c>
      <c r="E1578" t="str">
        <f>IF(june[[#This Row],[ShiftCounter]]&gt;0, "Running", "Down")</f>
        <v>Running</v>
      </c>
    </row>
    <row r="1579" spans="1:5" x14ac:dyDescent="0.25">
      <c r="A1579" s="8">
        <v>44726</v>
      </c>
      <c r="B1579" t="s">
        <v>28</v>
      </c>
      <c r="C1579">
        <v>2160</v>
      </c>
      <c r="D1579" t="s">
        <v>8</v>
      </c>
      <c r="E1579" t="str">
        <f>IF(june[[#This Row],[ShiftCounter]]&gt;0, "Running", "Down")</f>
        <v>Running</v>
      </c>
    </row>
    <row r="1580" spans="1:5" x14ac:dyDescent="0.25">
      <c r="A1580" s="8">
        <v>44726</v>
      </c>
      <c r="B1580" t="s">
        <v>27</v>
      </c>
      <c r="C1580">
        <v>2186</v>
      </c>
      <c r="D1580" t="s">
        <v>6</v>
      </c>
      <c r="E1580" t="str">
        <f>IF(june[[#This Row],[ShiftCounter]]&gt;0, "Running", "Down")</f>
        <v>Running</v>
      </c>
    </row>
    <row r="1581" spans="1:5" x14ac:dyDescent="0.25">
      <c r="A1581" s="8">
        <v>44726</v>
      </c>
      <c r="B1581" t="s">
        <v>27</v>
      </c>
      <c r="C1581">
        <v>2174</v>
      </c>
      <c r="D1581" t="s">
        <v>7</v>
      </c>
      <c r="E1581" t="str">
        <f>IF(june[[#This Row],[ShiftCounter]]&gt;0, "Running", "Down")</f>
        <v>Running</v>
      </c>
    </row>
    <row r="1582" spans="1:5" x14ac:dyDescent="0.25">
      <c r="A1582" s="8">
        <v>44726</v>
      </c>
      <c r="B1582" t="s">
        <v>27</v>
      </c>
      <c r="C1582">
        <v>2223</v>
      </c>
      <c r="D1582" t="s">
        <v>8</v>
      </c>
      <c r="E1582" t="str">
        <f>IF(june[[#This Row],[ShiftCounter]]&gt;0, "Running", "Down")</f>
        <v>Running</v>
      </c>
    </row>
    <row r="1583" spans="1:5" x14ac:dyDescent="0.25">
      <c r="A1583" s="8">
        <v>44726</v>
      </c>
      <c r="B1583" t="s">
        <v>30</v>
      </c>
      <c r="C1583">
        <v>2240</v>
      </c>
      <c r="D1583" t="s">
        <v>6</v>
      </c>
      <c r="E1583" t="str">
        <f>IF(june[[#This Row],[ShiftCounter]]&gt;0, "Running", "Down")</f>
        <v>Running</v>
      </c>
    </row>
    <row r="1584" spans="1:5" x14ac:dyDescent="0.25">
      <c r="A1584" s="8">
        <v>44726</v>
      </c>
      <c r="B1584" t="s">
        <v>30</v>
      </c>
      <c r="C1584">
        <v>2319</v>
      </c>
      <c r="D1584" t="s">
        <v>7</v>
      </c>
      <c r="E1584" t="str">
        <f>IF(june[[#This Row],[ShiftCounter]]&gt;0, "Running", "Down")</f>
        <v>Running</v>
      </c>
    </row>
    <row r="1585" spans="1:5" x14ac:dyDescent="0.25">
      <c r="A1585" s="8">
        <v>44726</v>
      </c>
      <c r="B1585" t="s">
        <v>30</v>
      </c>
      <c r="C1585">
        <v>2207</v>
      </c>
      <c r="D1585" t="s">
        <v>8</v>
      </c>
      <c r="E1585" t="str">
        <f>IF(june[[#This Row],[ShiftCounter]]&gt;0, "Running", "Down")</f>
        <v>Running</v>
      </c>
    </row>
    <row r="1586" spans="1:5" x14ac:dyDescent="0.25">
      <c r="A1586" s="8">
        <v>44726</v>
      </c>
      <c r="B1586" t="s">
        <v>29</v>
      </c>
      <c r="C1586">
        <v>2033</v>
      </c>
      <c r="D1586" t="s">
        <v>6</v>
      </c>
      <c r="E1586" t="str">
        <f>IF(june[[#This Row],[ShiftCounter]]&gt;0, "Running", "Down")</f>
        <v>Running</v>
      </c>
    </row>
    <row r="1587" spans="1:5" x14ac:dyDescent="0.25">
      <c r="A1587" s="8">
        <v>44726</v>
      </c>
      <c r="B1587" t="s">
        <v>29</v>
      </c>
      <c r="C1587">
        <v>2232</v>
      </c>
      <c r="D1587" t="s">
        <v>7</v>
      </c>
      <c r="E1587" t="str">
        <f>IF(june[[#This Row],[ShiftCounter]]&gt;0, "Running", "Down")</f>
        <v>Running</v>
      </c>
    </row>
    <row r="1588" spans="1:5" x14ac:dyDescent="0.25">
      <c r="A1588" s="8">
        <v>44726</v>
      </c>
      <c r="B1588" t="s">
        <v>29</v>
      </c>
      <c r="C1588">
        <v>2144</v>
      </c>
      <c r="D1588" t="s">
        <v>8</v>
      </c>
      <c r="E1588" t="str">
        <f>IF(june[[#This Row],[ShiftCounter]]&gt;0, "Running", "Down")</f>
        <v>Running</v>
      </c>
    </row>
    <row r="1589" spans="1:5" x14ac:dyDescent="0.25">
      <c r="A1589" s="8">
        <v>44726</v>
      </c>
      <c r="B1589" t="s">
        <v>32</v>
      </c>
      <c r="C1589">
        <v>2520</v>
      </c>
      <c r="D1589" t="s">
        <v>6</v>
      </c>
      <c r="E1589" t="str">
        <f>IF(june[[#This Row],[ShiftCounter]]&gt;0, "Running", "Down")</f>
        <v>Running</v>
      </c>
    </row>
    <row r="1590" spans="1:5" x14ac:dyDescent="0.25">
      <c r="A1590" s="8">
        <v>44726</v>
      </c>
      <c r="B1590" t="s">
        <v>32</v>
      </c>
      <c r="C1590">
        <v>2612</v>
      </c>
      <c r="D1590" t="s">
        <v>7</v>
      </c>
      <c r="E1590" t="str">
        <f>IF(june[[#This Row],[ShiftCounter]]&gt;0, "Running", "Down")</f>
        <v>Running</v>
      </c>
    </row>
    <row r="1591" spans="1:5" x14ac:dyDescent="0.25">
      <c r="A1591" s="8">
        <v>44726</v>
      </c>
      <c r="B1591" t="s">
        <v>32</v>
      </c>
      <c r="C1591">
        <v>2476</v>
      </c>
      <c r="D1591" t="s">
        <v>8</v>
      </c>
      <c r="E1591" t="str">
        <f>IF(june[[#This Row],[ShiftCounter]]&gt;0, "Running", "Down")</f>
        <v>Running</v>
      </c>
    </row>
    <row r="1592" spans="1:5" x14ac:dyDescent="0.25">
      <c r="A1592" s="8">
        <v>44726</v>
      </c>
      <c r="B1592" t="s">
        <v>31</v>
      </c>
      <c r="C1592">
        <v>2189</v>
      </c>
      <c r="D1592" t="s">
        <v>6</v>
      </c>
      <c r="E1592" t="str">
        <f>IF(june[[#This Row],[ShiftCounter]]&gt;0, "Running", "Down")</f>
        <v>Running</v>
      </c>
    </row>
    <row r="1593" spans="1:5" x14ac:dyDescent="0.25">
      <c r="A1593" s="8">
        <v>44726</v>
      </c>
      <c r="B1593" t="s">
        <v>31</v>
      </c>
      <c r="C1593">
        <v>2231</v>
      </c>
      <c r="D1593" t="s">
        <v>7</v>
      </c>
      <c r="E1593" t="str">
        <f>IF(june[[#This Row],[ShiftCounter]]&gt;0, "Running", "Down")</f>
        <v>Running</v>
      </c>
    </row>
    <row r="1594" spans="1:5" x14ac:dyDescent="0.25">
      <c r="A1594" s="8">
        <v>44726</v>
      </c>
      <c r="B1594" t="s">
        <v>31</v>
      </c>
      <c r="C1594">
        <v>2165</v>
      </c>
      <c r="D1594" t="s">
        <v>8</v>
      </c>
      <c r="E1594" t="str">
        <f>IF(june[[#This Row],[ShiftCounter]]&gt;0, "Running", "Down")</f>
        <v>Running</v>
      </c>
    </row>
    <row r="1595" spans="1:5" x14ac:dyDescent="0.25">
      <c r="A1595" s="8">
        <v>44726</v>
      </c>
      <c r="B1595" t="s">
        <v>67</v>
      </c>
      <c r="C1595">
        <v>2082</v>
      </c>
      <c r="D1595" t="s">
        <v>6</v>
      </c>
      <c r="E1595" t="str">
        <f>IF(june[[#This Row],[ShiftCounter]]&gt;0, "Running", "Down")</f>
        <v>Running</v>
      </c>
    </row>
    <row r="1596" spans="1:5" x14ac:dyDescent="0.25">
      <c r="A1596" s="8">
        <v>44726</v>
      </c>
      <c r="B1596" t="s">
        <v>67</v>
      </c>
      <c r="C1596">
        <v>2262</v>
      </c>
      <c r="D1596" t="s">
        <v>7</v>
      </c>
      <c r="E1596" t="str">
        <f>IF(june[[#This Row],[ShiftCounter]]&gt;0, "Running", "Down")</f>
        <v>Running</v>
      </c>
    </row>
    <row r="1597" spans="1:5" x14ac:dyDescent="0.25">
      <c r="A1597" s="8">
        <v>44726</v>
      </c>
      <c r="B1597" t="s">
        <v>67</v>
      </c>
      <c r="C1597">
        <v>2066</v>
      </c>
      <c r="D1597" t="s">
        <v>8</v>
      </c>
      <c r="E1597" t="str">
        <f>IF(june[[#This Row],[ShiftCounter]]&gt;0, "Running", "Down")</f>
        <v>Running</v>
      </c>
    </row>
    <row r="1598" spans="1:5" x14ac:dyDescent="0.25">
      <c r="A1598" s="8">
        <v>44726</v>
      </c>
      <c r="B1598" t="s">
        <v>33</v>
      </c>
      <c r="C1598">
        <v>2565</v>
      </c>
      <c r="D1598" t="s">
        <v>6</v>
      </c>
      <c r="E1598" t="str">
        <f>IF(june[[#This Row],[ShiftCounter]]&gt;0, "Running", "Down")</f>
        <v>Running</v>
      </c>
    </row>
    <row r="1599" spans="1:5" x14ac:dyDescent="0.25">
      <c r="A1599" s="8">
        <v>44726</v>
      </c>
      <c r="B1599" t="s">
        <v>33</v>
      </c>
      <c r="C1599">
        <v>2382</v>
      </c>
      <c r="D1599" t="s">
        <v>7</v>
      </c>
      <c r="E1599" t="str">
        <f>IF(june[[#This Row],[ShiftCounter]]&gt;0, "Running", "Down")</f>
        <v>Running</v>
      </c>
    </row>
    <row r="1600" spans="1:5" x14ac:dyDescent="0.25">
      <c r="A1600" s="8">
        <v>44726</v>
      </c>
      <c r="B1600" t="s">
        <v>33</v>
      </c>
      <c r="C1600">
        <v>2411</v>
      </c>
      <c r="D1600" t="s">
        <v>8</v>
      </c>
      <c r="E1600" t="str">
        <f>IF(june[[#This Row],[ShiftCounter]]&gt;0, "Running", "Down")</f>
        <v>Running</v>
      </c>
    </row>
    <row r="1601" spans="1:5" x14ac:dyDescent="0.25">
      <c r="A1601" s="8">
        <v>44726</v>
      </c>
      <c r="B1601" t="s">
        <v>34</v>
      </c>
      <c r="C1601">
        <v>2107</v>
      </c>
      <c r="D1601" t="s">
        <v>6</v>
      </c>
      <c r="E1601" t="str">
        <f>IF(june[[#This Row],[ShiftCounter]]&gt;0, "Running", "Down")</f>
        <v>Running</v>
      </c>
    </row>
    <row r="1602" spans="1:5" x14ac:dyDescent="0.25">
      <c r="A1602" s="8">
        <v>44726</v>
      </c>
      <c r="B1602" t="s">
        <v>34</v>
      </c>
      <c r="C1602">
        <v>1888</v>
      </c>
      <c r="D1602" t="s">
        <v>7</v>
      </c>
      <c r="E1602" t="str">
        <f>IF(june[[#This Row],[ShiftCounter]]&gt;0, "Running", "Down")</f>
        <v>Running</v>
      </c>
    </row>
    <row r="1603" spans="1:5" x14ac:dyDescent="0.25">
      <c r="A1603" s="8">
        <v>44726</v>
      </c>
      <c r="B1603" t="s">
        <v>34</v>
      </c>
      <c r="C1603">
        <v>1952</v>
      </c>
      <c r="D1603" t="s">
        <v>8</v>
      </c>
      <c r="E1603" t="str">
        <f>IF(june[[#This Row],[ShiftCounter]]&gt;0, "Running", "Down")</f>
        <v>Running</v>
      </c>
    </row>
    <row r="1604" spans="1:5" x14ac:dyDescent="0.25">
      <c r="A1604" s="8">
        <v>44726</v>
      </c>
      <c r="B1604" t="s">
        <v>35</v>
      </c>
      <c r="C1604">
        <v>2236</v>
      </c>
      <c r="D1604" t="s">
        <v>6</v>
      </c>
      <c r="E1604" t="str">
        <f>IF(june[[#This Row],[ShiftCounter]]&gt;0, "Running", "Down")</f>
        <v>Running</v>
      </c>
    </row>
    <row r="1605" spans="1:5" x14ac:dyDescent="0.25">
      <c r="A1605" s="8">
        <v>44726</v>
      </c>
      <c r="B1605" t="s">
        <v>35</v>
      </c>
      <c r="C1605">
        <v>1498</v>
      </c>
      <c r="D1605" t="s">
        <v>7</v>
      </c>
      <c r="E1605" t="str">
        <f>IF(june[[#This Row],[ShiftCounter]]&gt;0, "Running", "Down")</f>
        <v>Running</v>
      </c>
    </row>
    <row r="1606" spans="1:5" x14ac:dyDescent="0.25">
      <c r="A1606" s="8">
        <v>44726</v>
      </c>
      <c r="B1606" t="s">
        <v>35</v>
      </c>
      <c r="C1606">
        <v>0</v>
      </c>
      <c r="D1606" t="s">
        <v>8</v>
      </c>
      <c r="E1606" t="str">
        <f>IF(june[[#This Row],[ShiftCounter]]&gt;0, "Running", "Down")</f>
        <v>Down</v>
      </c>
    </row>
    <row r="1607" spans="1:5" x14ac:dyDescent="0.25">
      <c r="A1607" s="8">
        <v>44726</v>
      </c>
      <c r="B1607" t="s">
        <v>36</v>
      </c>
      <c r="C1607">
        <v>2518</v>
      </c>
      <c r="D1607" t="s">
        <v>6</v>
      </c>
      <c r="E1607" t="str">
        <f>IF(june[[#This Row],[ShiftCounter]]&gt;0, "Running", "Down")</f>
        <v>Running</v>
      </c>
    </row>
    <row r="1608" spans="1:5" x14ac:dyDescent="0.25">
      <c r="A1608" s="8">
        <v>44726</v>
      </c>
      <c r="B1608" t="s">
        <v>36</v>
      </c>
      <c r="C1608">
        <v>2307</v>
      </c>
      <c r="D1608" t="s">
        <v>7</v>
      </c>
      <c r="E1608" t="str">
        <f>IF(june[[#This Row],[ShiftCounter]]&gt;0, "Running", "Down")</f>
        <v>Running</v>
      </c>
    </row>
    <row r="1609" spans="1:5" x14ac:dyDescent="0.25">
      <c r="A1609" s="8">
        <v>44726</v>
      </c>
      <c r="B1609" t="s">
        <v>36</v>
      </c>
      <c r="C1609">
        <v>392</v>
      </c>
      <c r="D1609" t="s">
        <v>8</v>
      </c>
      <c r="E1609" t="str">
        <f>IF(june[[#This Row],[ShiftCounter]]&gt;0, "Running", "Down")</f>
        <v>Running</v>
      </c>
    </row>
    <row r="1610" spans="1:5" x14ac:dyDescent="0.25">
      <c r="A1610" s="8">
        <v>44726</v>
      </c>
      <c r="B1610" t="s">
        <v>37</v>
      </c>
      <c r="C1610">
        <v>2540</v>
      </c>
      <c r="D1610" t="s">
        <v>6</v>
      </c>
      <c r="E1610" t="str">
        <f>IF(june[[#This Row],[ShiftCounter]]&gt;0, "Running", "Down")</f>
        <v>Running</v>
      </c>
    </row>
    <row r="1611" spans="1:5" x14ac:dyDescent="0.25">
      <c r="A1611" s="8">
        <v>44726</v>
      </c>
      <c r="B1611" t="s">
        <v>37</v>
      </c>
      <c r="C1611">
        <v>2220</v>
      </c>
      <c r="D1611" t="s">
        <v>7</v>
      </c>
      <c r="E1611" t="str">
        <f>IF(june[[#This Row],[ShiftCounter]]&gt;0, "Running", "Down")</f>
        <v>Running</v>
      </c>
    </row>
    <row r="1612" spans="1:5" x14ac:dyDescent="0.25">
      <c r="A1612" s="8">
        <v>44726</v>
      </c>
      <c r="B1612" t="s">
        <v>37</v>
      </c>
      <c r="C1612">
        <v>2123</v>
      </c>
      <c r="D1612" t="s">
        <v>8</v>
      </c>
      <c r="E1612" t="str">
        <f>IF(june[[#This Row],[ShiftCounter]]&gt;0, "Running", "Down")</f>
        <v>Running</v>
      </c>
    </row>
    <row r="1613" spans="1:5" x14ac:dyDescent="0.25">
      <c r="A1613" s="8">
        <v>44727</v>
      </c>
      <c r="B1613" t="s">
        <v>135</v>
      </c>
      <c r="C1613">
        <v>2256</v>
      </c>
      <c r="D1613" t="s">
        <v>6</v>
      </c>
      <c r="E1613" t="str">
        <f>IF(june[[#This Row],[ShiftCounter]]&gt;0, "Running", "Down")</f>
        <v>Running</v>
      </c>
    </row>
    <row r="1614" spans="1:5" x14ac:dyDescent="0.25">
      <c r="A1614" s="8">
        <v>44727</v>
      </c>
      <c r="B1614" t="s">
        <v>135</v>
      </c>
      <c r="C1614">
        <v>2293</v>
      </c>
      <c r="D1614" t="s">
        <v>7</v>
      </c>
      <c r="E1614" t="str">
        <f>IF(june[[#This Row],[ShiftCounter]]&gt;0, "Running", "Down")</f>
        <v>Running</v>
      </c>
    </row>
    <row r="1615" spans="1:5" x14ac:dyDescent="0.25">
      <c r="A1615" s="8">
        <v>44727</v>
      </c>
      <c r="B1615" t="s">
        <v>135</v>
      </c>
      <c r="C1615">
        <v>2100</v>
      </c>
      <c r="D1615" t="s">
        <v>8</v>
      </c>
      <c r="E1615" t="str">
        <f>IF(june[[#This Row],[ShiftCounter]]&gt;0, "Running", "Down")</f>
        <v>Running</v>
      </c>
    </row>
    <row r="1616" spans="1:5" x14ac:dyDescent="0.25">
      <c r="A1616" s="8">
        <v>44727</v>
      </c>
      <c r="B1616" t="s">
        <v>40</v>
      </c>
      <c r="C1616">
        <v>2279</v>
      </c>
      <c r="D1616" t="s">
        <v>6</v>
      </c>
      <c r="E1616" t="str">
        <f>IF(june[[#This Row],[ShiftCounter]]&gt;0, "Running", "Down")</f>
        <v>Running</v>
      </c>
    </row>
    <row r="1617" spans="1:5" x14ac:dyDescent="0.25">
      <c r="A1617" s="8">
        <v>44727</v>
      </c>
      <c r="B1617" t="s">
        <v>40</v>
      </c>
      <c r="C1617">
        <v>2351</v>
      </c>
      <c r="D1617" t="s">
        <v>7</v>
      </c>
      <c r="E1617" t="str">
        <f>IF(june[[#This Row],[ShiftCounter]]&gt;0, "Running", "Down")</f>
        <v>Running</v>
      </c>
    </row>
    <row r="1618" spans="1:5" x14ac:dyDescent="0.25">
      <c r="A1618" s="8">
        <v>44727</v>
      </c>
      <c r="B1618" t="s">
        <v>40</v>
      </c>
      <c r="C1618">
        <v>2148</v>
      </c>
      <c r="D1618" t="s">
        <v>8</v>
      </c>
      <c r="E1618" t="str">
        <f>IF(june[[#This Row],[ShiftCounter]]&gt;0, "Running", "Down")</f>
        <v>Running</v>
      </c>
    </row>
    <row r="1619" spans="1:5" x14ac:dyDescent="0.25">
      <c r="A1619" s="8">
        <v>44727</v>
      </c>
      <c r="B1619" t="s">
        <v>39</v>
      </c>
      <c r="C1619">
        <v>2147</v>
      </c>
      <c r="D1619" t="s">
        <v>6</v>
      </c>
      <c r="E1619" t="str">
        <f>IF(june[[#This Row],[ShiftCounter]]&gt;0, "Running", "Down")</f>
        <v>Running</v>
      </c>
    </row>
    <row r="1620" spans="1:5" x14ac:dyDescent="0.25">
      <c r="A1620" s="8">
        <v>44727</v>
      </c>
      <c r="B1620" t="s">
        <v>39</v>
      </c>
      <c r="C1620">
        <v>2160</v>
      </c>
      <c r="D1620" t="s">
        <v>7</v>
      </c>
      <c r="E1620" t="str">
        <f>IF(june[[#This Row],[ShiftCounter]]&gt;0, "Running", "Down")</f>
        <v>Running</v>
      </c>
    </row>
    <row r="1621" spans="1:5" x14ac:dyDescent="0.25">
      <c r="A1621" s="8">
        <v>44727</v>
      </c>
      <c r="B1621" t="s">
        <v>39</v>
      </c>
      <c r="C1621">
        <v>2134</v>
      </c>
      <c r="D1621" t="s">
        <v>8</v>
      </c>
      <c r="E1621" t="str">
        <f>IF(june[[#This Row],[ShiftCounter]]&gt;0, "Running", "Down")</f>
        <v>Running</v>
      </c>
    </row>
    <row r="1622" spans="1:5" x14ac:dyDescent="0.25">
      <c r="A1622" s="8">
        <v>44727</v>
      </c>
      <c r="B1622" t="s">
        <v>41</v>
      </c>
      <c r="C1622">
        <v>2369</v>
      </c>
      <c r="D1622" t="s">
        <v>6</v>
      </c>
      <c r="E1622" t="str">
        <f>IF(june[[#This Row],[ShiftCounter]]&gt;0, "Running", "Down")</f>
        <v>Running</v>
      </c>
    </row>
    <row r="1623" spans="1:5" x14ac:dyDescent="0.25">
      <c r="A1623" s="8">
        <v>44727</v>
      </c>
      <c r="B1623" t="s">
        <v>41</v>
      </c>
      <c r="C1623">
        <v>2360</v>
      </c>
      <c r="D1623" t="s">
        <v>7</v>
      </c>
      <c r="E1623" t="str">
        <f>IF(june[[#This Row],[ShiftCounter]]&gt;0, "Running", "Down")</f>
        <v>Running</v>
      </c>
    </row>
    <row r="1624" spans="1:5" x14ac:dyDescent="0.25">
      <c r="A1624" s="8">
        <v>44727</v>
      </c>
      <c r="B1624" t="s">
        <v>41</v>
      </c>
      <c r="C1624">
        <v>2140</v>
      </c>
      <c r="D1624" t="s">
        <v>8</v>
      </c>
      <c r="E1624" t="str">
        <f>IF(june[[#This Row],[ShiftCounter]]&gt;0, "Running", "Down")</f>
        <v>Running</v>
      </c>
    </row>
    <row r="1625" spans="1:5" x14ac:dyDescent="0.25">
      <c r="A1625" s="8">
        <v>44727</v>
      </c>
      <c r="B1625" t="s">
        <v>9</v>
      </c>
      <c r="C1625">
        <v>2252</v>
      </c>
      <c r="D1625" t="s">
        <v>6</v>
      </c>
      <c r="E1625" t="str">
        <f>IF(june[[#This Row],[ShiftCounter]]&gt;0, "Running", "Down")</f>
        <v>Running</v>
      </c>
    </row>
    <row r="1626" spans="1:5" x14ac:dyDescent="0.25">
      <c r="A1626" s="8">
        <v>44727</v>
      </c>
      <c r="B1626" t="s">
        <v>9</v>
      </c>
      <c r="C1626">
        <v>2272</v>
      </c>
      <c r="D1626" t="s">
        <v>7</v>
      </c>
      <c r="E1626" t="str">
        <f>IF(june[[#This Row],[ShiftCounter]]&gt;0, "Running", "Down")</f>
        <v>Running</v>
      </c>
    </row>
    <row r="1627" spans="1:5" x14ac:dyDescent="0.25">
      <c r="A1627" s="8">
        <v>44727</v>
      </c>
      <c r="B1627" t="s">
        <v>9</v>
      </c>
      <c r="C1627">
        <v>2073</v>
      </c>
      <c r="D1627" t="s">
        <v>8</v>
      </c>
      <c r="E1627" t="str">
        <f>IF(june[[#This Row],[ShiftCounter]]&gt;0, "Running", "Down")</f>
        <v>Running</v>
      </c>
    </row>
    <row r="1628" spans="1:5" x14ac:dyDescent="0.25">
      <c r="A1628" s="8">
        <v>44727</v>
      </c>
      <c r="B1628" t="s">
        <v>10</v>
      </c>
      <c r="C1628">
        <v>2239</v>
      </c>
      <c r="D1628" t="s">
        <v>6</v>
      </c>
      <c r="E1628" t="str">
        <f>IF(june[[#This Row],[ShiftCounter]]&gt;0, "Running", "Down")</f>
        <v>Running</v>
      </c>
    </row>
    <row r="1629" spans="1:5" x14ac:dyDescent="0.25">
      <c r="A1629" s="8">
        <v>44727</v>
      </c>
      <c r="B1629" t="s">
        <v>10</v>
      </c>
      <c r="C1629">
        <v>2225</v>
      </c>
      <c r="D1629" t="s">
        <v>7</v>
      </c>
      <c r="E1629" t="str">
        <f>IF(june[[#This Row],[ShiftCounter]]&gt;0, "Running", "Down")</f>
        <v>Running</v>
      </c>
    </row>
    <row r="1630" spans="1:5" x14ac:dyDescent="0.25">
      <c r="A1630" s="8">
        <v>44727</v>
      </c>
      <c r="B1630" t="s">
        <v>10</v>
      </c>
      <c r="C1630">
        <v>2235</v>
      </c>
      <c r="D1630" t="s">
        <v>8</v>
      </c>
      <c r="E1630" t="str">
        <f>IF(june[[#This Row],[ShiftCounter]]&gt;0, "Running", "Down")</f>
        <v>Running</v>
      </c>
    </row>
    <row r="1631" spans="1:5" x14ac:dyDescent="0.25">
      <c r="A1631" s="8">
        <v>44727</v>
      </c>
      <c r="B1631" t="s">
        <v>11</v>
      </c>
      <c r="C1631">
        <v>2255</v>
      </c>
      <c r="D1631" t="s">
        <v>6</v>
      </c>
      <c r="E1631" t="str">
        <f>IF(june[[#This Row],[ShiftCounter]]&gt;0, "Running", "Down")</f>
        <v>Running</v>
      </c>
    </row>
    <row r="1632" spans="1:5" x14ac:dyDescent="0.25">
      <c r="A1632" s="8">
        <v>44727</v>
      </c>
      <c r="B1632" t="s">
        <v>11</v>
      </c>
      <c r="C1632">
        <v>2241</v>
      </c>
      <c r="D1632" t="s">
        <v>7</v>
      </c>
      <c r="E1632" t="str">
        <f>IF(june[[#This Row],[ShiftCounter]]&gt;0, "Running", "Down")</f>
        <v>Running</v>
      </c>
    </row>
    <row r="1633" spans="1:5" x14ac:dyDescent="0.25">
      <c r="A1633" s="8">
        <v>44727</v>
      </c>
      <c r="B1633" t="s">
        <v>11</v>
      </c>
      <c r="C1633">
        <v>2252</v>
      </c>
      <c r="D1633" t="s">
        <v>8</v>
      </c>
      <c r="E1633" t="str">
        <f>IF(june[[#This Row],[ShiftCounter]]&gt;0, "Running", "Down")</f>
        <v>Running</v>
      </c>
    </row>
    <row r="1634" spans="1:5" x14ac:dyDescent="0.25">
      <c r="A1634" s="8">
        <v>44727</v>
      </c>
      <c r="B1634" t="s">
        <v>12</v>
      </c>
      <c r="C1634">
        <v>2203</v>
      </c>
      <c r="D1634" t="s">
        <v>6</v>
      </c>
      <c r="E1634" t="str">
        <f>IF(june[[#This Row],[ShiftCounter]]&gt;0, "Running", "Down")</f>
        <v>Running</v>
      </c>
    </row>
    <row r="1635" spans="1:5" x14ac:dyDescent="0.25">
      <c r="A1635" s="8">
        <v>44727</v>
      </c>
      <c r="B1635" t="s">
        <v>12</v>
      </c>
      <c r="C1635">
        <v>1973</v>
      </c>
      <c r="D1635" t="s">
        <v>7</v>
      </c>
      <c r="E1635" t="str">
        <f>IF(june[[#This Row],[ShiftCounter]]&gt;0, "Running", "Down")</f>
        <v>Running</v>
      </c>
    </row>
    <row r="1636" spans="1:5" x14ac:dyDescent="0.25">
      <c r="A1636" s="8">
        <v>44727</v>
      </c>
      <c r="B1636" t="s">
        <v>12</v>
      </c>
      <c r="C1636">
        <v>2201</v>
      </c>
      <c r="D1636" t="s">
        <v>8</v>
      </c>
      <c r="E1636" t="str">
        <f>IF(june[[#This Row],[ShiftCounter]]&gt;0, "Running", "Down")</f>
        <v>Running</v>
      </c>
    </row>
    <row r="1637" spans="1:5" x14ac:dyDescent="0.25">
      <c r="A1637" s="8">
        <v>44727</v>
      </c>
      <c r="B1637" t="s">
        <v>13</v>
      </c>
      <c r="C1637">
        <v>2190</v>
      </c>
      <c r="D1637" t="s">
        <v>6</v>
      </c>
      <c r="E1637" t="str">
        <f>IF(june[[#This Row],[ShiftCounter]]&gt;0, "Running", "Down")</f>
        <v>Running</v>
      </c>
    </row>
    <row r="1638" spans="1:5" x14ac:dyDescent="0.25">
      <c r="A1638" s="8">
        <v>44727</v>
      </c>
      <c r="B1638" t="s">
        <v>13</v>
      </c>
      <c r="C1638">
        <v>2148</v>
      </c>
      <c r="D1638" t="s">
        <v>7</v>
      </c>
      <c r="E1638" t="str">
        <f>IF(june[[#This Row],[ShiftCounter]]&gt;0, "Running", "Down")</f>
        <v>Running</v>
      </c>
    </row>
    <row r="1639" spans="1:5" x14ac:dyDescent="0.25">
      <c r="A1639" s="8">
        <v>44727</v>
      </c>
      <c r="B1639" t="s">
        <v>13</v>
      </c>
      <c r="C1639">
        <v>2049</v>
      </c>
      <c r="D1639" t="s">
        <v>8</v>
      </c>
      <c r="E1639" t="str">
        <f>IF(june[[#This Row],[ShiftCounter]]&gt;0, "Running", "Down")</f>
        <v>Running</v>
      </c>
    </row>
    <row r="1640" spans="1:5" x14ac:dyDescent="0.25">
      <c r="A1640" s="8">
        <v>44727</v>
      </c>
      <c r="B1640" t="s">
        <v>101</v>
      </c>
      <c r="C1640">
        <v>1974</v>
      </c>
      <c r="D1640" t="s">
        <v>6</v>
      </c>
      <c r="E1640" t="str">
        <f>IF(june[[#This Row],[ShiftCounter]]&gt;0, "Running", "Down")</f>
        <v>Running</v>
      </c>
    </row>
    <row r="1641" spans="1:5" x14ac:dyDescent="0.25">
      <c r="A1641" s="8">
        <v>44727</v>
      </c>
      <c r="B1641" t="s">
        <v>101</v>
      </c>
      <c r="C1641">
        <v>1962</v>
      </c>
      <c r="D1641" t="s">
        <v>7</v>
      </c>
      <c r="E1641" t="str">
        <f>IF(june[[#This Row],[ShiftCounter]]&gt;0, "Running", "Down")</f>
        <v>Running</v>
      </c>
    </row>
    <row r="1642" spans="1:5" x14ac:dyDescent="0.25">
      <c r="A1642" s="8">
        <v>44727</v>
      </c>
      <c r="B1642" t="s">
        <v>101</v>
      </c>
      <c r="C1642">
        <v>1971</v>
      </c>
      <c r="D1642" t="s">
        <v>8</v>
      </c>
      <c r="E1642" t="str">
        <f>IF(june[[#This Row],[ShiftCounter]]&gt;0, "Running", "Down")</f>
        <v>Running</v>
      </c>
    </row>
    <row r="1643" spans="1:5" x14ac:dyDescent="0.25">
      <c r="A1643" s="8">
        <v>44727</v>
      </c>
      <c r="B1643" t="s">
        <v>14</v>
      </c>
      <c r="C1643">
        <v>2113</v>
      </c>
      <c r="D1643" t="s">
        <v>6</v>
      </c>
      <c r="E1643" t="str">
        <f>IF(june[[#This Row],[ShiftCounter]]&gt;0, "Running", "Down")</f>
        <v>Running</v>
      </c>
    </row>
    <row r="1644" spans="1:5" x14ac:dyDescent="0.25">
      <c r="A1644" s="8">
        <v>44727</v>
      </c>
      <c r="B1644" t="s">
        <v>14</v>
      </c>
      <c r="C1644">
        <v>2096</v>
      </c>
      <c r="D1644" t="s">
        <v>7</v>
      </c>
      <c r="E1644" t="str">
        <f>IF(june[[#This Row],[ShiftCounter]]&gt;0, "Running", "Down")</f>
        <v>Running</v>
      </c>
    </row>
    <row r="1645" spans="1:5" x14ac:dyDescent="0.25">
      <c r="A1645" s="8">
        <v>44727</v>
      </c>
      <c r="B1645" t="s">
        <v>14</v>
      </c>
      <c r="C1645">
        <v>2111</v>
      </c>
      <c r="D1645" t="s">
        <v>8</v>
      </c>
      <c r="E1645" t="str">
        <f>IF(june[[#This Row],[ShiftCounter]]&gt;0, "Running", "Down")</f>
        <v>Running</v>
      </c>
    </row>
    <row r="1646" spans="1:5" x14ac:dyDescent="0.25">
      <c r="A1646" s="8">
        <v>44727</v>
      </c>
      <c r="B1646" t="s">
        <v>15</v>
      </c>
      <c r="C1646">
        <v>2275</v>
      </c>
      <c r="D1646" t="s">
        <v>6</v>
      </c>
      <c r="E1646" t="str">
        <f>IF(june[[#This Row],[ShiftCounter]]&gt;0, "Running", "Down")</f>
        <v>Running</v>
      </c>
    </row>
    <row r="1647" spans="1:5" x14ac:dyDescent="0.25">
      <c r="A1647" s="8">
        <v>44727</v>
      </c>
      <c r="B1647" t="s">
        <v>15</v>
      </c>
      <c r="C1647">
        <v>2278</v>
      </c>
      <c r="D1647" t="s">
        <v>7</v>
      </c>
      <c r="E1647" t="str">
        <f>IF(june[[#This Row],[ShiftCounter]]&gt;0, "Running", "Down")</f>
        <v>Running</v>
      </c>
    </row>
    <row r="1648" spans="1:5" x14ac:dyDescent="0.25">
      <c r="A1648" s="8">
        <v>44727</v>
      </c>
      <c r="B1648" t="s">
        <v>15</v>
      </c>
      <c r="C1648">
        <v>1976</v>
      </c>
      <c r="D1648" t="s">
        <v>8</v>
      </c>
      <c r="E1648" t="str">
        <f>IF(june[[#This Row],[ShiftCounter]]&gt;0, "Running", "Down")</f>
        <v>Running</v>
      </c>
    </row>
    <row r="1649" spans="1:5" x14ac:dyDescent="0.25">
      <c r="A1649" s="8">
        <v>44727</v>
      </c>
      <c r="B1649" t="s">
        <v>16</v>
      </c>
      <c r="C1649">
        <v>2051</v>
      </c>
      <c r="D1649" t="s">
        <v>6</v>
      </c>
      <c r="E1649" t="str">
        <f>IF(june[[#This Row],[ShiftCounter]]&gt;0, "Running", "Down")</f>
        <v>Running</v>
      </c>
    </row>
    <row r="1650" spans="1:5" x14ac:dyDescent="0.25">
      <c r="A1650" s="8">
        <v>44727</v>
      </c>
      <c r="B1650" t="s">
        <v>16</v>
      </c>
      <c r="C1650">
        <v>2123</v>
      </c>
      <c r="D1650" t="s">
        <v>7</v>
      </c>
      <c r="E1650" t="str">
        <f>IF(june[[#This Row],[ShiftCounter]]&gt;0, "Running", "Down")</f>
        <v>Running</v>
      </c>
    </row>
    <row r="1651" spans="1:5" x14ac:dyDescent="0.25">
      <c r="A1651" s="8">
        <v>44727</v>
      </c>
      <c r="B1651" t="s">
        <v>16</v>
      </c>
      <c r="C1651">
        <v>2133</v>
      </c>
      <c r="D1651" t="s">
        <v>8</v>
      </c>
      <c r="E1651" t="str">
        <f>IF(june[[#This Row],[ShiftCounter]]&gt;0, "Running", "Down")</f>
        <v>Running</v>
      </c>
    </row>
    <row r="1652" spans="1:5" x14ac:dyDescent="0.25">
      <c r="A1652" s="8">
        <v>44727</v>
      </c>
      <c r="B1652" t="s">
        <v>17</v>
      </c>
      <c r="C1652">
        <v>2282</v>
      </c>
      <c r="D1652" t="s">
        <v>6</v>
      </c>
      <c r="E1652" t="str">
        <f>IF(june[[#This Row],[ShiftCounter]]&gt;0, "Running", "Down")</f>
        <v>Running</v>
      </c>
    </row>
    <row r="1653" spans="1:5" x14ac:dyDescent="0.25">
      <c r="A1653" s="8">
        <v>44727</v>
      </c>
      <c r="B1653" t="s">
        <v>17</v>
      </c>
      <c r="C1653">
        <v>2256</v>
      </c>
      <c r="D1653" t="s">
        <v>7</v>
      </c>
      <c r="E1653" t="str">
        <f>IF(june[[#This Row],[ShiftCounter]]&gt;0, "Running", "Down")</f>
        <v>Running</v>
      </c>
    </row>
    <row r="1654" spans="1:5" x14ac:dyDescent="0.25">
      <c r="A1654" s="8">
        <v>44727</v>
      </c>
      <c r="B1654" t="s">
        <v>17</v>
      </c>
      <c r="C1654">
        <v>2281</v>
      </c>
      <c r="D1654" t="s">
        <v>8</v>
      </c>
      <c r="E1654" t="str">
        <f>IF(june[[#This Row],[ShiftCounter]]&gt;0, "Running", "Down")</f>
        <v>Running</v>
      </c>
    </row>
    <row r="1655" spans="1:5" x14ac:dyDescent="0.25">
      <c r="A1655" s="8">
        <v>44727</v>
      </c>
      <c r="B1655" t="s">
        <v>18</v>
      </c>
      <c r="C1655">
        <v>2307</v>
      </c>
      <c r="D1655" t="s">
        <v>6</v>
      </c>
      <c r="E1655" t="str">
        <f>IF(june[[#This Row],[ShiftCounter]]&gt;0, "Running", "Down")</f>
        <v>Running</v>
      </c>
    </row>
    <row r="1656" spans="1:5" x14ac:dyDescent="0.25">
      <c r="A1656" s="8">
        <v>44727</v>
      </c>
      <c r="B1656" t="s">
        <v>18</v>
      </c>
      <c r="C1656">
        <v>2255</v>
      </c>
      <c r="D1656" t="s">
        <v>7</v>
      </c>
      <c r="E1656" t="str">
        <f>IF(june[[#This Row],[ShiftCounter]]&gt;0, "Running", "Down")</f>
        <v>Running</v>
      </c>
    </row>
    <row r="1657" spans="1:5" x14ac:dyDescent="0.25">
      <c r="A1657" s="8">
        <v>44727</v>
      </c>
      <c r="B1657" t="s">
        <v>18</v>
      </c>
      <c r="C1657">
        <v>2304</v>
      </c>
      <c r="D1657" t="s">
        <v>8</v>
      </c>
      <c r="E1657" t="str">
        <f>IF(june[[#This Row],[ShiftCounter]]&gt;0, "Running", "Down")</f>
        <v>Running</v>
      </c>
    </row>
    <row r="1658" spans="1:5" x14ac:dyDescent="0.25">
      <c r="A1658" s="8">
        <v>44727</v>
      </c>
      <c r="B1658" t="s">
        <v>19</v>
      </c>
      <c r="C1658">
        <v>1859</v>
      </c>
      <c r="D1658" t="s">
        <v>6</v>
      </c>
      <c r="E1658" t="str">
        <f>IF(june[[#This Row],[ShiftCounter]]&gt;0, "Running", "Down")</f>
        <v>Running</v>
      </c>
    </row>
    <row r="1659" spans="1:5" x14ac:dyDescent="0.25">
      <c r="A1659" s="8">
        <v>44727</v>
      </c>
      <c r="B1659" t="s">
        <v>19</v>
      </c>
      <c r="C1659">
        <v>1704</v>
      </c>
      <c r="D1659" t="s">
        <v>7</v>
      </c>
      <c r="E1659" t="str">
        <f>IF(june[[#This Row],[ShiftCounter]]&gt;0, "Running", "Down")</f>
        <v>Running</v>
      </c>
    </row>
    <row r="1660" spans="1:5" x14ac:dyDescent="0.25">
      <c r="A1660" s="8">
        <v>44727</v>
      </c>
      <c r="B1660" t="s">
        <v>19</v>
      </c>
      <c r="C1660">
        <v>1919</v>
      </c>
      <c r="D1660" t="s">
        <v>8</v>
      </c>
      <c r="E1660" t="str">
        <f>IF(june[[#This Row],[ShiftCounter]]&gt;0, "Running", "Down")</f>
        <v>Running</v>
      </c>
    </row>
    <row r="1661" spans="1:5" x14ac:dyDescent="0.25">
      <c r="A1661" s="8">
        <v>44727</v>
      </c>
      <c r="B1661" t="s">
        <v>42</v>
      </c>
      <c r="C1661">
        <v>2006</v>
      </c>
      <c r="D1661" t="s">
        <v>6</v>
      </c>
      <c r="E1661" t="str">
        <f>IF(june[[#This Row],[ShiftCounter]]&gt;0, "Running", "Down")</f>
        <v>Running</v>
      </c>
    </row>
    <row r="1662" spans="1:5" x14ac:dyDescent="0.25">
      <c r="A1662" s="8">
        <v>44727</v>
      </c>
      <c r="B1662" t="s">
        <v>42</v>
      </c>
      <c r="C1662">
        <v>2165</v>
      </c>
      <c r="D1662" t="s">
        <v>7</v>
      </c>
      <c r="E1662" t="str">
        <f>IF(june[[#This Row],[ShiftCounter]]&gt;0, "Running", "Down")</f>
        <v>Running</v>
      </c>
    </row>
    <row r="1663" spans="1:5" x14ac:dyDescent="0.25">
      <c r="A1663" s="8">
        <v>44727</v>
      </c>
      <c r="B1663" t="s">
        <v>42</v>
      </c>
      <c r="C1663">
        <v>2016</v>
      </c>
      <c r="D1663" t="s">
        <v>8</v>
      </c>
      <c r="E1663" t="str">
        <f>IF(june[[#This Row],[ShiftCounter]]&gt;0, "Running", "Down")</f>
        <v>Running</v>
      </c>
    </row>
    <row r="1664" spans="1:5" x14ac:dyDescent="0.25">
      <c r="A1664" s="8">
        <v>44727</v>
      </c>
      <c r="B1664" t="s">
        <v>38</v>
      </c>
      <c r="C1664">
        <v>2128</v>
      </c>
      <c r="D1664" t="s">
        <v>6</v>
      </c>
      <c r="E1664" t="str">
        <f>IF(june[[#This Row],[ShiftCounter]]&gt;0, "Running", "Down")</f>
        <v>Running</v>
      </c>
    </row>
    <row r="1665" spans="1:5" x14ac:dyDescent="0.25">
      <c r="A1665" s="8">
        <v>44727</v>
      </c>
      <c r="B1665" t="s">
        <v>38</v>
      </c>
      <c r="C1665">
        <v>2249</v>
      </c>
      <c r="D1665" t="s">
        <v>7</v>
      </c>
      <c r="E1665" t="str">
        <f>IF(june[[#This Row],[ShiftCounter]]&gt;0, "Running", "Down")</f>
        <v>Running</v>
      </c>
    </row>
    <row r="1666" spans="1:5" x14ac:dyDescent="0.25">
      <c r="A1666" s="8">
        <v>44727</v>
      </c>
      <c r="B1666" t="s">
        <v>38</v>
      </c>
      <c r="C1666">
        <v>2238</v>
      </c>
      <c r="D1666" t="s">
        <v>8</v>
      </c>
      <c r="E1666" t="str">
        <f>IF(june[[#This Row],[ShiftCounter]]&gt;0, "Running", "Down")</f>
        <v>Running</v>
      </c>
    </row>
    <row r="1667" spans="1:5" x14ac:dyDescent="0.25">
      <c r="A1667" s="8">
        <v>44727</v>
      </c>
      <c r="B1667" t="s">
        <v>20</v>
      </c>
      <c r="C1667">
        <v>1937</v>
      </c>
      <c r="D1667" t="s">
        <v>6</v>
      </c>
      <c r="E1667" t="str">
        <f>IF(june[[#This Row],[ShiftCounter]]&gt;0, "Running", "Down")</f>
        <v>Running</v>
      </c>
    </row>
    <row r="1668" spans="1:5" x14ac:dyDescent="0.25">
      <c r="A1668" s="8">
        <v>44727</v>
      </c>
      <c r="B1668" t="s">
        <v>20</v>
      </c>
      <c r="C1668">
        <v>2117</v>
      </c>
      <c r="D1668" t="s">
        <v>7</v>
      </c>
      <c r="E1668" t="str">
        <f>IF(june[[#This Row],[ShiftCounter]]&gt;0, "Running", "Down")</f>
        <v>Running</v>
      </c>
    </row>
    <row r="1669" spans="1:5" x14ac:dyDescent="0.25">
      <c r="A1669" s="8">
        <v>44727</v>
      </c>
      <c r="B1669" t="s">
        <v>20</v>
      </c>
      <c r="C1669">
        <v>2020</v>
      </c>
      <c r="D1669" t="s">
        <v>8</v>
      </c>
      <c r="E1669" t="str">
        <f>IF(june[[#This Row],[ShiftCounter]]&gt;0, "Running", "Down")</f>
        <v>Running</v>
      </c>
    </row>
    <row r="1670" spans="1:5" x14ac:dyDescent="0.25">
      <c r="A1670" s="8">
        <v>44727</v>
      </c>
      <c r="B1670" t="s">
        <v>21</v>
      </c>
      <c r="C1670">
        <v>1565</v>
      </c>
      <c r="D1670" t="s">
        <v>6</v>
      </c>
      <c r="E1670" t="str">
        <f>IF(june[[#This Row],[ShiftCounter]]&gt;0, "Running", "Down")</f>
        <v>Running</v>
      </c>
    </row>
    <row r="1671" spans="1:5" x14ac:dyDescent="0.25">
      <c r="A1671" s="8">
        <v>44727</v>
      </c>
      <c r="B1671" t="s">
        <v>21</v>
      </c>
      <c r="C1671">
        <v>1974</v>
      </c>
      <c r="D1671" t="s">
        <v>7</v>
      </c>
      <c r="E1671" t="str">
        <f>IF(june[[#This Row],[ShiftCounter]]&gt;0, "Running", "Down")</f>
        <v>Running</v>
      </c>
    </row>
    <row r="1672" spans="1:5" x14ac:dyDescent="0.25">
      <c r="A1672" s="8">
        <v>44727</v>
      </c>
      <c r="B1672" t="s">
        <v>21</v>
      </c>
      <c r="C1672">
        <v>1875</v>
      </c>
      <c r="D1672" t="s">
        <v>8</v>
      </c>
      <c r="E1672" t="str">
        <f>IF(june[[#This Row],[ShiftCounter]]&gt;0, "Running", "Down")</f>
        <v>Running</v>
      </c>
    </row>
    <row r="1673" spans="1:5" x14ac:dyDescent="0.25">
      <c r="A1673" s="8">
        <v>44727</v>
      </c>
      <c r="B1673" t="s">
        <v>22</v>
      </c>
      <c r="C1673">
        <v>2440</v>
      </c>
      <c r="D1673" t="s">
        <v>6</v>
      </c>
      <c r="E1673" t="str">
        <f>IF(june[[#This Row],[ShiftCounter]]&gt;0, "Running", "Down")</f>
        <v>Running</v>
      </c>
    </row>
    <row r="1674" spans="1:5" x14ac:dyDescent="0.25">
      <c r="A1674" s="8">
        <v>44727</v>
      </c>
      <c r="B1674" t="s">
        <v>22</v>
      </c>
      <c r="C1674">
        <v>2348</v>
      </c>
      <c r="D1674" t="s">
        <v>7</v>
      </c>
      <c r="E1674" t="str">
        <f>IF(june[[#This Row],[ShiftCounter]]&gt;0, "Running", "Down")</f>
        <v>Running</v>
      </c>
    </row>
    <row r="1675" spans="1:5" x14ac:dyDescent="0.25">
      <c r="A1675" s="8">
        <v>44727</v>
      </c>
      <c r="B1675" t="s">
        <v>22</v>
      </c>
      <c r="C1675">
        <v>2225</v>
      </c>
      <c r="D1675" t="s">
        <v>8</v>
      </c>
      <c r="E1675" t="str">
        <f>IF(june[[#This Row],[ShiftCounter]]&gt;0, "Running", "Down")</f>
        <v>Running</v>
      </c>
    </row>
    <row r="1676" spans="1:5" x14ac:dyDescent="0.25">
      <c r="A1676" s="8">
        <v>44727</v>
      </c>
      <c r="B1676" t="s">
        <v>23</v>
      </c>
      <c r="C1676">
        <v>2353</v>
      </c>
      <c r="D1676" t="s">
        <v>6</v>
      </c>
      <c r="E1676" t="str">
        <f>IF(june[[#This Row],[ShiftCounter]]&gt;0, "Running", "Down")</f>
        <v>Running</v>
      </c>
    </row>
    <row r="1677" spans="1:5" x14ac:dyDescent="0.25">
      <c r="A1677" s="8">
        <v>44727</v>
      </c>
      <c r="B1677" t="s">
        <v>23</v>
      </c>
      <c r="C1677">
        <v>2238</v>
      </c>
      <c r="D1677" t="s">
        <v>7</v>
      </c>
      <c r="E1677" t="str">
        <f>IF(june[[#This Row],[ShiftCounter]]&gt;0, "Running", "Down")</f>
        <v>Running</v>
      </c>
    </row>
    <row r="1678" spans="1:5" x14ac:dyDescent="0.25">
      <c r="A1678" s="8">
        <v>44727</v>
      </c>
      <c r="B1678" t="s">
        <v>23</v>
      </c>
      <c r="C1678">
        <v>2351</v>
      </c>
      <c r="D1678" t="s">
        <v>8</v>
      </c>
      <c r="E1678" t="str">
        <f>IF(june[[#This Row],[ShiftCounter]]&gt;0, "Running", "Down")</f>
        <v>Running</v>
      </c>
    </row>
    <row r="1679" spans="1:5" x14ac:dyDescent="0.25">
      <c r="A1679" s="8">
        <v>44727</v>
      </c>
      <c r="B1679" t="s">
        <v>24</v>
      </c>
      <c r="C1679">
        <v>2011</v>
      </c>
      <c r="D1679" t="s">
        <v>6</v>
      </c>
      <c r="E1679" t="str">
        <f>IF(june[[#This Row],[ShiftCounter]]&gt;0, "Running", "Down")</f>
        <v>Running</v>
      </c>
    </row>
    <row r="1680" spans="1:5" x14ac:dyDescent="0.25">
      <c r="A1680" s="8">
        <v>44727</v>
      </c>
      <c r="B1680" t="s">
        <v>24</v>
      </c>
      <c r="C1680">
        <v>2019</v>
      </c>
      <c r="D1680" t="s">
        <v>7</v>
      </c>
      <c r="E1680" t="str">
        <f>IF(june[[#This Row],[ShiftCounter]]&gt;0, "Running", "Down")</f>
        <v>Running</v>
      </c>
    </row>
    <row r="1681" spans="1:5" x14ac:dyDescent="0.25">
      <c r="A1681" s="8">
        <v>44727</v>
      </c>
      <c r="B1681" t="s">
        <v>24</v>
      </c>
      <c r="C1681">
        <v>1956</v>
      </c>
      <c r="D1681" t="s">
        <v>8</v>
      </c>
      <c r="E1681" t="str">
        <f>IF(june[[#This Row],[ShiftCounter]]&gt;0, "Running", "Down")</f>
        <v>Running</v>
      </c>
    </row>
    <row r="1682" spans="1:5" x14ac:dyDescent="0.25">
      <c r="A1682" s="8">
        <v>44727</v>
      </c>
      <c r="B1682" t="s">
        <v>25</v>
      </c>
      <c r="C1682">
        <v>2154</v>
      </c>
      <c r="D1682" t="s">
        <v>6</v>
      </c>
      <c r="E1682" t="str">
        <f>IF(june[[#This Row],[ShiftCounter]]&gt;0, "Running", "Down")</f>
        <v>Running</v>
      </c>
    </row>
    <row r="1683" spans="1:5" x14ac:dyDescent="0.25">
      <c r="A1683" s="8">
        <v>44727</v>
      </c>
      <c r="B1683" t="s">
        <v>25</v>
      </c>
      <c r="C1683">
        <v>2136</v>
      </c>
      <c r="D1683" t="s">
        <v>7</v>
      </c>
      <c r="E1683" t="str">
        <f>IF(june[[#This Row],[ShiftCounter]]&gt;0, "Running", "Down")</f>
        <v>Running</v>
      </c>
    </row>
    <row r="1684" spans="1:5" x14ac:dyDescent="0.25">
      <c r="A1684" s="8">
        <v>44727</v>
      </c>
      <c r="B1684" t="s">
        <v>25</v>
      </c>
      <c r="C1684">
        <v>2129</v>
      </c>
      <c r="D1684" t="s">
        <v>8</v>
      </c>
      <c r="E1684" t="str">
        <f>IF(june[[#This Row],[ShiftCounter]]&gt;0, "Running", "Down")</f>
        <v>Running</v>
      </c>
    </row>
    <row r="1685" spans="1:5" x14ac:dyDescent="0.25">
      <c r="A1685" s="8">
        <v>44727</v>
      </c>
      <c r="B1685" t="s">
        <v>74</v>
      </c>
      <c r="C1685">
        <v>1721</v>
      </c>
      <c r="D1685" t="s">
        <v>6</v>
      </c>
      <c r="E1685" t="str">
        <f>IF(june[[#This Row],[ShiftCounter]]&gt;0, "Running", "Down")</f>
        <v>Running</v>
      </c>
    </row>
    <row r="1686" spans="1:5" x14ac:dyDescent="0.25">
      <c r="A1686" s="8">
        <v>44727</v>
      </c>
      <c r="B1686" t="s">
        <v>74</v>
      </c>
      <c r="C1686">
        <v>1911</v>
      </c>
      <c r="D1686" t="s">
        <v>7</v>
      </c>
      <c r="E1686" t="str">
        <f>IF(june[[#This Row],[ShiftCounter]]&gt;0, "Running", "Down")</f>
        <v>Running</v>
      </c>
    </row>
    <row r="1687" spans="1:5" x14ac:dyDescent="0.25">
      <c r="A1687" s="8">
        <v>44727</v>
      </c>
      <c r="B1687" t="s">
        <v>74</v>
      </c>
      <c r="C1687">
        <v>1850</v>
      </c>
      <c r="D1687" t="s">
        <v>8</v>
      </c>
      <c r="E1687" t="str">
        <f>IF(june[[#This Row],[ShiftCounter]]&gt;0, "Running", "Down")</f>
        <v>Running</v>
      </c>
    </row>
    <row r="1688" spans="1:5" x14ac:dyDescent="0.25">
      <c r="A1688" s="8">
        <v>44727</v>
      </c>
      <c r="B1688" t="s">
        <v>26</v>
      </c>
      <c r="C1688">
        <v>1880</v>
      </c>
      <c r="D1688" t="s">
        <v>6</v>
      </c>
      <c r="E1688" t="str">
        <f>IF(june[[#This Row],[ShiftCounter]]&gt;0, "Running", "Down")</f>
        <v>Running</v>
      </c>
    </row>
    <row r="1689" spans="1:5" x14ac:dyDescent="0.25">
      <c r="A1689" s="8">
        <v>44727</v>
      </c>
      <c r="B1689" t="s">
        <v>26</v>
      </c>
      <c r="C1689">
        <v>1975</v>
      </c>
      <c r="D1689" t="s">
        <v>7</v>
      </c>
      <c r="E1689" t="str">
        <f>IF(june[[#This Row],[ShiftCounter]]&gt;0, "Running", "Down")</f>
        <v>Running</v>
      </c>
    </row>
    <row r="1690" spans="1:5" x14ac:dyDescent="0.25">
      <c r="A1690" s="8">
        <v>44727</v>
      </c>
      <c r="B1690" t="s">
        <v>26</v>
      </c>
      <c r="C1690">
        <v>1960</v>
      </c>
      <c r="D1690" t="s">
        <v>8</v>
      </c>
      <c r="E1690" t="str">
        <f>IF(june[[#This Row],[ShiftCounter]]&gt;0, "Running", "Down")</f>
        <v>Running</v>
      </c>
    </row>
    <row r="1691" spans="1:5" x14ac:dyDescent="0.25">
      <c r="A1691" s="8">
        <v>44727</v>
      </c>
      <c r="B1691" t="s">
        <v>27</v>
      </c>
      <c r="C1691">
        <v>1167</v>
      </c>
      <c r="D1691" t="s">
        <v>6</v>
      </c>
      <c r="E1691" t="str">
        <f>IF(june[[#This Row],[ShiftCounter]]&gt;0, "Running", "Down")</f>
        <v>Running</v>
      </c>
    </row>
    <row r="1692" spans="1:5" x14ac:dyDescent="0.25">
      <c r="A1692" s="8">
        <v>44727</v>
      </c>
      <c r="B1692" t="s">
        <v>27</v>
      </c>
      <c r="C1692">
        <v>2110</v>
      </c>
      <c r="D1692" t="s">
        <v>7</v>
      </c>
      <c r="E1692" t="str">
        <f>IF(june[[#This Row],[ShiftCounter]]&gt;0, "Running", "Down")</f>
        <v>Running</v>
      </c>
    </row>
    <row r="1693" spans="1:5" x14ac:dyDescent="0.25">
      <c r="A1693" s="8">
        <v>44727</v>
      </c>
      <c r="B1693" t="s">
        <v>27</v>
      </c>
      <c r="C1693">
        <v>2128</v>
      </c>
      <c r="D1693" t="s">
        <v>8</v>
      </c>
      <c r="E1693" t="str">
        <f>IF(june[[#This Row],[ShiftCounter]]&gt;0, "Running", "Down")</f>
        <v>Running</v>
      </c>
    </row>
    <row r="1694" spans="1:5" x14ac:dyDescent="0.25">
      <c r="A1694" s="8">
        <v>44727</v>
      </c>
      <c r="B1694" t="s">
        <v>28</v>
      </c>
      <c r="C1694">
        <v>1852</v>
      </c>
      <c r="D1694" t="s">
        <v>6</v>
      </c>
      <c r="E1694" t="str">
        <f>IF(june[[#This Row],[ShiftCounter]]&gt;0, "Running", "Down")</f>
        <v>Running</v>
      </c>
    </row>
    <row r="1695" spans="1:5" x14ac:dyDescent="0.25">
      <c r="A1695" s="8">
        <v>44727</v>
      </c>
      <c r="B1695" t="s">
        <v>28</v>
      </c>
      <c r="C1695">
        <v>2192</v>
      </c>
      <c r="D1695" t="s">
        <v>7</v>
      </c>
      <c r="E1695" t="str">
        <f>IF(june[[#This Row],[ShiftCounter]]&gt;0, "Running", "Down")</f>
        <v>Running</v>
      </c>
    </row>
    <row r="1696" spans="1:5" x14ac:dyDescent="0.25">
      <c r="A1696" s="8">
        <v>44727</v>
      </c>
      <c r="B1696" t="s">
        <v>28</v>
      </c>
      <c r="C1696">
        <v>2121</v>
      </c>
      <c r="D1696" t="s">
        <v>8</v>
      </c>
      <c r="E1696" t="str">
        <f>IF(june[[#This Row],[ShiftCounter]]&gt;0, "Running", "Down")</f>
        <v>Running</v>
      </c>
    </row>
    <row r="1697" spans="1:5" x14ac:dyDescent="0.25">
      <c r="A1697" s="8">
        <v>44727</v>
      </c>
      <c r="B1697" t="s">
        <v>29</v>
      </c>
      <c r="C1697">
        <v>2112</v>
      </c>
      <c r="D1697" t="s">
        <v>6</v>
      </c>
      <c r="E1697" t="str">
        <f>IF(june[[#This Row],[ShiftCounter]]&gt;0, "Running", "Down")</f>
        <v>Running</v>
      </c>
    </row>
    <row r="1698" spans="1:5" x14ac:dyDescent="0.25">
      <c r="A1698" s="8">
        <v>44727</v>
      </c>
      <c r="B1698" t="s">
        <v>29</v>
      </c>
      <c r="C1698">
        <v>2109</v>
      </c>
      <c r="D1698" t="s">
        <v>7</v>
      </c>
      <c r="E1698" t="str">
        <f>IF(june[[#This Row],[ShiftCounter]]&gt;0, "Running", "Down")</f>
        <v>Running</v>
      </c>
    </row>
    <row r="1699" spans="1:5" x14ac:dyDescent="0.25">
      <c r="A1699" s="8">
        <v>44727</v>
      </c>
      <c r="B1699" t="s">
        <v>29</v>
      </c>
      <c r="C1699">
        <v>2111</v>
      </c>
      <c r="D1699" t="s">
        <v>8</v>
      </c>
      <c r="E1699" t="str">
        <f>IF(june[[#This Row],[ShiftCounter]]&gt;0, "Running", "Down")</f>
        <v>Running</v>
      </c>
    </row>
    <row r="1700" spans="1:5" x14ac:dyDescent="0.25">
      <c r="A1700" s="8">
        <v>44727</v>
      </c>
      <c r="B1700" t="s">
        <v>30</v>
      </c>
      <c r="C1700">
        <v>1839</v>
      </c>
      <c r="D1700" t="s">
        <v>6</v>
      </c>
      <c r="E1700" t="str">
        <f>IF(june[[#This Row],[ShiftCounter]]&gt;0, "Running", "Down")</f>
        <v>Running</v>
      </c>
    </row>
    <row r="1701" spans="1:5" x14ac:dyDescent="0.25">
      <c r="A1701" s="8">
        <v>44727</v>
      </c>
      <c r="B1701" t="s">
        <v>30</v>
      </c>
      <c r="C1701">
        <v>2140</v>
      </c>
      <c r="D1701" t="s">
        <v>7</v>
      </c>
      <c r="E1701" t="str">
        <f>IF(june[[#This Row],[ShiftCounter]]&gt;0, "Running", "Down")</f>
        <v>Running</v>
      </c>
    </row>
    <row r="1702" spans="1:5" x14ac:dyDescent="0.25">
      <c r="A1702" s="8">
        <v>44727</v>
      </c>
      <c r="B1702" t="s">
        <v>30</v>
      </c>
      <c r="C1702">
        <v>2207</v>
      </c>
      <c r="D1702" t="s">
        <v>8</v>
      </c>
      <c r="E1702" t="str">
        <f>IF(june[[#This Row],[ShiftCounter]]&gt;0, "Running", "Down")</f>
        <v>Running</v>
      </c>
    </row>
    <row r="1703" spans="1:5" x14ac:dyDescent="0.25">
      <c r="A1703" s="8">
        <v>44727</v>
      </c>
      <c r="B1703" t="s">
        <v>31</v>
      </c>
      <c r="C1703">
        <v>1973</v>
      </c>
      <c r="D1703" t="s">
        <v>6</v>
      </c>
      <c r="E1703" t="str">
        <f>IF(june[[#This Row],[ShiftCounter]]&gt;0, "Running", "Down")</f>
        <v>Running</v>
      </c>
    </row>
    <row r="1704" spans="1:5" x14ac:dyDescent="0.25">
      <c r="A1704" s="8">
        <v>44727</v>
      </c>
      <c r="B1704" t="s">
        <v>31</v>
      </c>
      <c r="C1704">
        <v>2021</v>
      </c>
      <c r="D1704" t="s">
        <v>7</v>
      </c>
      <c r="E1704" t="str">
        <f>IF(june[[#This Row],[ShiftCounter]]&gt;0, "Running", "Down")</f>
        <v>Running</v>
      </c>
    </row>
    <row r="1705" spans="1:5" x14ac:dyDescent="0.25">
      <c r="A1705" s="8">
        <v>44727</v>
      </c>
      <c r="B1705" t="s">
        <v>31</v>
      </c>
      <c r="C1705">
        <v>2135</v>
      </c>
      <c r="D1705" t="s">
        <v>8</v>
      </c>
      <c r="E1705" t="str">
        <f>IF(june[[#This Row],[ShiftCounter]]&gt;0, "Running", "Down")</f>
        <v>Running</v>
      </c>
    </row>
    <row r="1706" spans="1:5" x14ac:dyDescent="0.25">
      <c r="A1706" s="8">
        <v>44727</v>
      </c>
      <c r="B1706" t="s">
        <v>32</v>
      </c>
      <c r="C1706">
        <v>2451</v>
      </c>
      <c r="D1706" t="s">
        <v>6</v>
      </c>
      <c r="E1706" t="str">
        <f>IF(june[[#This Row],[ShiftCounter]]&gt;0, "Running", "Down")</f>
        <v>Running</v>
      </c>
    </row>
    <row r="1707" spans="1:5" x14ac:dyDescent="0.25">
      <c r="A1707" s="8">
        <v>44727</v>
      </c>
      <c r="B1707" t="s">
        <v>32</v>
      </c>
      <c r="C1707">
        <v>2403</v>
      </c>
      <c r="D1707" t="s">
        <v>7</v>
      </c>
      <c r="E1707" t="str">
        <f>IF(june[[#This Row],[ShiftCounter]]&gt;0, "Running", "Down")</f>
        <v>Running</v>
      </c>
    </row>
    <row r="1708" spans="1:5" x14ac:dyDescent="0.25">
      <c r="A1708" s="8">
        <v>44727</v>
      </c>
      <c r="B1708" t="s">
        <v>32</v>
      </c>
      <c r="C1708">
        <v>2479</v>
      </c>
      <c r="D1708" t="s">
        <v>8</v>
      </c>
      <c r="E1708" t="str">
        <f>IF(june[[#This Row],[ShiftCounter]]&gt;0, "Running", "Down")</f>
        <v>Running</v>
      </c>
    </row>
    <row r="1709" spans="1:5" x14ac:dyDescent="0.25">
      <c r="A1709" s="8">
        <v>44727</v>
      </c>
      <c r="B1709" t="s">
        <v>67</v>
      </c>
      <c r="C1709">
        <v>1990</v>
      </c>
      <c r="D1709" t="s">
        <v>6</v>
      </c>
      <c r="E1709" t="str">
        <f>IF(june[[#This Row],[ShiftCounter]]&gt;0, "Running", "Down")</f>
        <v>Running</v>
      </c>
    </row>
    <row r="1710" spans="1:5" x14ac:dyDescent="0.25">
      <c r="A1710" s="8">
        <v>44727</v>
      </c>
      <c r="B1710" t="s">
        <v>67</v>
      </c>
      <c r="C1710">
        <v>2048</v>
      </c>
      <c r="D1710" t="s">
        <v>7</v>
      </c>
      <c r="E1710" t="str">
        <f>IF(june[[#This Row],[ShiftCounter]]&gt;0, "Running", "Down")</f>
        <v>Running</v>
      </c>
    </row>
    <row r="1711" spans="1:5" x14ac:dyDescent="0.25">
      <c r="A1711" s="8">
        <v>44727</v>
      </c>
      <c r="B1711" t="s">
        <v>67</v>
      </c>
      <c r="C1711">
        <v>2091</v>
      </c>
      <c r="D1711" t="s">
        <v>8</v>
      </c>
      <c r="E1711" t="str">
        <f>IF(june[[#This Row],[ShiftCounter]]&gt;0, "Running", "Down")</f>
        <v>Running</v>
      </c>
    </row>
    <row r="1712" spans="1:5" x14ac:dyDescent="0.25">
      <c r="A1712" s="8">
        <v>44727</v>
      </c>
      <c r="B1712" t="s">
        <v>33</v>
      </c>
      <c r="C1712">
        <v>2386</v>
      </c>
      <c r="D1712" t="s">
        <v>6</v>
      </c>
      <c r="E1712" t="str">
        <f>IF(june[[#This Row],[ShiftCounter]]&gt;0, "Running", "Down")</f>
        <v>Running</v>
      </c>
    </row>
    <row r="1713" spans="1:5" x14ac:dyDescent="0.25">
      <c r="A1713" s="8">
        <v>44727</v>
      </c>
      <c r="B1713" t="s">
        <v>33</v>
      </c>
      <c r="C1713">
        <v>2340</v>
      </c>
      <c r="D1713" t="s">
        <v>7</v>
      </c>
      <c r="E1713" t="str">
        <f>IF(june[[#This Row],[ShiftCounter]]&gt;0, "Running", "Down")</f>
        <v>Running</v>
      </c>
    </row>
    <row r="1714" spans="1:5" x14ac:dyDescent="0.25">
      <c r="A1714" s="8">
        <v>44727</v>
      </c>
      <c r="B1714" t="s">
        <v>33</v>
      </c>
      <c r="C1714">
        <v>2415</v>
      </c>
      <c r="D1714" t="s">
        <v>8</v>
      </c>
      <c r="E1714" t="str">
        <f>IF(june[[#This Row],[ShiftCounter]]&gt;0, "Running", "Down")</f>
        <v>Running</v>
      </c>
    </row>
    <row r="1715" spans="1:5" x14ac:dyDescent="0.25">
      <c r="A1715" s="8">
        <v>44727</v>
      </c>
      <c r="B1715" t="s">
        <v>34</v>
      </c>
      <c r="C1715">
        <v>1896</v>
      </c>
      <c r="D1715" t="s">
        <v>6</v>
      </c>
      <c r="E1715" t="str">
        <f>IF(june[[#This Row],[ShiftCounter]]&gt;0, "Running", "Down")</f>
        <v>Running</v>
      </c>
    </row>
    <row r="1716" spans="1:5" x14ac:dyDescent="0.25">
      <c r="A1716" s="8">
        <v>44727</v>
      </c>
      <c r="B1716" t="s">
        <v>34</v>
      </c>
      <c r="C1716">
        <v>1849</v>
      </c>
      <c r="D1716" t="s">
        <v>7</v>
      </c>
      <c r="E1716" t="str">
        <f>IF(june[[#This Row],[ShiftCounter]]&gt;0, "Running", "Down")</f>
        <v>Running</v>
      </c>
    </row>
    <row r="1717" spans="1:5" x14ac:dyDescent="0.25">
      <c r="A1717" s="8">
        <v>44727</v>
      </c>
      <c r="B1717" t="s">
        <v>34</v>
      </c>
      <c r="C1717">
        <v>1965</v>
      </c>
      <c r="D1717" t="s">
        <v>8</v>
      </c>
      <c r="E1717" t="str">
        <f>IF(june[[#This Row],[ShiftCounter]]&gt;0, "Running", "Down")</f>
        <v>Running</v>
      </c>
    </row>
    <row r="1718" spans="1:5" x14ac:dyDescent="0.25">
      <c r="A1718" s="8">
        <v>44727</v>
      </c>
      <c r="B1718" t="s">
        <v>36</v>
      </c>
      <c r="C1718">
        <v>1592</v>
      </c>
      <c r="D1718" t="s">
        <v>6</v>
      </c>
      <c r="E1718" t="str">
        <f>IF(june[[#This Row],[ShiftCounter]]&gt;0, "Running", "Down")</f>
        <v>Running</v>
      </c>
    </row>
    <row r="1719" spans="1:5" x14ac:dyDescent="0.25">
      <c r="A1719" s="8">
        <v>44727</v>
      </c>
      <c r="B1719" t="s">
        <v>36</v>
      </c>
      <c r="C1719">
        <v>2294</v>
      </c>
      <c r="D1719" t="s">
        <v>7</v>
      </c>
      <c r="E1719" t="str">
        <f>IF(june[[#This Row],[ShiftCounter]]&gt;0, "Running", "Down")</f>
        <v>Running</v>
      </c>
    </row>
    <row r="1720" spans="1:5" x14ac:dyDescent="0.25">
      <c r="A1720" s="8">
        <v>44727</v>
      </c>
      <c r="B1720" t="s">
        <v>36</v>
      </c>
      <c r="C1720">
        <v>2273</v>
      </c>
      <c r="D1720" t="s">
        <v>8</v>
      </c>
      <c r="E1720" t="str">
        <f>IF(june[[#This Row],[ShiftCounter]]&gt;0, "Running", "Down")</f>
        <v>Running</v>
      </c>
    </row>
    <row r="1721" spans="1:5" x14ac:dyDescent="0.25">
      <c r="A1721" s="8">
        <v>44727</v>
      </c>
      <c r="B1721" t="s">
        <v>37</v>
      </c>
      <c r="C1721">
        <v>2540</v>
      </c>
      <c r="D1721" t="s">
        <v>6</v>
      </c>
      <c r="E1721" t="str">
        <f>IF(june[[#This Row],[ShiftCounter]]&gt;0, "Running", "Down")</f>
        <v>Running</v>
      </c>
    </row>
    <row r="1722" spans="1:5" x14ac:dyDescent="0.25">
      <c r="A1722" s="8">
        <v>44727</v>
      </c>
      <c r="B1722" t="s">
        <v>37</v>
      </c>
      <c r="C1722">
        <v>2317</v>
      </c>
      <c r="D1722" t="s">
        <v>7</v>
      </c>
      <c r="E1722" t="str">
        <f>IF(june[[#This Row],[ShiftCounter]]&gt;0, "Running", "Down")</f>
        <v>Running</v>
      </c>
    </row>
    <row r="1723" spans="1:5" x14ac:dyDescent="0.25">
      <c r="A1723" s="8">
        <v>44727</v>
      </c>
      <c r="B1723" t="s">
        <v>37</v>
      </c>
      <c r="C1723">
        <v>2255</v>
      </c>
      <c r="D1723" t="s">
        <v>8</v>
      </c>
      <c r="E1723" t="str">
        <f>IF(june[[#This Row],[ShiftCounter]]&gt;0, "Running", "Down")</f>
        <v>Running</v>
      </c>
    </row>
    <row r="1724" spans="1:5" x14ac:dyDescent="0.25">
      <c r="A1724" s="8">
        <v>44728</v>
      </c>
      <c r="B1724" t="s">
        <v>135</v>
      </c>
      <c r="C1724">
        <v>2274</v>
      </c>
      <c r="D1724" t="s">
        <v>6</v>
      </c>
      <c r="E1724" t="str">
        <f>IF(june[[#This Row],[ShiftCounter]]&gt;0, "Running", "Down")</f>
        <v>Running</v>
      </c>
    </row>
    <row r="1725" spans="1:5" x14ac:dyDescent="0.25">
      <c r="A1725" s="8">
        <v>44728</v>
      </c>
      <c r="B1725" t="s">
        <v>135</v>
      </c>
      <c r="C1725">
        <v>2230</v>
      </c>
      <c r="D1725" t="s">
        <v>7</v>
      </c>
      <c r="E1725" t="str">
        <f>IF(june[[#This Row],[ShiftCounter]]&gt;0, "Running", "Down")</f>
        <v>Running</v>
      </c>
    </row>
    <row r="1726" spans="1:5" x14ac:dyDescent="0.25">
      <c r="A1726" s="8">
        <v>44728</v>
      </c>
      <c r="B1726" t="s">
        <v>135</v>
      </c>
      <c r="C1726">
        <v>2053</v>
      </c>
      <c r="D1726" t="s">
        <v>8</v>
      </c>
      <c r="E1726" t="str">
        <f>IF(june[[#This Row],[ShiftCounter]]&gt;0, "Running", "Down")</f>
        <v>Running</v>
      </c>
    </row>
    <row r="1727" spans="1:5" x14ac:dyDescent="0.25">
      <c r="A1727" s="8">
        <v>44728</v>
      </c>
      <c r="B1727" t="s">
        <v>40</v>
      </c>
      <c r="C1727">
        <v>2318</v>
      </c>
      <c r="D1727" t="s">
        <v>6</v>
      </c>
      <c r="E1727" t="str">
        <f>IF(june[[#This Row],[ShiftCounter]]&gt;0, "Running", "Down")</f>
        <v>Running</v>
      </c>
    </row>
    <row r="1728" spans="1:5" x14ac:dyDescent="0.25">
      <c r="A1728" s="8">
        <v>44728</v>
      </c>
      <c r="B1728" t="s">
        <v>40</v>
      </c>
      <c r="C1728">
        <v>2270</v>
      </c>
      <c r="D1728" t="s">
        <v>7</v>
      </c>
      <c r="E1728" t="str">
        <f>IF(june[[#This Row],[ShiftCounter]]&gt;0, "Running", "Down")</f>
        <v>Running</v>
      </c>
    </row>
    <row r="1729" spans="1:5" x14ac:dyDescent="0.25">
      <c r="A1729" s="8">
        <v>44728</v>
      </c>
      <c r="B1729" t="s">
        <v>40</v>
      </c>
      <c r="C1729">
        <v>2100</v>
      </c>
      <c r="D1729" t="s">
        <v>8</v>
      </c>
      <c r="E1729" t="str">
        <f>IF(june[[#This Row],[ShiftCounter]]&gt;0, "Running", "Down")</f>
        <v>Running</v>
      </c>
    </row>
    <row r="1730" spans="1:5" x14ac:dyDescent="0.25">
      <c r="A1730" s="8">
        <v>44728</v>
      </c>
      <c r="B1730" t="s">
        <v>39</v>
      </c>
      <c r="C1730">
        <v>2093</v>
      </c>
      <c r="D1730" t="s">
        <v>6</v>
      </c>
      <c r="E1730" t="str">
        <f>IF(june[[#This Row],[ShiftCounter]]&gt;0, "Running", "Down")</f>
        <v>Running</v>
      </c>
    </row>
    <row r="1731" spans="1:5" x14ac:dyDescent="0.25">
      <c r="A1731" s="8">
        <v>44728</v>
      </c>
      <c r="B1731" t="s">
        <v>39</v>
      </c>
      <c r="C1731">
        <v>2255</v>
      </c>
      <c r="D1731" t="s">
        <v>7</v>
      </c>
      <c r="E1731" t="str">
        <f>IF(june[[#This Row],[ShiftCounter]]&gt;0, "Running", "Down")</f>
        <v>Running</v>
      </c>
    </row>
    <row r="1732" spans="1:5" x14ac:dyDescent="0.25">
      <c r="A1732" s="8">
        <v>44728</v>
      </c>
      <c r="B1732" t="s">
        <v>39</v>
      </c>
      <c r="C1732">
        <v>2039</v>
      </c>
      <c r="D1732" t="s">
        <v>8</v>
      </c>
      <c r="E1732" t="str">
        <f>IF(june[[#This Row],[ShiftCounter]]&gt;0, "Running", "Down")</f>
        <v>Running</v>
      </c>
    </row>
    <row r="1733" spans="1:5" x14ac:dyDescent="0.25">
      <c r="A1733" s="8">
        <v>44728</v>
      </c>
      <c r="B1733" t="s">
        <v>41</v>
      </c>
      <c r="C1733">
        <v>2380</v>
      </c>
      <c r="D1733" t="s">
        <v>6</v>
      </c>
      <c r="E1733" t="str">
        <f>IF(june[[#This Row],[ShiftCounter]]&gt;0, "Running", "Down")</f>
        <v>Running</v>
      </c>
    </row>
    <row r="1734" spans="1:5" x14ac:dyDescent="0.25">
      <c r="A1734" s="8">
        <v>44728</v>
      </c>
      <c r="B1734" t="s">
        <v>41</v>
      </c>
      <c r="C1734">
        <v>2344</v>
      </c>
      <c r="D1734" t="s">
        <v>7</v>
      </c>
      <c r="E1734" t="str">
        <f>IF(june[[#This Row],[ShiftCounter]]&gt;0, "Running", "Down")</f>
        <v>Running</v>
      </c>
    </row>
    <row r="1735" spans="1:5" x14ac:dyDescent="0.25">
      <c r="A1735" s="8">
        <v>44728</v>
      </c>
      <c r="B1735" t="s">
        <v>41</v>
      </c>
      <c r="C1735">
        <v>2080</v>
      </c>
      <c r="D1735" t="s">
        <v>8</v>
      </c>
      <c r="E1735" t="str">
        <f>IF(june[[#This Row],[ShiftCounter]]&gt;0, "Running", "Down")</f>
        <v>Running</v>
      </c>
    </row>
    <row r="1736" spans="1:5" x14ac:dyDescent="0.25">
      <c r="A1736" s="8">
        <v>44728</v>
      </c>
      <c r="B1736" t="s">
        <v>5</v>
      </c>
      <c r="C1736">
        <v>1970</v>
      </c>
      <c r="D1736" t="s">
        <v>6</v>
      </c>
      <c r="E1736" t="str">
        <f>IF(june[[#This Row],[ShiftCounter]]&gt;0, "Running", "Down")</f>
        <v>Running</v>
      </c>
    </row>
    <row r="1737" spans="1:5" x14ac:dyDescent="0.25">
      <c r="A1737" s="8">
        <v>44728</v>
      </c>
      <c r="B1737" t="s">
        <v>5</v>
      </c>
      <c r="C1737">
        <v>2286</v>
      </c>
      <c r="D1737" t="s">
        <v>7</v>
      </c>
      <c r="E1737" t="str">
        <f>IF(june[[#This Row],[ShiftCounter]]&gt;0, "Running", "Down")</f>
        <v>Running</v>
      </c>
    </row>
    <row r="1738" spans="1:5" x14ac:dyDescent="0.25">
      <c r="A1738" s="8">
        <v>44728</v>
      </c>
      <c r="B1738" t="s">
        <v>5</v>
      </c>
      <c r="C1738">
        <v>2064</v>
      </c>
      <c r="D1738" t="s">
        <v>8</v>
      </c>
      <c r="E1738" t="str">
        <f>IF(june[[#This Row],[ShiftCounter]]&gt;0, "Running", "Down")</f>
        <v>Running</v>
      </c>
    </row>
    <row r="1739" spans="1:5" x14ac:dyDescent="0.25">
      <c r="A1739" s="8">
        <v>44728</v>
      </c>
      <c r="B1739" t="s">
        <v>9</v>
      </c>
      <c r="C1739">
        <v>2093</v>
      </c>
      <c r="D1739" t="s">
        <v>6</v>
      </c>
      <c r="E1739" t="str">
        <f>IF(june[[#This Row],[ShiftCounter]]&gt;0, "Running", "Down")</f>
        <v>Running</v>
      </c>
    </row>
    <row r="1740" spans="1:5" x14ac:dyDescent="0.25">
      <c r="A1740" s="8">
        <v>44728</v>
      </c>
      <c r="B1740" t="s">
        <v>9</v>
      </c>
      <c r="C1740">
        <v>2223</v>
      </c>
      <c r="D1740" t="s">
        <v>7</v>
      </c>
      <c r="E1740" t="str">
        <f>IF(june[[#This Row],[ShiftCounter]]&gt;0, "Running", "Down")</f>
        <v>Running</v>
      </c>
    </row>
    <row r="1741" spans="1:5" x14ac:dyDescent="0.25">
      <c r="A1741" s="8">
        <v>44728</v>
      </c>
      <c r="B1741" t="s">
        <v>9</v>
      </c>
      <c r="C1741">
        <v>1987</v>
      </c>
      <c r="D1741" t="s">
        <v>8</v>
      </c>
      <c r="E1741" t="str">
        <f>IF(june[[#This Row],[ShiftCounter]]&gt;0, "Running", "Down")</f>
        <v>Running</v>
      </c>
    </row>
    <row r="1742" spans="1:5" x14ac:dyDescent="0.25">
      <c r="A1742" s="8">
        <v>44728</v>
      </c>
      <c r="B1742" t="s">
        <v>10</v>
      </c>
      <c r="C1742">
        <v>2064</v>
      </c>
      <c r="D1742" t="s">
        <v>6</v>
      </c>
      <c r="E1742" t="str">
        <f>IF(june[[#This Row],[ShiftCounter]]&gt;0, "Running", "Down")</f>
        <v>Running</v>
      </c>
    </row>
    <row r="1743" spans="1:5" x14ac:dyDescent="0.25">
      <c r="A1743" s="8">
        <v>44728</v>
      </c>
      <c r="B1743" t="s">
        <v>10</v>
      </c>
      <c r="C1743">
        <v>2314</v>
      </c>
      <c r="D1743" t="s">
        <v>7</v>
      </c>
      <c r="E1743" t="str">
        <f>IF(june[[#This Row],[ShiftCounter]]&gt;0, "Running", "Down")</f>
        <v>Running</v>
      </c>
    </row>
    <row r="1744" spans="1:5" x14ac:dyDescent="0.25">
      <c r="A1744" s="8">
        <v>44728</v>
      </c>
      <c r="B1744" t="s">
        <v>10</v>
      </c>
      <c r="C1744">
        <v>2071</v>
      </c>
      <c r="D1744" t="s">
        <v>8</v>
      </c>
      <c r="E1744" t="str">
        <f>IF(june[[#This Row],[ShiftCounter]]&gt;0, "Running", "Down")</f>
        <v>Running</v>
      </c>
    </row>
    <row r="1745" spans="1:5" x14ac:dyDescent="0.25">
      <c r="A1745" s="8">
        <v>44728</v>
      </c>
      <c r="B1745" t="s">
        <v>11</v>
      </c>
      <c r="C1745">
        <v>2377</v>
      </c>
      <c r="D1745" t="s">
        <v>6</v>
      </c>
      <c r="E1745" t="str">
        <f>IF(june[[#This Row],[ShiftCounter]]&gt;0, "Running", "Down")</f>
        <v>Running</v>
      </c>
    </row>
    <row r="1746" spans="1:5" x14ac:dyDescent="0.25">
      <c r="A1746" s="8">
        <v>44728</v>
      </c>
      <c r="B1746" t="s">
        <v>11</v>
      </c>
      <c r="C1746">
        <v>2308</v>
      </c>
      <c r="D1746" t="s">
        <v>7</v>
      </c>
      <c r="E1746" t="str">
        <f>IF(june[[#This Row],[ShiftCounter]]&gt;0, "Running", "Down")</f>
        <v>Running</v>
      </c>
    </row>
    <row r="1747" spans="1:5" x14ac:dyDescent="0.25">
      <c r="A1747" s="8">
        <v>44728</v>
      </c>
      <c r="B1747" t="s">
        <v>11</v>
      </c>
      <c r="C1747">
        <v>2079</v>
      </c>
      <c r="D1747" t="s">
        <v>8</v>
      </c>
      <c r="E1747" t="str">
        <f>IF(june[[#This Row],[ShiftCounter]]&gt;0, "Running", "Down")</f>
        <v>Running</v>
      </c>
    </row>
    <row r="1748" spans="1:5" x14ac:dyDescent="0.25">
      <c r="A1748" s="8">
        <v>44728</v>
      </c>
      <c r="B1748" t="s">
        <v>12</v>
      </c>
      <c r="C1748">
        <v>2371</v>
      </c>
      <c r="D1748" t="s">
        <v>6</v>
      </c>
      <c r="E1748" t="str">
        <f>IF(june[[#This Row],[ShiftCounter]]&gt;0, "Running", "Down")</f>
        <v>Running</v>
      </c>
    </row>
    <row r="1749" spans="1:5" x14ac:dyDescent="0.25">
      <c r="A1749" s="8">
        <v>44728</v>
      </c>
      <c r="B1749" t="s">
        <v>12</v>
      </c>
      <c r="C1749">
        <v>2266</v>
      </c>
      <c r="D1749" t="s">
        <v>7</v>
      </c>
      <c r="E1749" t="str">
        <f>IF(june[[#This Row],[ShiftCounter]]&gt;0, "Running", "Down")</f>
        <v>Running</v>
      </c>
    </row>
    <row r="1750" spans="1:5" x14ac:dyDescent="0.25">
      <c r="A1750" s="8">
        <v>44728</v>
      </c>
      <c r="B1750" t="s">
        <v>12</v>
      </c>
      <c r="C1750">
        <v>2037</v>
      </c>
      <c r="D1750" t="s">
        <v>8</v>
      </c>
      <c r="E1750" t="str">
        <f>IF(june[[#This Row],[ShiftCounter]]&gt;0, "Running", "Down")</f>
        <v>Running</v>
      </c>
    </row>
    <row r="1751" spans="1:5" x14ac:dyDescent="0.25">
      <c r="A1751" s="8">
        <v>44728</v>
      </c>
      <c r="B1751" t="s">
        <v>13</v>
      </c>
      <c r="C1751">
        <v>2235</v>
      </c>
      <c r="D1751" t="s">
        <v>6</v>
      </c>
      <c r="E1751" t="str">
        <f>IF(june[[#This Row],[ShiftCounter]]&gt;0, "Running", "Down")</f>
        <v>Running</v>
      </c>
    </row>
    <row r="1752" spans="1:5" x14ac:dyDescent="0.25">
      <c r="A1752" s="8">
        <v>44728</v>
      </c>
      <c r="B1752" t="s">
        <v>13</v>
      </c>
      <c r="C1752">
        <v>2188</v>
      </c>
      <c r="D1752" t="s">
        <v>7</v>
      </c>
      <c r="E1752" t="str">
        <f>IF(june[[#This Row],[ShiftCounter]]&gt;0, "Running", "Down")</f>
        <v>Running</v>
      </c>
    </row>
    <row r="1753" spans="1:5" x14ac:dyDescent="0.25">
      <c r="A1753" s="8">
        <v>44728</v>
      </c>
      <c r="B1753" t="s">
        <v>13</v>
      </c>
      <c r="C1753">
        <v>1923</v>
      </c>
      <c r="D1753" t="s">
        <v>8</v>
      </c>
      <c r="E1753" t="str">
        <f>IF(june[[#This Row],[ShiftCounter]]&gt;0, "Running", "Down")</f>
        <v>Running</v>
      </c>
    </row>
    <row r="1754" spans="1:5" x14ac:dyDescent="0.25">
      <c r="A1754" s="8">
        <v>44728</v>
      </c>
      <c r="B1754" t="s">
        <v>101</v>
      </c>
      <c r="C1754">
        <v>2079</v>
      </c>
      <c r="D1754" t="s">
        <v>6</v>
      </c>
      <c r="E1754" t="str">
        <f>IF(june[[#This Row],[ShiftCounter]]&gt;0, "Running", "Down")</f>
        <v>Running</v>
      </c>
    </row>
    <row r="1755" spans="1:5" x14ac:dyDescent="0.25">
      <c r="A1755" s="8">
        <v>44728</v>
      </c>
      <c r="B1755" t="s">
        <v>101</v>
      </c>
      <c r="C1755">
        <v>2113</v>
      </c>
      <c r="D1755" t="s">
        <v>7</v>
      </c>
      <c r="E1755" t="str">
        <f>IF(june[[#This Row],[ShiftCounter]]&gt;0, "Running", "Down")</f>
        <v>Running</v>
      </c>
    </row>
    <row r="1756" spans="1:5" x14ac:dyDescent="0.25">
      <c r="A1756" s="8">
        <v>44728</v>
      </c>
      <c r="B1756" t="s">
        <v>101</v>
      </c>
      <c r="C1756">
        <v>1855</v>
      </c>
      <c r="D1756" t="s">
        <v>8</v>
      </c>
      <c r="E1756" t="str">
        <f>IF(june[[#This Row],[ShiftCounter]]&gt;0, "Running", "Down")</f>
        <v>Running</v>
      </c>
    </row>
    <row r="1757" spans="1:5" x14ac:dyDescent="0.25">
      <c r="A1757" s="8">
        <v>44728</v>
      </c>
      <c r="B1757" t="s">
        <v>14</v>
      </c>
      <c r="C1757">
        <v>2005</v>
      </c>
      <c r="D1757" t="s">
        <v>6</v>
      </c>
      <c r="E1757" t="str">
        <f>IF(june[[#This Row],[ShiftCounter]]&gt;0, "Running", "Down")</f>
        <v>Running</v>
      </c>
    </row>
    <row r="1758" spans="1:5" x14ac:dyDescent="0.25">
      <c r="A1758" s="8">
        <v>44728</v>
      </c>
      <c r="B1758" t="s">
        <v>14</v>
      </c>
      <c r="C1758">
        <v>1231</v>
      </c>
      <c r="D1758" t="s">
        <v>7</v>
      </c>
      <c r="E1758" t="str">
        <f>IF(june[[#This Row],[ShiftCounter]]&gt;0, "Running", "Down")</f>
        <v>Running</v>
      </c>
    </row>
    <row r="1759" spans="1:5" x14ac:dyDescent="0.25">
      <c r="A1759" s="8">
        <v>44728</v>
      </c>
      <c r="B1759" t="s">
        <v>14</v>
      </c>
      <c r="C1759">
        <v>0</v>
      </c>
      <c r="D1759" t="s">
        <v>8</v>
      </c>
      <c r="E1759" t="str">
        <f>IF(june[[#This Row],[ShiftCounter]]&gt;0, "Running", "Down")</f>
        <v>Down</v>
      </c>
    </row>
    <row r="1760" spans="1:5" x14ac:dyDescent="0.25">
      <c r="A1760" s="8">
        <v>44728</v>
      </c>
      <c r="B1760" t="s">
        <v>15</v>
      </c>
      <c r="C1760">
        <v>2341</v>
      </c>
      <c r="D1760" t="s">
        <v>6</v>
      </c>
      <c r="E1760" t="str">
        <f>IF(june[[#This Row],[ShiftCounter]]&gt;0, "Running", "Down")</f>
        <v>Running</v>
      </c>
    </row>
    <row r="1761" spans="1:5" x14ac:dyDescent="0.25">
      <c r="A1761" s="8">
        <v>44728</v>
      </c>
      <c r="B1761" t="s">
        <v>15</v>
      </c>
      <c r="C1761">
        <v>2303</v>
      </c>
      <c r="D1761" t="s">
        <v>7</v>
      </c>
      <c r="E1761" t="str">
        <f>IF(june[[#This Row],[ShiftCounter]]&gt;0, "Running", "Down")</f>
        <v>Running</v>
      </c>
    </row>
    <row r="1762" spans="1:5" x14ac:dyDescent="0.25">
      <c r="A1762" s="8">
        <v>44728</v>
      </c>
      <c r="B1762" t="s">
        <v>15</v>
      </c>
      <c r="C1762">
        <v>2030</v>
      </c>
      <c r="D1762" t="s">
        <v>8</v>
      </c>
      <c r="E1762" t="str">
        <f>IF(june[[#This Row],[ShiftCounter]]&gt;0, "Running", "Down")</f>
        <v>Running</v>
      </c>
    </row>
    <row r="1763" spans="1:5" x14ac:dyDescent="0.25">
      <c r="A1763" s="8">
        <v>44728</v>
      </c>
      <c r="B1763" t="s">
        <v>16</v>
      </c>
      <c r="C1763">
        <v>2115</v>
      </c>
      <c r="D1763" t="s">
        <v>6</v>
      </c>
      <c r="E1763" t="str">
        <f>IF(june[[#This Row],[ShiftCounter]]&gt;0, "Running", "Down")</f>
        <v>Running</v>
      </c>
    </row>
    <row r="1764" spans="1:5" x14ac:dyDescent="0.25">
      <c r="A1764" s="8">
        <v>44728</v>
      </c>
      <c r="B1764" t="s">
        <v>16</v>
      </c>
      <c r="C1764">
        <v>2253</v>
      </c>
      <c r="D1764" t="s">
        <v>7</v>
      </c>
      <c r="E1764" t="str">
        <f>IF(june[[#This Row],[ShiftCounter]]&gt;0, "Running", "Down")</f>
        <v>Running</v>
      </c>
    </row>
    <row r="1765" spans="1:5" x14ac:dyDescent="0.25">
      <c r="A1765" s="8">
        <v>44728</v>
      </c>
      <c r="B1765" t="s">
        <v>16</v>
      </c>
      <c r="C1765">
        <v>2000</v>
      </c>
      <c r="D1765" t="s">
        <v>8</v>
      </c>
      <c r="E1765" t="str">
        <f>IF(june[[#This Row],[ShiftCounter]]&gt;0, "Running", "Down")</f>
        <v>Running</v>
      </c>
    </row>
    <row r="1766" spans="1:5" x14ac:dyDescent="0.25">
      <c r="A1766" s="8">
        <v>44728</v>
      </c>
      <c r="B1766" t="s">
        <v>17</v>
      </c>
      <c r="C1766">
        <v>2242</v>
      </c>
      <c r="D1766" t="s">
        <v>6</v>
      </c>
      <c r="E1766" t="str">
        <f>IF(june[[#This Row],[ShiftCounter]]&gt;0, "Running", "Down")</f>
        <v>Running</v>
      </c>
    </row>
    <row r="1767" spans="1:5" x14ac:dyDescent="0.25">
      <c r="A1767" s="8">
        <v>44728</v>
      </c>
      <c r="B1767" t="s">
        <v>17</v>
      </c>
      <c r="C1767">
        <v>2334</v>
      </c>
      <c r="D1767" t="s">
        <v>7</v>
      </c>
      <c r="E1767" t="str">
        <f>IF(june[[#This Row],[ShiftCounter]]&gt;0, "Running", "Down")</f>
        <v>Running</v>
      </c>
    </row>
    <row r="1768" spans="1:5" x14ac:dyDescent="0.25">
      <c r="A1768" s="8">
        <v>44728</v>
      </c>
      <c r="B1768" t="s">
        <v>17</v>
      </c>
      <c r="C1768">
        <v>2076</v>
      </c>
      <c r="D1768" t="s">
        <v>8</v>
      </c>
      <c r="E1768" t="str">
        <f>IF(june[[#This Row],[ShiftCounter]]&gt;0, "Running", "Down")</f>
        <v>Running</v>
      </c>
    </row>
    <row r="1769" spans="1:5" x14ac:dyDescent="0.25">
      <c r="A1769" s="8">
        <v>44728</v>
      </c>
      <c r="B1769" t="s">
        <v>18</v>
      </c>
      <c r="C1769">
        <v>2416</v>
      </c>
      <c r="D1769" t="s">
        <v>6</v>
      </c>
      <c r="E1769" t="str">
        <f>IF(june[[#This Row],[ShiftCounter]]&gt;0, "Running", "Down")</f>
        <v>Running</v>
      </c>
    </row>
    <row r="1770" spans="1:5" x14ac:dyDescent="0.25">
      <c r="A1770" s="8">
        <v>44728</v>
      </c>
      <c r="B1770" t="s">
        <v>18</v>
      </c>
      <c r="C1770">
        <v>2331</v>
      </c>
      <c r="D1770" t="s">
        <v>7</v>
      </c>
      <c r="E1770" t="str">
        <f>IF(june[[#This Row],[ShiftCounter]]&gt;0, "Running", "Down")</f>
        <v>Running</v>
      </c>
    </row>
    <row r="1771" spans="1:5" x14ac:dyDescent="0.25">
      <c r="A1771" s="8">
        <v>44728</v>
      </c>
      <c r="B1771" t="s">
        <v>18</v>
      </c>
      <c r="C1771">
        <v>2035</v>
      </c>
      <c r="D1771" t="s">
        <v>8</v>
      </c>
      <c r="E1771" t="str">
        <f>IF(june[[#This Row],[ShiftCounter]]&gt;0, "Running", "Down")</f>
        <v>Running</v>
      </c>
    </row>
    <row r="1772" spans="1:5" x14ac:dyDescent="0.25">
      <c r="A1772" s="8">
        <v>44728</v>
      </c>
      <c r="B1772" t="s">
        <v>19</v>
      </c>
      <c r="C1772">
        <v>1946</v>
      </c>
      <c r="D1772" t="s">
        <v>6</v>
      </c>
      <c r="E1772" t="str">
        <f>IF(june[[#This Row],[ShiftCounter]]&gt;0, "Running", "Down")</f>
        <v>Running</v>
      </c>
    </row>
    <row r="1773" spans="1:5" x14ac:dyDescent="0.25">
      <c r="A1773" s="8">
        <v>44728</v>
      </c>
      <c r="B1773" t="s">
        <v>19</v>
      </c>
      <c r="C1773">
        <v>2015</v>
      </c>
      <c r="D1773" t="s">
        <v>7</v>
      </c>
      <c r="E1773" t="str">
        <f>IF(june[[#This Row],[ShiftCounter]]&gt;0, "Running", "Down")</f>
        <v>Running</v>
      </c>
    </row>
    <row r="1774" spans="1:5" x14ac:dyDescent="0.25">
      <c r="A1774" s="8">
        <v>44728</v>
      </c>
      <c r="B1774" t="s">
        <v>19</v>
      </c>
      <c r="C1774">
        <v>1683</v>
      </c>
      <c r="D1774" t="s">
        <v>8</v>
      </c>
      <c r="E1774" t="str">
        <f>IF(june[[#This Row],[ShiftCounter]]&gt;0, "Running", "Down")</f>
        <v>Running</v>
      </c>
    </row>
    <row r="1775" spans="1:5" x14ac:dyDescent="0.25">
      <c r="A1775" s="8">
        <v>44728</v>
      </c>
      <c r="B1775" t="s">
        <v>42</v>
      </c>
      <c r="C1775">
        <v>2094</v>
      </c>
      <c r="D1775" t="s">
        <v>6</v>
      </c>
      <c r="E1775" t="str">
        <f>IF(june[[#This Row],[ShiftCounter]]&gt;0, "Running", "Down")</f>
        <v>Running</v>
      </c>
    </row>
    <row r="1776" spans="1:5" x14ac:dyDescent="0.25">
      <c r="A1776" s="8">
        <v>44728</v>
      </c>
      <c r="B1776" t="s">
        <v>42</v>
      </c>
      <c r="C1776">
        <v>2214</v>
      </c>
      <c r="D1776" t="s">
        <v>7</v>
      </c>
      <c r="E1776" t="str">
        <f>IF(june[[#This Row],[ShiftCounter]]&gt;0, "Running", "Down")</f>
        <v>Running</v>
      </c>
    </row>
    <row r="1777" spans="1:5" x14ac:dyDescent="0.25">
      <c r="A1777" s="8">
        <v>44728</v>
      </c>
      <c r="B1777" t="s">
        <v>42</v>
      </c>
      <c r="C1777">
        <v>1836</v>
      </c>
      <c r="D1777" t="s">
        <v>8</v>
      </c>
      <c r="E1777" t="str">
        <f>IF(june[[#This Row],[ShiftCounter]]&gt;0, "Running", "Down")</f>
        <v>Running</v>
      </c>
    </row>
    <row r="1778" spans="1:5" x14ac:dyDescent="0.25">
      <c r="A1778" s="8">
        <v>44728</v>
      </c>
      <c r="B1778" t="s">
        <v>20</v>
      </c>
      <c r="C1778">
        <v>2048</v>
      </c>
      <c r="D1778" t="s">
        <v>6</v>
      </c>
      <c r="E1778" t="str">
        <f>IF(june[[#This Row],[ShiftCounter]]&gt;0, "Running", "Down")</f>
        <v>Running</v>
      </c>
    </row>
    <row r="1779" spans="1:5" x14ac:dyDescent="0.25">
      <c r="A1779" s="8">
        <v>44728</v>
      </c>
      <c r="B1779" t="s">
        <v>20</v>
      </c>
      <c r="C1779">
        <v>2073</v>
      </c>
      <c r="D1779" t="s">
        <v>7</v>
      </c>
      <c r="E1779" t="str">
        <f>IF(june[[#This Row],[ShiftCounter]]&gt;0, "Running", "Down")</f>
        <v>Running</v>
      </c>
    </row>
    <row r="1780" spans="1:5" x14ac:dyDescent="0.25">
      <c r="A1780" s="8">
        <v>44728</v>
      </c>
      <c r="B1780" t="s">
        <v>20</v>
      </c>
      <c r="C1780">
        <v>1720</v>
      </c>
      <c r="D1780" t="s">
        <v>8</v>
      </c>
      <c r="E1780" t="str">
        <f>IF(june[[#This Row],[ShiftCounter]]&gt;0, "Running", "Down")</f>
        <v>Running</v>
      </c>
    </row>
    <row r="1781" spans="1:5" x14ac:dyDescent="0.25">
      <c r="A1781" s="8">
        <v>44728</v>
      </c>
      <c r="B1781" t="s">
        <v>21</v>
      </c>
      <c r="C1781">
        <v>1890</v>
      </c>
      <c r="D1781" t="s">
        <v>6</v>
      </c>
      <c r="E1781" t="str">
        <f>IF(june[[#This Row],[ShiftCounter]]&gt;0, "Running", "Down")</f>
        <v>Running</v>
      </c>
    </row>
    <row r="1782" spans="1:5" x14ac:dyDescent="0.25">
      <c r="A1782" s="8">
        <v>44728</v>
      </c>
      <c r="B1782" t="s">
        <v>21</v>
      </c>
      <c r="C1782">
        <v>2045</v>
      </c>
      <c r="D1782" t="s">
        <v>7</v>
      </c>
      <c r="E1782" t="str">
        <f>IF(june[[#This Row],[ShiftCounter]]&gt;0, "Running", "Down")</f>
        <v>Running</v>
      </c>
    </row>
    <row r="1783" spans="1:5" x14ac:dyDescent="0.25">
      <c r="A1783" s="8">
        <v>44728</v>
      </c>
      <c r="B1783" t="s">
        <v>21</v>
      </c>
      <c r="C1783">
        <v>1836</v>
      </c>
      <c r="D1783" t="s">
        <v>8</v>
      </c>
      <c r="E1783" t="str">
        <f>IF(june[[#This Row],[ShiftCounter]]&gt;0, "Running", "Down")</f>
        <v>Running</v>
      </c>
    </row>
    <row r="1784" spans="1:5" x14ac:dyDescent="0.25">
      <c r="A1784" s="8">
        <v>44728</v>
      </c>
      <c r="B1784" t="s">
        <v>22</v>
      </c>
      <c r="C1784">
        <v>2115</v>
      </c>
      <c r="D1784" t="s">
        <v>6</v>
      </c>
      <c r="E1784" t="str">
        <f>IF(june[[#This Row],[ShiftCounter]]&gt;0, "Running", "Down")</f>
        <v>Running</v>
      </c>
    </row>
    <row r="1785" spans="1:5" x14ac:dyDescent="0.25">
      <c r="A1785" s="8">
        <v>44728</v>
      </c>
      <c r="B1785" t="s">
        <v>22</v>
      </c>
      <c r="C1785">
        <v>2511</v>
      </c>
      <c r="D1785" t="s">
        <v>7</v>
      </c>
      <c r="E1785" t="str">
        <f>IF(june[[#This Row],[ShiftCounter]]&gt;0, "Running", "Down")</f>
        <v>Running</v>
      </c>
    </row>
    <row r="1786" spans="1:5" x14ac:dyDescent="0.25">
      <c r="A1786" s="8">
        <v>44728</v>
      </c>
      <c r="B1786" t="s">
        <v>22</v>
      </c>
      <c r="C1786">
        <v>2190</v>
      </c>
      <c r="D1786" t="s">
        <v>8</v>
      </c>
      <c r="E1786" t="str">
        <f>IF(june[[#This Row],[ShiftCounter]]&gt;0, "Running", "Down")</f>
        <v>Running</v>
      </c>
    </row>
    <row r="1787" spans="1:5" x14ac:dyDescent="0.25">
      <c r="A1787" s="8">
        <v>44728</v>
      </c>
      <c r="B1787" t="s">
        <v>23</v>
      </c>
      <c r="C1787">
        <v>2048</v>
      </c>
      <c r="D1787" t="s">
        <v>6</v>
      </c>
      <c r="E1787" t="str">
        <f>IF(june[[#This Row],[ShiftCounter]]&gt;0, "Running", "Down")</f>
        <v>Running</v>
      </c>
    </row>
    <row r="1788" spans="1:5" x14ac:dyDescent="0.25">
      <c r="A1788" s="8">
        <v>44728</v>
      </c>
      <c r="B1788" t="s">
        <v>23</v>
      </c>
      <c r="C1788">
        <v>2683</v>
      </c>
      <c r="D1788" t="s">
        <v>7</v>
      </c>
      <c r="E1788" t="str">
        <f>IF(june[[#This Row],[ShiftCounter]]&gt;0, "Running", "Down")</f>
        <v>Running</v>
      </c>
    </row>
    <row r="1789" spans="1:5" x14ac:dyDescent="0.25">
      <c r="A1789" s="8">
        <v>44728</v>
      </c>
      <c r="B1789" t="s">
        <v>23</v>
      </c>
      <c r="C1789">
        <v>2293</v>
      </c>
      <c r="D1789" t="s">
        <v>8</v>
      </c>
      <c r="E1789" t="str">
        <f>IF(june[[#This Row],[ShiftCounter]]&gt;0, "Running", "Down")</f>
        <v>Running</v>
      </c>
    </row>
    <row r="1790" spans="1:5" x14ac:dyDescent="0.25">
      <c r="A1790" s="8">
        <v>44728</v>
      </c>
      <c r="B1790" t="s">
        <v>24</v>
      </c>
      <c r="C1790">
        <v>1958</v>
      </c>
      <c r="D1790" t="s">
        <v>6</v>
      </c>
      <c r="E1790" t="str">
        <f>IF(june[[#This Row],[ShiftCounter]]&gt;0, "Running", "Down")</f>
        <v>Running</v>
      </c>
    </row>
    <row r="1791" spans="1:5" x14ac:dyDescent="0.25">
      <c r="A1791" s="8">
        <v>44728</v>
      </c>
      <c r="B1791" t="s">
        <v>24</v>
      </c>
      <c r="C1791">
        <v>2177</v>
      </c>
      <c r="D1791" t="s">
        <v>7</v>
      </c>
      <c r="E1791" t="str">
        <f>IF(june[[#This Row],[ShiftCounter]]&gt;0, "Running", "Down")</f>
        <v>Running</v>
      </c>
    </row>
    <row r="1792" spans="1:5" x14ac:dyDescent="0.25">
      <c r="A1792" s="8">
        <v>44728</v>
      </c>
      <c r="B1792" t="s">
        <v>24</v>
      </c>
      <c r="C1792">
        <v>1974</v>
      </c>
      <c r="D1792" t="s">
        <v>8</v>
      </c>
      <c r="E1792" t="str">
        <f>IF(june[[#This Row],[ShiftCounter]]&gt;0, "Running", "Down")</f>
        <v>Running</v>
      </c>
    </row>
    <row r="1793" spans="1:5" x14ac:dyDescent="0.25">
      <c r="A1793" s="8">
        <v>44728</v>
      </c>
      <c r="B1793" t="s">
        <v>25</v>
      </c>
      <c r="C1793">
        <v>1965</v>
      </c>
      <c r="D1793" t="s">
        <v>6</v>
      </c>
      <c r="E1793" t="str">
        <f>IF(june[[#This Row],[ShiftCounter]]&gt;0, "Running", "Down")</f>
        <v>Running</v>
      </c>
    </row>
    <row r="1794" spans="1:5" x14ac:dyDescent="0.25">
      <c r="A1794" s="8">
        <v>44728</v>
      </c>
      <c r="B1794" t="s">
        <v>25</v>
      </c>
      <c r="C1794">
        <v>2305</v>
      </c>
      <c r="D1794" t="s">
        <v>7</v>
      </c>
      <c r="E1794" t="str">
        <f>IF(june[[#This Row],[ShiftCounter]]&gt;0, "Running", "Down")</f>
        <v>Running</v>
      </c>
    </row>
    <row r="1795" spans="1:5" x14ac:dyDescent="0.25">
      <c r="A1795" s="8">
        <v>44728</v>
      </c>
      <c r="B1795" t="s">
        <v>25</v>
      </c>
      <c r="C1795">
        <v>2107</v>
      </c>
      <c r="D1795" t="s">
        <v>8</v>
      </c>
      <c r="E1795" t="str">
        <f>IF(june[[#This Row],[ShiftCounter]]&gt;0, "Running", "Down")</f>
        <v>Running</v>
      </c>
    </row>
    <row r="1796" spans="1:5" x14ac:dyDescent="0.25">
      <c r="A1796" s="8">
        <v>44728</v>
      </c>
      <c r="B1796" t="s">
        <v>74</v>
      </c>
      <c r="C1796">
        <v>1712</v>
      </c>
      <c r="D1796" t="s">
        <v>6</v>
      </c>
      <c r="E1796" t="str">
        <f>IF(june[[#This Row],[ShiftCounter]]&gt;0, "Running", "Down")</f>
        <v>Running</v>
      </c>
    </row>
    <row r="1797" spans="1:5" x14ac:dyDescent="0.25">
      <c r="A1797" s="8">
        <v>44728</v>
      </c>
      <c r="B1797" t="s">
        <v>74</v>
      </c>
      <c r="C1797">
        <v>1898</v>
      </c>
      <c r="D1797" t="s">
        <v>7</v>
      </c>
      <c r="E1797" t="str">
        <f>IF(june[[#This Row],[ShiftCounter]]&gt;0, "Running", "Down")</f>
        <v>Running</v>
      </c>
    </row>
    <row r="1798" spans="1:5" x14ac:dyDescent="0.25">
      <c r="A1798" s="8">
        <v>44728</v>
      </c>
      <c r="B1798" t="s">
        <v>74</v>
      </c>
      <c r="C1798">
        <v>0</v>
      </c>
      <c r="D1798" t="s">
        <v>8</v>
      </c>
      <c r="E1798" t="str">
        <f>IF(june[[#This Row],[ShiftCounter]]&gt;0, "Running", "Down")</f>
        <v>Down</v>
      </c>
    </row>
    <row r="1799" spans="1:5" x14ac:dyDescent="0.25">
      <c r="A1799" s="8">
        <v>44728</v>
      </c>
      <c r="B1799" t="s">
        <v>26</v>
      </c>
      <c r="C1799">
        <v>1955</v>
      </c>
      <c r="D1799" t="s">
        <v>6</v>
      </c>
      <c r="E1799" t="str">
        <f>IF(june[[#This Row],[ShiftCounter]]&gt;0, "Running", "Down")</f>
        <v>Running</v>
      </c>
    </row>
    <row r="1800" spans="1:5" x14ac:dyDescent="0.25">
      <c r="A1800" s="8">
        <v>44728</v>
      </c>
      <c r="B1800" t="s">
        <v>26</v>
      </c>
      <c r="C1800">
        <v>2112</v>
      </c>
      <c r="D1800" t="s">
        <v>7</v>
      </c>
      <c r="E1800" t="str">
        <f>IF(june[[#This Row],[ShiftCounter]]&gt;0, "Running", "Down")</f>
        <v>Running</v>
      </c>
    </row>
    <row r="1801" spans="1:5" x14ac:dyDescent="0.25">
      <c r="A1801" s="8">
        <v>44728</v>
      </c>
      <c r="B1801" t="s">
        <v>26</v>
      </c>
      <c r="C1801">
        <v>1821</v>
      </c>
      <c r="D1801" t="s">
        <v>8</v>
      </c>
      <c r="E1801" t="str">
        <f>IF(june[[#This Row],[ShiftCounter]]&gt;0, "Running", "Down")</f>
        <v>Running</v>
      </c>
    </row>
    <row r="1802" spans="1:5" x14ac:dyDescent="0.25">
      <c r="A1802" s="8">
        <v>44728</v>
      </c>
      <c r="B1802" t="s">
        <v>27</v>
      </c>
      <c r="C1802">
        <v>1184</v>
      </c>
      <c r="D1802" t="s">
        <v>6</v>
      </c>
      <c r="E1802" t="str">
        <f>IF(june[[#This Row],[ShiftCounter]]&gt;0, "Running", "Down")</f>
        <v>Running</v>
      </c>
    </row>
    <row r="1803" spans="1:5" x14ac:dyDescent="0.25">
      <c r="A1803" s="8">
        <v>44728</v>
      </c>
      <c r="B1803" t="s">
        <v>27</v>
      </c>
      <c r="C1803">
        <v>2166</v>
      </c>
      <c r="D1803" t="s">
        <v>7</v>
      </c>
      <c r="E1803" t="str">
        <f>IF(june[[#This Row],[ShiftCounter]]&gt;0, "Running", "Down")</f>
        <v>Running</v>
      </c>
    </row>
    <row r="1804" spans="1:5" x14ac:dyDescent="0.25">
      <c r="A1804" s="8">
        <v>44728</v>
      </c>
      <c r="B1804" t="s">
        <v>27</v>
      </c>
      <c r="C1804">
        <v>2287</v>
      </c>
      <c r="D1804" t="s">
        <v>8</v>
      </c>
      <c r="E1804" t="str">
        <f>IF(june[[#This Row],[ShiftCounter]]&gt;0, "Running", "Down")</f>
        <v>Running</v>
      </c>
    </row>
    <row r="1805" spans="1:5" x14ac:dyDescent="0.25">
      <c r="A1805" s="8">
        <v>44728</v>
      </c>
      <c r="B1805" t="s">
        <v>28</v>
      </c>
      <c r="C1805">
        <v>2110</v>
      </c>
      <c r="D1805" t="s">
        <v>6</v>
      </c>
      <c r="E1805" t="str">
        <f>IF(june[[#This Row],[ShiftCounter]]&gt;0, "Running", "Down")</f>
        <v>Running</v>
      </c>
    </row>
    <row r="1806" spans="1:5" x14ac:dyDescent="0.25">
      <c r="A1806" s="8">
        <v>44728</v>
      </c>
      <c r="B1806" t="s">
        <v>28</v>
      </c>
      <c r="C1806">
        <v>2220</v>
      </c>
      <c r="D1806" t="s">
        <v>7</v>
      </c>
      <c r="E1806" t="str">
        <f>IF(june[[#This Row],[ShiftCounter]]&gt;0, "Running", "Down")</f>
        <v>Running</v>
      </c>
    </row>
    <row r="1807" spans="1:5" x14ac:dyDescent="0.25">
      <c r="A1807" s="8">
        <v>44728</v>
      </c>
      <c r="B1807" t="s">
        <v>28</v>
      </c>
      <c r="C1807">
        <v>1945</v>
      </c>
      <c r="D1807" t="s">
        <v>8</v>
      </c>
      <c r="E1807" t="str">
        <f>IF(june[[#This Row],[ShiftCounter]]&gt;0, "Running", "Down")</f>
        <v>Running</v>
      </c>
    </row>
    <row r="1808" spans="1:5" x14ac:dyDescent="0.25">
      <c r="A1808" s="8">
        <v>44728</v>
      </c>
      <c r="B1808" t="s">
        <v>29</v>
      </c>
      <c r="C1808">
        <v>1850</v>
      </c>
      <c r="D1808" t="s">
        <v>6</v>
      </c>
      <c r="E1808" t="str">
        <f>IF(june[[#This Row],[ShiftCounter]]&gt;0, "Running", "Down")</f>
        <v>Running</v>
      </c>
    </row>
    <row r="1809" spans="1:5" x14ac:dyDescent="0.25">
      <c r="A1809" s="8">
        <v>44728</v>
      </c>
      <c r="B1809" t="s">
        <v>29</v>
      </c>
      <c r="C1809">
        <v>2198</v>
      </c>
      <c r="D1809" t="s">
        <v>7</v>
      </c>
      <c r="E1809" t="str">
        <f>IF(june[[#This Row],[ShiftCounter]]&gt;0, "Running", "Down")</f>
        <v>Running</v>
      </c>
    </row>
    <row r="1810" spans="1:5" x14ac:dyDescent="0.25">
      <c r="A1810" s="8">
        <v>44728</v>
      </c>
      <c r="B1810" t="s">
        <v>29</v>
      </c>
      <c r="C1810">
        <v>1936</v>
      </c>
      <c r="D1810" t="s">
        <v>8</v>
      </c>
      <c r="E1810" t="str">
        <f>IF(june[[#This Row],[ShiftCounter]]&gt;0, "Running", "Down")</f>
        <v>Running</v>
      </c>
    </row>
    <row r="1811" spans="1:5" x14ac:dyDescent="0.25">
      <c r="A1811" s="8">
        <v>44728</v>
      </c>
      <c r="B1811" t="s">
        <v>30</v>
      </c>
      <c r="C1811">
        <v>1807</v>
      </c>
      <c r="D1811" t="s">
        <v>6</v>
      </c>
      <c r="E1811" t="str">
        <f>IF(june[[#This Row],[ShiftCounter]]&gt;0, "Running", "Down")</f>
        <v>Running</v>
      </c>
    </row>
    <row r="1812" spans="1:5" x14ac:dyDescent="0.25">
      <c r="A1812" s="8">
        <v>44728</v>
      </c>
      <c r="B1812" t="s">
        <v>30</v>
      </c>
      <c r="C1812">
        <v>2298</v>
      </c>
      <c r="D1812" t="s">
        <v>7</v>
      </c>
      <c r="E1812" t="str">
        <f>IF(june[[#This Row],[ShiftCounter]]&gt;0, "Running", "Down")</f>
        <v>Running</v>
      </c>
    </row>
    <row r="1813" spans="1:5" x14ac:dyDescent="0.25">
      <c r="A1813" s="8">
        <v>44728</v>
      </c>
      <c r="B1813" t="s">
        <v>30</v>
      </c>
      <c r="C1813">
        <v>1943</v>
      </c>
      <c r="D1813" t="s">
        <v>8</v>
      </c>
      <c r="E1813" t="str">
        <f>IF(june[[#This Row],[ShiftCounter]]&gt;0, "Running", "Down")</f>
        <v>Running</v>
      </c>
    </row>
    <row r="1814" spans="1:5" x14ac:dyDescent="0.25">
      <c r="A1814" s="8">
        <v>44728</v>
      </c>
      <c r="B1814" t="s">
        <v>31</v>
      </c>
      <c r="C1814">
        <v>1902</v>
      </c>
      <c r="D1814" t="s">
        <v>6</v>
      </c>
      <c r="E1814" t="str">
        <f>IF(june[[#This Row],[ShiftCounter]]&gt;0, "Running", "Down")</f>
        <v>Running</v>
      </c>
    </row>
    <row r="1815" spans="1:5" x14ac:dyDescent="0.25">
      <c r="A1815" s="8">
        <v>44728</v>
      </c>
      <c r="B1815" t="s">
        <v>31</v>
      </c>
      <c r="C1815">
        <v>2025</v>
      </c>
      <c r="D1815" t="s">
        <v>7</v>
      </c>
      <c r="E1815" t="str">
        <f>IF(june[[#This Row],[ShiftCounter]]&gt;0, "Running", "Down")</f>
        <v>Running</v>
      </c>
    </row>
    <row r="1816" spans="1:5" x14ac:dyDescent="0.25">
      <c r="A1816" s="8">
        <v>44728</v>
      </c>
      <c r="B1816" t="s">
        <v>31</v>
      </c>
      <c r="C1816">
        <v>1802</v>
      </c>
      <c r="D1816" t="s">
        <v>8</v>
      </c>
      <c r="E1816" t="str">
        <f>IF(june[[#This Row],[ShiftCounter]]&gt;0, "Running", "Down")</f>
        <v>Running</v>
      </c>
    </row>
    <row r="1817" spans="1:5" x14ac:dyDescent="0.25">
      <c r="A1817" s="8">
        <v>44728</v>
      </c>
      <c r="B1817" t="s">
        <v>32</v>
      </c>
      <c r="C1817">
        <v>2529</v>
      </c>
      <c r="D1817" t="s">
        <v>6</v>
      </c>
      <c r="E1817" t="str">
        <f>IF(june[[#This Row],[ShiftCounter]]&gt;0, "Running", "Down")</f>
        <v>Running</v>
      </c>
    </row>
    <row r="1818" spans="1:5" x14ac:dyDescent="0.25">
      <c r="A1818" s="8">
        <v>44728</v>
      </c>
      <c r="B1818" t="s">
        <v>32</v>
      </c>
      <c r="C1818">
        <v>2450</v>
      </c>
      <c r="D1818" t="s">
        <v>7</v>
      </c>
      <c r="E1818" t="str">
        <f>IF(june[[#This Row],[ShiftCounter]]&gt;0, "Running", "Down")</f>
        <v>Running</v>
      </c>
    </row>
    <row r="1819" spans="1:5" x14ac:dyDescent="0.25">
      <c r="A1819" s="8">
        <v>44728</v>
      </c>
      <c r="B1819" t="s">
        <v>32</v>
      </c>
      <c r="C1819">
        <v>2210</v>
      </c>
      <c r="D1819" t="s">
        <v>8</v>
      </c>
      <c r="E1819" t="str">
        <f>IF(june[[#This Row],[ShiftCounter]]&gt;0, "Running", "Down")</f>
        <v>Running</v>
      </c>
    </row>
    <row r="1820" spans="1:5" x14ac:dyDescent="0.25">
      <c r="A1820" s="8">
        <v>44728</v>
      </c>
      <c r="B1820" t="s">
        <v>67</v>
      </c>
      <c r="C1820">
        <v>1981</v>
      </c>
      <c r="D1820" t="s">
        <v>6</v>
      </c>
      <c r="E1820" t="str">
        <f>IF(june[[#This Row],[ShiftCounter]]&gt;0, "Running", "Down")</f>
        <v>Running</v>
      </c>
    </row>
    <row r="1821" spans="1:5" x14ac:dyDescent="0.25">
      <c r="A1821" s="8">
        <v>44728</v>
      </c>
      <c r="B1821" t="s">
        <v>67</v>
      </c>
      <c r="C1821">
        <v>2098</v>
      </c>
      <c r="D1821" t="s">
        <v>7</v>
      </c>
      <c r="E1821" t="str">
        <f>IF(june[[#This Row],[ShiftCounter]]&gt;0, "Running", "Down")</f>
        <v>Running</v>
      </c>
    </row>
    <row r="1822" spans="1:5" x14ac:dyDescent="0.25">
      <c r="A1822" s="8">
        <v>44728</v>
      </c>
      <c r="B1822" t="s">
        <v>67</v>
      </c>
      <c r="C1822">
        <v>1841</v>
      </c>
      <c r="D1822" t="s">
        <v>8</v>
      </c>
      <c r="E1822" t="str">
        <f>IF(june[[#This Row],[ShiftCounter]]&gt;0, "Running", "Down")</f>
        <v>Running</v>
      </c>
    </row>
    <row r="1823" spans="1:5" x14ac:dyDescent="0.25">
      <c r="A1823" s="8">
        <v>44728</v>
      </c>
      <c r="B1823" t="s">
        <v>33</v>
      </c>
      <c r="C1823">
        <v>2441</v>
      </c>
      <c r="D1823" t="s">
        <v>6</v>
      </c>
      <c r="E1823" t="str">
        <f>IF(june[[#This Row],[ShiftCounter]]&gt;0, "Running", "Down")</f>
        <v>Running</v>
      </c>
    </row>
    <row r="1824" spans="1:5" x14ac:dyDescent="0.25">
      <c r="A1824" s="8">
        <v>44728</v>
      </c>
      <c r="B1824" t="s">
        <v>33</v>
      </c>
      <c r="C1824">
        <v>2349</v>
      </c>
      <c r="D1824" t="s">
        <v>7</v>
      </c>
      <c r="E1824" t="str">
        <f>IF(june[[#This Row],[ShiftCounter]]&gt;0, "Running", "Down")</f>
        <v>Running</v>
      </c>
    </row>
    <row r="1825" spans="1:5" x14ac:dyDescent="0.25">
      <c r="A1825" s="8">
        <v>44728</v>
      </c>
      <c r="B1825" t="s">
        <v>33</v>
      </c>
      <c r="C1825">
        <v>2155</v>
      </c>
      <c r="D1825" t="s">
        <v>8</v>
      </c>
      <c r="E1825" t="str">
        <f>IF(june[[#This Row],[ShiftCounter]]&gt;0, "Running", "Down")</f>
        <v>Running</v>
      </c>
    </row>
    <row r="1826" spans="1:5" x14ac:dyDescent="0.25">
      <c r="A1826" s="8">
        <v>44728</v>
      </c>
      <c r="B1826" t="s">
        <v>34</v>
      </c>
      <c r="C1826">
        <v>1920</v>
      </c>
      <c r="D1826" t="s">
        <v>6</v>
      </c>
      <c r="E1826" t="str">
        <f>IF(june[[#This Row],[ShiftCounter]]&gt;0, "Running", "Down")</f>
        <v>Running</v>
      </c>
    </row>
    <row r="1827" spans="1:5" x14ac:dyDescent="0.25">
      <c r="A1827" s="8">
        <v>44728</v>
      </c>
      <c r="B1827" t="s">
        <v>34</v>
      </c>
      <c r="C1827">
        <v>1935</v>
      </c>
      <c r="D1827" t="s">
        <v>7</v>
      </c>
      <c r="E1827" t="str">
        <f>IF(june[[#This Row],[ShiftCounter]]&gt;0, "Running", "Down")</f>
        <v>Running</v>
      </c>
    </row>
    <row r="1828" spans="1:5" x14ac:dyDescent="0.25">
      <c r="A1828" s="8">
        <v>44728</v>
      </c>
      <c r="B1828" t="s">
        <v>34</v>
      </c>
      <c r="C1828">
        <v>1780</v>
      </c>
      <c r="D1828" t="s">
        <v>8</v>
      </c>
      <c r="E1828" t="str">
        <f>IF(june[[#This Row],[ShiftCounter]]&gt;0, "Running", "Down")</f>
        <v>Running</v>
      </c>
    </row>
    <row r="1829" spans="1:5" x14ac:dyDescent="0.25">
      <c r="A1829" s="8">
        <v>44728</v>
      </c>
      <c r="B1829" t="s">
        <v>36</v>
      </c>
      <c r="C1829">
        <v>2264</v>
      </c>
      <c r="D1829" t="s">
        <v>6</v>
      </c>
      <c r="E1829" t="str">
        <f>IF(june[[#This Row],[ShiftCounter]]&gt;0, "Running", "Down")</f>
        <v>Running</v>
      </c>
    </row>
    <row r="1830" spans="1:5" x14ac:dyDescent="0.25">
      <c r="A1830" s="8">
        <v>44728</v>
      </c>
      <c r="B1830" t="s">
        <v>36</v>
      </c>
      <c r="C1830">
        <v>2082</v>
      </c>
      <c r="D1830" t="s">
        <v>7</v>
      </c>
      <c r="E1830" t="str">
        <f>IF(june[[#This Row],[ShiftCounter]]&gt;0, "Running", "Down")</f>
        <v>Running</v>
      </c>
    </row>
    <row r="1831" spans="1:5" x14ac:dyDescent="0.25">
      <c r="A1831" s="8">
        <v>44728</v>
      </c>
      <c r="B1831" t="s">
        <v>36</v>
      </c>
      <c r="C1831">
        <v>2125</v>
      </c>
      <c r="D1831" t="s">
        <v>8</v>
      </c>
      <c r="E1831" t="str">
        <f>IF(june[[#This Row],[ShiftCounter]]&gt;0, "Running", "Down")</f>
        <v>Running</v>
      </c>
    </row>
    <row r="1832" spans="1:5" x14ac:dyDescent="0.25">
      <c r="A1832" s="8">
        <v>44728</v>
      </c>
      <c r="B1832" t="s">
        <v>37</v>
      </c>
      <c r="C1832">
        <v>2354</v>
      </c>
      <c r="D1832" t="s">
        <v>6</v>
      </c>
      <c r="E1832" t="str">
        <f>IF(june[[#This Row],[ShiftCounter]]&gt;0, "Running", "Down")</f>
        <v>Running</v>
      </c>
    </row>
    <row r="1833" spans="1:5" x14ac:dyDescent="0.25">
      <c r="A1833" s="8">
        <v>44728</v>
      </c>
      <c r="B1833" t="s">
        <v>37</v>
      </c>
      <c r="C1833">
        <v>1879</v>
      </c>
      <c r="D1833" t="s">
        <v>7</v>
      </c>
      <c r="E1833" t="str">
        <f>IF(june[[#This Row],[ShiftCounter]]&gt;0, "Running", "Down")</f>
        <v>Running</v>
      </c>
    </row>
    <row r="1834" spans="1:5" x14ac:dyDescent="0.25">
      <c r="A1834" s="8">
        <v>44728</v>
      </c>
      <c r="B1834" t="s">
        <v>37</v>
      </c>
      <c r="C1834">
        <v>2152</v>
      </c>
      <c r="D1834" t="s">
        <v>8</v>
      </c>
      <c r="E1834" t="str">
        <f>IF(june[[#This Row],[ShiftCounter]]&gt;0, "Running", "Down")</f>
        <v>Running</v>
      </c>
    </row>
    <row r="1835" spans="1:5" x14ac:dyDescent="0.25">
      <c r="A1835" s="8">
        <v>44729</v>
      </c>
      <c r="B1835" t="s">
        <v>135</v>
      </c>
      <c r="C1835">
        <v>2247</v>
      </c>
      <c r="D1835" t="s">
        <v>6</v>
      </c>
      <c r="E1835" t="str">
        <f>IF(june[[#This Row],[ShiftCounter]]&gt;0, "Running", "Down")</f>
        <v>Running</v>
      </c>
    </row>
    <row r="1836" spans="1:5" x14ac:dyDescent="0.25">
      <c r="A1836" s="8">
        <v>44729</v>
      </c>
      <c r="B1836" t="s">
        <v>135</v>
      </c>
      <c r="C1836">
        <v>2221</v>
      </c>
      <c r="D1836" t="s">
        <v>7</v>
      </c>
      <c r="E1836" t="str">
        <f>IF(june[[#This Row],[ShiftCounter]]&gt;0, "Running", "Down")</f>
        <v>Running</v>
      </c>
    </row>
    <row r="1837" spans="1:5" x14ac:dyDescent="0.25">
      <c r="A1837" s="8">
        <v>44729</v>
      </c>
      <c r="B1837" t="s">
        <v>135</v>
      </c>
      <c r="C1837">
        <v>1857</v>
      </c>
      <c r="D1837" t="s">
        <v>8</v>
      </c>
      <c r="E1837" t="str">
        <f>IF(june[[#This Row],[ShiftCounter]]&gt;0, "Running", "Down")</f>
        <v>Running</v>
      </c>
    </row>
    <row r="1838" spans="1:5" x14ac:dyDescent="0.25">
      <c r="A1838" s="8">
        <v>44729</v>
      </c>
      <c r="B1838" t="s">
        <v>40</v>
      </c>
      <c r="C1838">
        <v>2150</v>
      </c>
      <c r="D1838" t="s">
        <v>6</v>
      </c>
      <c r="E1838" t="str">
        <f>IF(june[[#This Row],[ShiftCounter]]&gt;0, "Running", "Down")</f>
        <v>Running</v>
      </c>
    </row>
    <row r="1839" spans="1:5" x14ac:dyDescent="0.25">
      <c r="A1839" s="8">
        <v>44729</v>
      </c>
      <c r="B1839" t="s">
        <v>40</v>
      </c>
      <c r="C1839">
        <v>2271</v>
      </c>
      <c r="D1839" t="s">
        <v>7</v>
      </c>
      <c r="E1839" t="str">
        <f>IF(june[[#This Row],[ShiftCounter]]&gt;0, "Running", "Down")</f>
        <v>Running</v>
      </c>
    </row>
    <row r="1840" spans="1:5" x14ac:dyDescent="0.25">
      <c r="A1840" s="8">
        <v>44729</v>
      </c>
      <c r="B1840" t="s">
        <v>40</v>
      </c>
      <c r="C1840">
        <v>1886</v>
      </c>
      <c r="D1840" t="s">
        <v>8</v>
      </c>
      <c r="E1840" t="str">
        <f>IF(june[[#This Row],[ShiftCounter]]&gt;0, "Running", "Down")</f>
        <v>Running</v>
      </c>
    </row>
    <row r="1841" spans="1:5" x14ac:dyDescent="0.25">
      <c r="A1841" s="8">
        <v>44729</v>
      </c>
      <c r="B1841" t="s">
        <v>39</v>
      </c>
      <c r="C1841">
        <v>2115</v>
      </c>
      <c r="D1841" t="s">
        <v>6</v>
      </c>
      <c r="E1841" t="str">
        <f>IF(june[[#This Row],[ShiftCounter]]&gt;0, "Running", "Down")</f>
        <v>Running</v>
      </c>
    </row>
    <row r="1842" spans="1:5" x14ac:dyDescent="0.25">
      <c r="A1842" s="8">
        <v>44729</v>
      </c>
      <c r="B1842" t="s">
        <v>39</v>
      </c>
      <c r="C1842">
        <v>2313</v>
      </c>
      <c r="D1842" t="s">
        <v>7</v>
      </c>
      <c r="E1842" t="str">
        <f>IF(june[[#This Row],[ShiftCounter]]&gt;0, "Running", "Down")</f>
        <v>Running</v>
      </c>
    </row>
    <row r="1843" spans="1:5" x14ac:dyDescent="0.25">
      <c r="A1843" s="8">
        <v>44729</v>
      </c>
      <c r="B1843" t="s">
        <v>39</v>
      </c>
      <c r="C1843">
        <v>1848</v>
      </c>
      <c r="D1843" t="s">
        <v>8</v>
      </c>
      <c r="E1843" t="str">
        <f>IF(june[[#This Row],[ShiftCounter]]&gt;0, "Running", "Down")</f>
        <v>Running</v>
      </c>
    </row>
    <row r="1844" spans="1:5" x14ac:dyDescent="0.25">
      <c r="A1844" s="8">
        <v>44729</v>
      </c>
      <c r="B1844" t="s">
        <v>41</v>
      </c>
      <c r="C1844">
        <v>2426</v>
      </c>
      <c r="D1844" t="s">
        <v>6</v>
      </c>
      <c r="E1844" t="str">
        <f>IF(june[[#This Row],[ShiftCounter]]&gt;0, "Running", "Down")</f>
        <v>Running</v>
      </c>
    </row>
    <row r="1845" spans="1:5" x14ac:dyDescent="0.25">
      <c r="A1845" s="8">
        <v>44729</v>
      </c>
      <c r="B1845" t="s">
        <v>41</v>
      </c>
      <c r="C1845">
        <v>2283</v>
      </c>
      <c r="D1845" t="s">
        <v>7</v>
      </c>
      <c r="E1845" t="str">
        <f>IF(june[[#This Row],[ShiftCounter]]&gt;0, "Running", "Down")</f>
        <v>Running</v>
      </c>
    </row>
    <row r="1846" spans="1:5" x14ac:dyDescent="0.25">
      <c r="A1846" s="8">
        <v>44729</v>
      </c>
      <c r="B1846" t="s">
        <v>41</v>
      </c>
      <c r="C1846">
        <v>1929</v>
      </c>
      <c r="D1846" t="s">
        <v>8</v>
      </c>
      <c r="E1846" t="str">
        <f>IF(june[[#This Row],[ShiftCounter]]&gt;0, "Running", "Down")</f>
        <v>Running</v>
      </c>
    </row>
    <row r="1847" spans="1:5" x14ac:dyDescent="0.25">
      <c r="A1847" s="8">
        <v>44729</v>
      </c>
      <c r="B1847" t="s">
        <v>5</v>
      </c>
      <c r="C1847">
        <v>2211</v>
      </c>
      <c r="D1847" t="s">
        <v>6</v>
      </c>
      <c r="E1847" t="str">
        <f>IF(june[[#This Row],[ShiftCounter]]&gt;0, "Running", "Down")</f>
        <v>Running</v>
      </c>
    </row>
    <row r="1848" spans="1:5" x14ac:dyDescent="0.25">
      <c r="A1848" s="8">
        <v>44729</v>
      </c>
      <c r="B1848" t="s">
        <v>5</v>
      </c>
      <c r="C1848">
        <v>2271</v>
      </c>
      <c r="D1848" t="s">
        <v>7</v>
      </c>
      <c r="E1848" t="str">
        <f>IF(june[[#This Row],[ShiftCounter]]&gt;0, "Running", "Down")</f>
        <v>Running</v>
      </c>
    </row>
    <row r="1849" spans="1:5" x14ac:dyDescent="0.25">
      <c r="A1849" s="8">
        <v>44729</v>
      </c>
      <c r="B1849" t="s">
        <v>5</v>
      </c>
      <c r="C1849">
        <v>2212</v>
      </c>
      <c r="D1849" t="s">
        <v>8</v>
      </c>
      <c r="E1849" t="str">
        <f>IF(june[[#This Row],[ShiftCounter]]&gt;0, "Running", "Down")</f>
        <v>Running</v>
      </c>
    </row>
    <row r="1850" spans="1:5" x14ac:dyDescent="0.25">
      <c r="A1850" s="8">
        <v>44729</v>
      </c>
      <c r="B1850" t="s">
        <v>9</v>
      </c>
      <c r="C1850">
        <v>2367</v>
      </c>
      <c r="D1850" t="s">
        <v>6</v>
      </c>
      <c r="E1850" t="str">
        <f>IF(june[[#This Row],[ShiftCounter]]&gt;0, "Running", "Down")</f>
        <v>Running</v>
      </c>
    </row>
    <row r="1851" spans="1:5" x14ac:dyDescent="0.25">
      <c r="A1851" s="8">
        <v>44729</v>
      </c>
      <c r="B1851" t="s">
        <v>9</v>
      </c>
      <c r="C1851">
        <v>2211</v>
      </c>
      <c r="D1851" t="s">
        <v>7</v>
      </c>
      <c r="E1851" t="str">
        <f>IF(june[[#This Row],[ShiftCounter]]&gt;0, "Running", "Down")</f>
        <v>Running</v>
      </c>
    </row>
    <row r="1852" spans="1:5" x14ac:dyDescent="0.25">
      <c r="A1852" s="8">
        <v>44729</v>
      </c>
      <c r="B1852" t="s">
        <v>9</v>
      </c>
      <c r="C1852">
        <v>1793</v>
      </c>
      <c r="D1852" t="s">
        <v>8</v>
      </c>
      <c r="E1852" t="str">
        <f>IF(june[[#This Row],[ShiftCounter]]&gt;0, "Running", "Down")</f>
        <v>Running</v>
      </c>
    </row>
    <row r="1853" spans="1:5" x14ac:dyDescent="0.25">
      <c r="A1853" s="8">
        <v>44729</v>
      </c>
      <c r="B1853" t="s">
        <v>10</v>
      </c>
      <c r="C1853">
        <v>2231</v>
      </c>
      <c r="D1853" t="s">
        <v>6</v>
      </c>
      <c r="E1853" t="str">
        <f>IF(june[[#This Row],[ShiftCounter]]&gt;0, "Running", "Down")</f>
        <v>Running</v>
      </c>
    </row>
    <row r="1854" spans="1:5" x14ac:dyDescent="0.25">
      <c r="A1854" s="8">
        <v>44729</v>
      </c>
      <c r="B1854" t="s">
        <v>10</v>
      </c>
      <c r="C1854">
        <v>2238</v>
      </c>
      <c r="D1854" t="s">
        <v>7</v>
      </c>
      <c r="E1854" t="str">
        <f>IF(june[[#This Row],[ShiftCounter]]&gt;0, "Running", "Down")</f>
        <v>Running</v>
      </c>
    </row>
    <row r="1855" spans="1:5" x14ac:dyDescent="0.25">
      <c r="A1855" s="8">
        <v>44729</v>
      </c>
      <c r="B1855" t="s">
        <v>10</v>
      </c>
      <c r="C1855">
        <v>2224</v>
      </c>
      <c r="D1855" t="s">
        <v>8</v>
      </c>
      <c r="E1855" t="str">
        <f>IF(june[[#This Row],[ShiftCounter]]&gt;0, "Running", "Down")</f>
        <v>Running</v>
      </c>
    </row>
    <row r="1856" spans="1:5" x14ac:dyDescent="0.25">
      <c r="A1856" s="8">
        <v>44729</v>
      </c>
      <c r="B1856" t="s">
        <v>11</v>
      </c>
      <c r="C1856">
        <v>2244</v>
      </c>
      <c r="D1856" t="s">
        <v>6</v>
      </c>
      <c r="E1856" t="str">
        <f>IF(june[[#This Row],[ShiftCounter]]&gt;0, "Running", "Down")</f>
        <v>Running</v>
      </c>
    </row>
    <row r="1857" spans="1:5" x14ac:dyDescent="0.25">
      <c r="A1857" s="8">
        <v>44729</v>
      </c>
      <c r="B1857" t="s">
        <v>11</v>
      </c>
      <c r="C1857">
        <v>2252</v>
      </c>
      <c r="D1857" t="s">
        <v>7</v>
      </c>
      <c r="E1857" t="str">
        <f>IF(june[[#This Row],[ShiftCounter]]&gt;0, "Running", "Down")</f>
        <v>Running</v>
      </c>
    </row>
    <row r="1858" spans="1:5" x14ac:dyDescent="0.25">
      <c r="A1858" s="8">
        <v>44729</v>
      </c>
      <c r="B1858" t="s">
        <v>11</v>
      </c>
      <c r="C1858">
        <v>2223</v>
      </c>
      <c r="D1858" t="s">
        <v>8</v>
      </c>
      <c r="E1858" t="str">
        <f>IF(june[[#This Row],[ShiftCounter]]&gt;0, "Running", "Down")</f>
        <v>Running</v>
      </c>
    </row>
    <row r="1859" spans="1:5" x14ac:dyDescent="0.25">
      <c r="A1859" s="8">
        <v>44729</v>
      </c>
      <c r="B1859" t="s">
        <v>12</v>
      </c>
      <c r="C1859">
        <v>2194</v>
      </c>
      <c r="D1859" t="s">
        <v>6</v>
      </c>
      <c r="E1859" t="str">
        <f>IF(june[[#This Row],[ShiftCounter]]&gt;0, "Running", "Down")</f>
        <v>Running</v>
      </c>
    </row>
    <row r="1860" spans="1:5" x14ac:dyDescent="0.25">
      <c r="A1860" s="8">
        <v>44729</v>
      </c>
      <c r="B1860" t="s">
        <v>12</v>
      </c>
      <c r="C1860">
        <v>2200</v>
      </c>
      <c r="D1860" t="s">
        <v>7</v>
      </c>
      <c r="E1860" t="str">
        <f>IF(june[[#This Row],[ShiftCounter]]&gt;0, "Running", "Down")</f>
        <v>Running</v>
      </c>
    </row>
    <row r="1861" spans="1:5" x14ac:dyDescent="0.25">
      <c r="A1861" s="8">
        <v>44729</v>
      </c>
      <c r="B1861" t="s">
        <v>12</v>
      </c>
      <c r="C1861">
        <v>2194</v>
      </c>
      <c r="D1861" t="s">
        <v>8</v>
      </c>
      <c r="E1861" t="str">
        <f>IF(june[[#This Row],[ShiftCounter]]&gt;0, "Running", "Down")</f>
        <v>Running</v>
      </c>
    </row>
    <row r="1862" spans="1:5" x14ac:dyDescent="0.25">
      <c r="A1862" s="8">
        <v>44729</v>
      </c>
      <c r="B1862" t="s">
        <v>13</v>
      </c>
      <c r="C1862">
        <v>2217</v>
      </c>
      <c r="D1862" t="s">
        <v>6</v>
      </c>
      <c r="E1862" t="str">
        <f>IF(june[[#This Row],[ShiftCounter]]&gt;0, "Running", "Down")</f>
        <v>Running</v>
      </c>
    </row>
    <row r="1863" spans="1:5" x14ac:dyDescent="0.25">
      <c r="A1863" s="8">
        <v>44729</v>
      </c>
      <c r="B1863" t="s">
        <v>13</v>
      </c>
      <c r="C1863">
        <v>2016</v>
      </c>
      <c r="D1863" t="s">
        <v>7</v>
      </c>
      <c r="E1863" t="str">
        <f>IF(june[[#This Row],[ShiftCounter]]&gt;0, "Running", "Down")</f>
        <v>Running</v>
      </c>
    </row>
    <row r="1864" spans="1:5" x14ac:dyDescent="0.25">
      <c r="A1864" s="8">
        <v>44729</v>
      </c>
      <c r="B1864" t="s">
        <v>13</v>
      </c>
      <c r="C1864">
        <v>1901</v>
      </c>
      <c r="D1864" t="s">
        <v>8</v>
      </c>
      <c r="E1864" t="str">
        <f>IF(june[[#This Row],[ShiftCounter]]&gt;0, "Running", "Down")</f>
        <v>Running</v>
      </c>
    </row>
    <row r="1865" spans="1:5" x14ac:dyDescent="0.25">
      <c r="A1865" s="8">
        <v>44729</v>
      </c>
      <c r="B1865" t="s">
        <v>101</v>
      </c>
      <c r="C1865">
        <v>1967</v>
      </c>
      <c r="D1865" t="s">
        <v>6</v>
      </c>
      <c r="E1865" t="str">
        <f>IF(june[[#This Row],[ShiftCounter]]&gt;0, "Running", "Down")</f>
        <v>Running</v>
      </c>
    </row>
    <row r="1866" spans="1:5" x14ac:dyDescent="0.25">
      <c r="A1866" s="8">
        <v>44729</v>
      </c>
      <c r="B1866" t="s">
        <v>101</v>
      </c>
      <c r="C1866">
        <v>1970</v>
      </c>
      <c r="D1866" t="s">
        <v>7</v>
      </c>
      <c r="E1866" t="str">
        <f>IF(june[[#This Row],[ShiftCounter]]&gt;0, "Running", "Down")</f>
        <v>Running</v>
      </c>
    </row>
    <row r="1867" spans="1:5" x14ac:dyDescent="0.25">
      <c r="A1867" s="8">
        <v>44729</v>
      </c>
      <c r="B1867" t="s">
        <v>101</v>
      </c>
      <c r="C1867">
        <v>1967</v>
      </c>
      <c r="D1867" t="s">
        <v>8</v>
      </c>
      <c r="E1867" t="str">
        <f>IF(june[[#This Row],[ShiftCounter]]&gt;0, "Running", "Down")</f>
        <v>Running</v>
      </c>
    </row>
    <row r="1868" spans="1:5" x14ac:dyDescent="0.25">
      <c r="A1868" s="8">
        <v>44729</v>
      </c>
      <c r="B1868" t="s">
        <v>14</v>
      </c>
      <c r="C1868">
        <v>0</v>
      </c>
      <c r="D1868" t="s">
        <v>6</v>
      </c>
      <c r="E1868" t="str">
        <f>IF(june[[#This Row],[ShiftCounter]]&gt;0, "Running", "Down")</f>
        <v>Down</v>
      </c>
    </row>
    <row r="1869" spans="1:5" x14ac:dyDescent="0.25">
      <c r="A1869" s="8">
        <v>44729</v>
      </c>
      <c r="B1869" t="s">
        <v>14</v>
      </c>
      <c r="C1869">
        <v>2177</v>
      </c>
      <c r="D1869" t="s">
        <v>7</v>
      </c>
      <c r="E1869" t="str">
        <f>IF(june[[#This Row],[ShiftCounter]]&gt;0, "Running", "Down")</f>
        <v>Running</v>
      </c>
    </row>
    <row r="1870" spans="1:5" x14ac:dyDescent="0.25">
      <c r="A1870" s="8">
        <v>44729</v>
      </c>
      <c r="B1870" t="s">
        <v>14</v>
      </c>
      <c r="C1870">
        <v>1960</v>
      </c>
      <c r="D1870" t="s">
        <v>8</v>
      </c>
      <c r="E1870" t="str">
        <f>IF(june[[#This Row],[ShiftCounter]]&gt;0, "Running", "Down")</f>
        <v>Running</v>
      </c>
    </row>
    <row r="1871" spans="1:5" x14ac:dyDescent="0.25">
      <c r="A1871" s="8">
        <v>44729</v>
      </c>
      <c r="B1871" t="s">
        <v>15</v>
      </c>
      <c r="C1871">
        <v>2350</v>
      </c>
      <c r="D1871" t="s">
        <v>6</v>
      </c>
      <c r="E1871" t="str">
        <f>IF(june[[#This Row],[ShiftCounter]]&gt;0, "Running", "Down")</f>
        <v>Running</v>
      </c>
    </row>
    <row r="1872" spans="1:5" x14ac:dyDescent="0.25">
      <c r="A1872" s="8">
        <v>44729</v>
      </c>
      <c r="B1872" t="s">
        <v>15</v>
      </c>
      <c r="C1872">
        <v>2146</v>
      </c>
      <c r="D1872" t="s">
        <v>7</v>
      </c>
      <c r="E1872" t="str">
        <f>IF(june[[#This Row],[ShiftCounter]]&gt;0, "Running", "Down")</f>
        <v>Running</v>
      </c>
    </row>
    <row r="1873" spans="1:5" x14ac:dyDescent="0.25">
      <c r="A1873" s="8">
        <v>44729</v>
      </c>
      <c r="B1873" t="s">
        <v>15</v>
      </c>
      <c r="C1873">
        <v>2002</v>
      </c>
      <c r="D1873" t="s">
        <v>8</v>
      </c>
      <c r="E1873" t="str">
        <f>IF(june[[#This Row],[ShiftCounter]]&gt;0, "Running", "Down")</f>
        <v>Running</v>
      </c>
    </row>
    <row r="1874" spans="1:5" x14ac:dyDescent="0.25">
      <c r="A1874" s="8">
        <v>44729</v>
      </c>
      <c r="B1874" t="s">
        <v>16</v>
      </c>
      <c r="C1874">
        <v>2051</v>
      </c>
      <c r="D1874" t="s">
        <v>6</v>
      </c>
      <c r="E1874" t="str">
        <f>IF(june[[#This Row],[ShiftCounter]]&gt;0, "Running", "Down")</f>
        <v>Running</v>
      </c>
    </row>
    <row r="1875" spans="1:5" x14ac:dyDescent="0.25">
      <c r="A1875" s="8">
        <v>44729</v>
      </c>
      <c r="B1875" t="s">
        <v>16</v>
      </c>
      <c r="C1875">
        <v>2116</v>
      </c>
      <c r="D1875" t="s">
        <v>7</v>
      </c>
      <c r="E1875" t="str">
        <f>IF(june[[#This Row],[ShiftCounter]]&gt;0, "Running", "Down")</f>
        <v>Running</v>
      </c>
    </row>
    <row r="1876" spans="1:5" x14ac:dyDescent="0.25">
      <c r="A1876" s="8">
        <v>44729</v>
      </c>
      <c r="B1876" t="s">
        <v>16</v>
      </c>
      <c r="C1876">
        <v>1951</v>
      </c>
      <c r="D1876" t="s">
        <v>8</v>
      </c>
      <c r="E1876" t="str">
        <f>IF(june[[#This Row],[ShiftCounter]]&gt;0, "Running", "Down")</f>
        <v>Running</v>
      </c>
    </row>
    <row r="1877" spans="1:5" x14ac:dyDescent="0.25">
      <c r="A1877" s="8">
        <v>44729</v>
      </c>
      <c r="B1877" t="s">
        <v>17</v>
      </c>
      <c r="C1877">
        <v>2108</v>
      </c>
      <c r="D1877" t="s">
        <v>6</v>
      </c>
      <c r="E1877" t="str">
        <f>IF(june[[#This Row],[ShiftCounter]]&gt;0, "Running", "Down")</f>
        <v>Running</v>
      </c>
    </row>
    <row r="1878" spans="1:5" x14ac:dyDescent="0.25">
      <c r="A1878" s="8">
        <v>44729</v>
      </c>
      <c r="B1878" t="s">
        <v>17</v>
      </c>
      <c r="C1878">
        <v>2260</v>
      </c>
      <c r="D1878" t="s">
        <v>7</v>
      </c>
      <c r="E1878" t="str">
        <f>IF(june[[#This Row],[ShiftCounter]]&gt;0, "Running", "Down")</f>
        <v>Running</v>
      </c>
    </row>
    <row r="1879" spans="1:5" x14ac:dyDescent="0.25">
      <c r="A1879" s="8">
        <v>44729</v>
      </c>
      <c r="B1879" t="s">
        <v>17</v>
      </c>
      <c r="C1879">
        <v>2097</v>
      </c>
      <c r="D1879" t="s">
        <v>8</v>
      </c>
      <c r="E1879" t="str">
        <f>IF(june[[#This Row],[ShiftCounter]]&gt;0, "Running", "Down")</f>
        <v>Running</v>
      </c>
    </row>
    <row r="1880" spans="1:5" x14ac:dyDescent="0.25">
      <c r="A1880" s="8">
        <v>44729</v>
      </c>
      <c r="B1880" t="s">
        <v>19</v>
      </c>
      <c r="C1880">
        <v>1934</v>
      </c>
      <c r="D1880" t="s">
        <v>6</v>
      </c>
      <c r="E1880" t="str">
        <f>IF(june[[#This Row],[ShiftCounter]]&gt;0, "Running", "Down")</f>
        <v>Running</v>
      </c>
    </row>
    <row r="1881" spans="1:5" x14ac:dyDescent="0.25">
      <c r="A1881" s="8">
        <v>44729</v>
      </c>
      <c r="B1881" t="s">
        <v>19</v>
      </c>
      <c r="C1881">
        <v>1912</v>
      </c>
      <c r="D1881" t="s">
        <v>7</v>
      </c>
      <c r="E1881" t="str">
        <f>IF(june[[#This Row],[ShiftCounter]]&gt;0, "Running", "Down")</f>
        <v>Running</v>
      </c>
    </row>
    <row r="1882" spans="1:5" x14ac:dyDescent="0.25">
      <c r="A1882" s="8">
        <v>44729</v>
      </c>
      <c r="B1882" t="s">
        <v>19</v>
      </c>
      <c r="C1882">
        <v>1852</v>
      </c>
      <c r="D1882" t="s">
        <v>8</v>
      </c>
      <c r="E1882" t="str">
        <f>IF(june[[#This Row],[ShiftCounter]]&gt;0, "Running", "Down")</f>
        <v>Running</v>
      </c>
    </row>
    <row r="1883" spans="1:5" x14ac:dyDescent="0.25">
      <c r="A1883" s="8">
        <v>44729</v>
      </c>
      <c r="B1883" t="s">
        <v>18</v>
      </c>
      <c r="C1883">
        <v>2055</v>
      </c>
      <c r="D1883" t="s">
        <v>6</v>
      </c>
      <c r="E1883" t="str">
        <f>IF(june[[#This Row],[ShiftCounter]]&gt;0, "Running", "Down")</f>
        <v>Running</v>
      </c>
    </row>
    <row r="1884" spans="1:5" x14ac:dyDescent="0.25">
      <c r="A1884" s="8">
        <v>44729</v>
      </c>
      <c r="B1884" t="s">
        <v>18</v>
      </c>
      <c r="C1884">
        <v>212</v>
      </c>
      <c r="D1884" t="s">
        <v>7</v>
      </c>
      <c r="E1884" t="str">
        <f>IF(june[[#This Row],[ShiftCounter]]&gt;0, "Running", "Down")</f>
        <v>Running</v>
      </c>
    </row>
    <row r="1885" spans="1:5" x14ac:dyDescent="0.25">
      <c r="A1885" s="8">
        <v>44729</v>
      </c>
      <c r="B1885" t="s">
        <v>18</v>
      </c>
      <c r="C1885">
        <v>2144</v>
      </c>
      <c r="D1885" t="s">
        <v>8</v>
      </c>
      <c r="E1885" t="str">
        <f>IF(june[[#This Row],[ShiftCounter]]&gt;0, "Running", "Down")</f>
        <v>Running</v>
      </c>
    </row>
    <row r="1886" spans="1:5" x14ac:dyDescent="0.25">
      <c r="A1886" s="8">
        <v>44729</v>
      </c>
      <c r="B1886" t="s">
        <v>42</v>
      </c>
      <c r="C1886">
        <v>834</v>
      </c>
      <c r="D1886" t="s">
        <v>6</v>
      </c>
      <c r="E1886" t="str">
        <f>IF(june[[#This Row],[ShiftCounter]]&gt;0, "Running", "Down")</f>
        <v>Running</v>
      </c>
    </row>
    <row r="1887" spans="1:5" x14ac:dyDescent="0.25">
      <c r="A1887" s="8">
        <v>44729</v>
      </c>
      <c r="B1887" t="s">
        <v>42</v>
      </c>
      <c r="C1887">
        <v>0</v>
      </c>
      <c r="D1887" t="s">
        <v>7</v>
      </c>
      <c r="E1887" t="str">
        <f>IF(june[[#This Row],[ShiftCounter]]&gt;0, "Running", "Down")</f>
        <v>Down</v>
      </c>
    </row>
    <row r="1888" spans="1:5" x14ac:dyDescent="0.25">
      <c r="A1888" s="8">
        <v>44729</v>
      </c>
      <c r="B1888" t="s">
        <v>42</v>
      </c>
      <c r="C1888">
        <v>0</v>
      </c>
      <c r="D1888" t="s">
        <v>8</v>
      </c>
      <c r="E1888" t="str">
        <f>IF(june[[#This Row],[ShiftCounter]]&gt;0, "Running", "Down")</f>
        <v>Down</v>
      </c>
    </row>
    <row r="1889" spans="1:5" x14ac:dyDescent="0.25">
      <c r="A1889" s="8">
        <v>44729</v>
      </c>
      <c r="B1889" t="s">
        <v>38</v>
      </c>
      <c r="C1889">
        <v>0</v>
      </c>
      <c r="D1889" t="s">
        <v>6</v>
      </c>
      <c r="E1889" t="str">
        <f>IF(june[[#This Row],[ShiftCounter]]&gt;0, "Running", "Down")</f>
        <v>Down</v>
      </c>
    </row>
    <row r="1890" spans="1:5" x14ac:dyDescent="0.25">
      <c r="A1890" s="8">
        <v>44729</v>
      </c>
      <c r="B1890" t="s">
        <v>38</v>
      </c>
      <c r="C1890">
        <v>2232</v>
      </c>
      <c r="D1890" t="s">
        <v>7</v>
      </c>
      <c r="E1890" t="str">
        <f>IF(june[[#This Row],[ShiftCounter]]&gt;0, "Running", "Down")</f>
        <v>Running</v>
      </c>
    </row>
    <row r="1891" spans="1:5" x14ac:dyDescent="0.25">
      <c r="A1891" s="8">
        <v>44729</v>
      </c>
      <c r="B1891" t="s">
        <v>38</v>
      </c>
      <c r="C1891">
        <v>2117</v>
      </c>
      <c r="D1891" t="s">
        <v>8</v>
      </c>
      <c r="E1891" t="str">
        <f>IF(june[[#This Row],[ShiftCounter]]&gt;0, "Running", "Down")</f>
        <v>Running</v>
      </c>
    </row>
    <row r="1892" spans="1:5" x14ac:dyDescent="0.25">
      <c r="A1892" s="8">
        <v>44729</v>
      </c>
      <c r="B1892" t="s">
        <v>20</v>
      </c>
      <c r="C1892">
        <v>2106</v>
      </c>
      <c r="D1892" t="s">
        <v>6</v>
      </c>
      <c r="E1892" t="str">
        <f>IF(june[[#This Row],[ShiftCounter]]&gt;0, "Running", "Down")</f>
        <v>Running</v>
      </c>
    </row>
    <row r="1893" spans="1:5" x14ac:dyDescent="0.25">
      <c r="A1893" s="8">
        <v>44729</v>
      </c>
      <c r="B1893" t="s">
        <v>20</v>
      </c>
      <c r="C1893">
        <v>2118</v>
      </c>
      <c r="D1893" t="s">
        <v>7</v>
      </c>
      <c r="E1893" t="str">
        <f>IF(june[[#This Row],[ShiftCounter]]&gt;0, "Running", "Down")</f>
        <v>Running</v>
      </c>
    </row>
    <row r="1894" spans="1:5" x14ac:dyDescent="0.25">
      <c r="A1894" s="8">
        <v>44729</v>
      </c>
      <c r="B1894" t="s">
        <v>20</v>
      </c>
      <c r="C1894">
        <v>1781</v>
      </c>
      <c r="D1894" t="s">
        <v>8</v>
      </c>
      <c r="E1894" t="str">
        <f>IF(june[[#This Row],[ShiftCounter]]&gt;0, "Running", "Down")</f>
        <v>Running</v>
      </c>
    </row>
    <row r="1895" spans="1:5" x14ac:dyDescent="0.25">
      <c r="A1895" s="8">
        <v>44729</v>
      </c>
      <c r="B1895" t="s">
        <v>21</v>
      </c>
      <c r="C1895">
        <v>1908</v>
      </c>
      <c r="D1895" t="s">
        <v>6</v>
      </c>
      <c r="E1895" t="str">
        <f>IF(june[[#This Row],[ShiftCounter]]&gt;0, "Running", "Down")</f>
        <v>Running</v>
      </c>
    </row>
    <row r="1896" spans="1:5" x14ac:dyDescent="0.25">
      <c r="A1896" s="8">
        <v>44729</v>
      </c>
      <c r="B1896" t="s">
        <v>21</v>
      </c>
      <c r="C1896">
        <v>2173</v>
      </c>
      <c r="D1896" t="s">
        <v>7</v>
      </c>
      <c r="E1896" t="str">
        <f>IF(june[[#This Row],[ShiftCounter]]&gt;0, "Running", "Down")</f>
        <v>Running</v>
      </c>
    </row>
    <row r="1897" spans="1:5" x14ac:dyDescent="0.25">
      <c r="A1897" s="8">
        <v>44729</v>
      </c>
      <c r="B1897" t="s">
        <v>21</v>
      </c>
      <c r="C1897">
        <v>1824</v>
      </c>
      <c r="D1897" t="s">
        <v>8</v>
      </c>
      <c r="E1897" t="str">
        <f>IF(june[[#This Row],[ShiftCounter]]&gt;0, "Running", "Down")</f>
        <v>Running</v>
      </c>
    </row>
    <row r="1898" spans="1:5" x14ac:dyDescent="0.25">
      <c r="A1898" s="8">
        <v>44729</v>
      </c>
      <c r="B1898" t="s">
        <v>22</v>
      </c>
      <c r="C1898">
        <v>2439</v>
      </c>
      <c r="D1898" t="s">
        <v>6</v>
      </c>
      <c r="E1898" t="str">
        <f>IF(june[[#This Row],[ShiftCounter]]&gt;0, "Running", "Down")</f>
        <v>Running</v>
      </c>
    </row>
    <row r="1899" spans="1:5" x14ac:dyDescent="0.25">
      <c r="A1899" s="8">
        <v>44729</v>
      </c>
      <c r="B1899" t="s">
        <v>22</v>
      </c>
      <c r="C1899">
        <v>2530</v>
      </c>
      <c r="D1899" t="s">
        <v>7</v>
      </c>
      <c r="E1899" t="str">
        <f>IF(june[[#This Row],[ShiftCounter]]&gt;0, "Running", "Down")</f>
        <v>Running</v>
      </c>
    </row>
    <row r="1900" spans="1:5" x14ac:dyDescent="0.25">
      <c r="A1900" s="8">
        <v>44729</v>
      </c>
      <c r="B1900" t="s">
        <v>22</v>
      </c>
      <c r="C1900">
        <v>2213</v>
      </c>
      <c r="D1900" t="s">
        <v>8</v>
      </c>
      <c r="E1900" t="str">
        <f>IF(june[[#This Row],[ShiftCounter]]&gt;0, "Running", "Down")</f>
        <v>Running</v>
      </c>
    </row>
    <row r="1901" spans="1:5" x14ac:dyDescent="0.25">
      <c r="A1901" s="8">
        <v>44729</v>
      </c>
      <c r="B1901" t="s">
        <v>23</v>
      </c>
      <c r="C1901">
        <v>2347</v>
      </c>
      <c r="D1901" t="s">
        <v>6</v>
      </c>
      <c r="E1901" t="str">
        <f>IF(june[[#This Row],[ShiftCounter]]&gt;0, "Running", "Down")</f>
        <v>Running</v>
      </c>
    </row>
    <row r="1902" spans="1:5" x14ac:dyDescent="0.25">
      <c r="A1902" s="8">
        <v>44729</v>
      </c>
      <c r="B1902" t="s">
        <v>23</v>
      </c>
      <c r="C1902">
        <v>2455</v>
      </c>
      <c r="D1902" t="s">
        <v>7</v>
      </c>
      <c r="E1902" t="str">
        <f>IF(june[[#This Row],[ShiftCounter]]&gt;0, "Running", "Down")</f>
        <v>Running</v>
      </c>
    </row>
    <row r="1903" spans="1:5" x14ac:dyDescent="0.25">
      <c r="A1903" s="8">
        <v>44729</v>
      </c>
      <c r="B1903" t="s">
        <v>23</v>
      </c>
      <c r="C1903">
        <v>2403</v>
      </c>
      <c r="D1903" t="s">
        <v>8</v>
      </c>
      <c r="E1903" t="str">
        <f>IF(june[[#This Row],[ShiftCounter]]&gt;0, "Running", "Down")</f>
        <v>Running</v>
      </c>
    </row>
    <row r="1904" spans="1:5" x14ac:dyDescent="0.25">
      <c r="A1904" s="8">
        <v>44729</v>
      </c>
      <c r="B1904" t="s">
        <v>24</v>
      </c>
      <c r="C1904">
        <v>1936</v>
      </c>
      <c r="D1904" t="s">
        <v>6</v>
      </c>
      <c r="E1904" t="str">
        <f>IF(june[[#This Row],[ShiftCounter]]&gt;0, "Running", "Down")</f>
        <v>Running</v>
      </c>
    </row>
    <row r="1905" spans="1:5" x14ac:dyDescent="0.25">
      <c r="A1905" s="8">
        <v>44729</v>
      </c>
      <c r="B1905" t="s">
        <v>24</v>
      </c>
      <c r="C1905">
        <v>2213</v>
      </c>
      <c r="D1905" t="s">
        <v>7</v>
      </c>
      <c r="E1905" t="str">
        <f>IF(june[[#This Row],[ShiftCounter]]&gt;0, "Running", "Down")</f>
        <v>Running</v>
      </c>
    </row>
    <row r="1906" spans="1:5" x14ac:dyDescent="0.25">
      <c r="A1906" s="8">
        <v>44729</v>
      </c>
      <c r="B1906" t="s">
        <v>24</v>
      </c>
      <c r="C1906">
        <v>1806</v>
      </c>
      <c r="D1906" t="s">
        <v>8</v>
      </c>
      <c r="E1906" t="str">
        <f>IF(june[[#This Row],[ShiftCounter]]&gt;0, "Running", "Down")</f>
        <v>Running</v>
      </c>
    </row>
    <row r="1907" spans="1:5" x14ac:dyDescent="0.25">
      <c r="A1907" s="8">
        <v>44729</v>
      </c>
      <c r="B1907" t="s">
        <v>25</v>
      </c>
      <c r="C1907">
        <v>1946</v>
      </c>
      <c r="D1907" t="s">
        <v>6</v>
      </c>
      <c r="E1907" t="str">
        <f>IF(june[[#This Row],[ShiftCounter]]&gt;0, "Running", "Down")</f>
        <v>Running</v>
      </c>
    </row>
    <row r="1908" spans="1:5" x14ac:dyDescent="0.25">
      <c r="A1908" s="8">
        <v>44729</v>
      </c>
      <c r="B1908" t="s">
        <v>25</v>
      </c>
      <c r="C1908">
        <v>2134</v>
      </c>
      <c r="D1908" t="s">
        <v>7</v>
      </c>
      <c r="E1908" t="str">
        <f>IF(june[[#This Row],[ShiftCounter]]&gt;0, "Running", "Down")</f>
        <v>Running</v>
      </c>
    </row>
    <row r="1909" spans="1:5" x14ac:dyDescent="0.25">
      <c r="A1909" s="8">
        <v>44729</v>
      </c>
      <c r="B1909" t="s">
        <v>25</v>
      </c>
      <c r="C1909">
        <v>2186</v>
      </c>
      <c r="D1909" t="s">
        <v>8</v>
      </c>
      <c r="E1909" t="str">
        <f>IF(june[[#This Row],[ShiftCounter]]&gt;0, "Running", "Down")</f>
        <v>Running</v>
      </c>
    </row>
    <row r="1910" spans="1:5" x14ac:dyDescent="0.25">
      <c r="A1910" s="8">
        <v>44729</v>
      </c>
      <c r="B1910" t="s">
        <v>74</v>
      </c>
      <c r="C1910">
        <v>1135</v>
      </c>
      <c r="D1910" t="s">
        <v>6</v>
      </c>
      <c r="E1910" t="str">
        <f>IF(june[[#This Row],[ShiftCounter]]&gt;0, "Running", "Down")</f>
        <v>Running</v>
      </c>
    </row>
    <row r="1911" spans="1:5" x14ac:dyDescent="0.25">
      <c r="A1911" s="8">
        <v>44729</v>
      </c>
      <c r="B1911" t="s">
        <v>74</v>
      </c>
      <c r="C1911">
        <v>1783</v>
      </c>
      <c r="D1911" t="s">
        <v>7</v>
      </c>
      <c r="E1911" t="str">
        <f>IF(june[[#This Row],[ShiftCounter]]&gt;0, "Running", "Down")</f>
        <v>Running</v>
      </c>
    </row>
    <row r="1912" spans="1:5" x14ac:dyDescent="0.25">
      <c r="A1912" s="8">
        <v>44729</v>
      </c>
      <c r="B1912" t="s">
        <v>74</v>
      </c>
      <c r="C1912">
        <v>1755</v>
      </c>
      <c r="D1912" t="s">
        <v>8</v>
      </c>
      <c r="E1912" t="str">
        <f>IF(june[[#This Row],[ShiftCounter]]&gt;0, "Running", "Down")</f>
        <v>Running</v>
      </c>
    </row>
    <row r="1913" spans="1:5" x14ac:dyDescent="0.25">
      <c r="A1913" s="8">
        <v>44729</v>
      </c>
      <c r="B1913" t="s">
        <v>26</v>
      </c>
      <c r="C1913">
        <v>1940</v>
      </c>
      <c r="D1913" t="s">
        <v>6</v>
      </c>
      <c r="E1913" t="str">
        <f>IF(june[[#This Row],[ShiftCounter]]&gt;0, "Running", "Down")</f>
        <v>Running</v>
      </c>
    </row>
    <row r="1914" spans="1:5" x14ac:dyDescent="0.25">
      <c r="A1914" s="8">
        <v>44729</v>
      </c>
      <c r="B1914" t="s">
        <v>26</v>
      </c>
      <c r="C1914">
        <v>1954</v>
      </c>
      <c r="D1914" t="s">
        <v>7</v>
      </c>
      <c r="E1914" t="str">
        <f>IF(june[[#This Row],[ShiftCounter]]&gt;0, "Running", "Down")</f>
        <v>Running</v>
      </c>
    </row>
    <row r="1915" spans="1:5" x14ac:dyDescent="0.25">
      <c r="A1915" s="8">
        <v>44729</v>
      </c>
      <c r="B1915" t="s">
        <v>26</v>
      </c>
      <c r="C1915">
        <v>1896</v>
      </c>
      <c r="D1915" t="s">
        <v>8</v>
      </c>
      <c r="E1915" t="str">
        <f>IF(june[[#This Row],[ShiftCounter]]&gt;0, "Running", "Down")</f>
        <v>Running</v>
      </c>
    </row>
    <row r="1916" spans="1:5" x14ac:dyDescent="0.25">
      <c r="A1916" s="8">
        <v>44729</v>
      </c>
      <c r="B1916" t="s">
        <v>27</v>
      </c>
      <c r="C1916">
        <v>0</v>
      </c>
      <c r="D1916" t="s">
        <v>6</v>
      </c>
      <c r="E1916" t="str">
        <f>IF(june[[#This Row],[ShiftCounter]]&gt;0, "Running", "Down")</f>
        <v>Down</v>
      </c>
    </row>
    <row r="1917" spans="1:5" x14ac:dyDescent="0.25">
      <c r="A1917" s="8">
        <v>44729</v>
      </c>
      <c r="B1917" t="s">
        <v>27</v>
      </c>
      <c r="C1917">
        <v>2122</v>
      </c>
      <c r="D1917" t="s">
        <v>7</v>
      </c>
      <c r="E1917" t="str">
        <f>IF(june[[#This Row],[ShiftCounter]]&gt;0, "Running", "Down")</f>
        <v>Running</v>
      </c>
    </row>
    <row r="1918" spans="1:5" x14ac:dyDescent="0.25">
      <c r="A1918" s="8">
        <v>44729</v>
      </c>
      <c r="B1918" t="s">
        <v>27</v>
      </c>
      <c r="C1918">
        <v>2454</v>
      </c>
      <c r="D1918" t="s">
        <v>8</v>
      </c>
      <c r="E1918" t="str">
        <f>IF(june[[#This Row],[ShiftCounter]]&gt;0, "Running", "Down")</f>
        <v>Running</v>
      </c>
    </row>
    <row r="1919" spans="1:5" x14ac:dyDescent="0.25">
      <c r="A1919" s="8">
        <v>44729</v>
      </c>
      <c r="B1919" t="s">
        <v>28</v>
      </c>
      <c r="C1919">
        <v>2297</v>
      </c>
      <c r="D1919" t="s">
        <v>6</v>
      </c>
      <c r="E1919" t="str">
        <f>IF(june[[#This Row],[ShiftCounter]]&gt;0, "Running", "Down")</f>
        <v>Running</v>
      </c>
    </row>
    <row r="1920" spans="1:5" x14ac:dyDescent="0.25">
      <c r="A1920" s="8">
        <v>44729</v>
      </c>
      <c r="B1920" t="s">
        <v>28</v>
      </c>
      <c r="C1920">
        <v>2357</v>
      </c>
      <c r="D1920" t="s">
        <v>7</v>
      </c>
      <c r="E1920" t="str">
        <f>IF(june[[#This Row],[ShiftCounter]]&gt;0, "Running", "Down")</f>
        <v>Running</v>
      </c>
    </row>
    <row r="1921" spans="1:5" x14ac:dyDescent="0.25">
      <c r="A1921" s="8">
        <v>44729</v>
      </c>
      <c r="B1921" t="s">
        <v>28</v>
      </c>
      <c r="C1921">
        <v>2042</v>
      </c>
      <c r="D1921" t="s">
        <v>8</v>
      </c>
      <c r="E1921" t="str">
        <f>IF(june[[#This Row],[ShiftCounter]]&gt;0, "Running", "Down")</f>
        <v>Running</v>
      </c>
    </row>
    <row r="1922" spans="1:5" x14ac:dyDescent="0.25">
      <c r="A1922" s="8">
        <v>44729</v>
      </c>
      <c r="B1922" t="s">
        <v>29</v>
      </c>
      <c r="C1922">
        <v>2106</v>
      </c>
      <c r="D1922" t="s">
        <v>6</v>
      </c>
      <c r="E1922" t="str">
        <f>IF(june[[#This Row],[ShiftCounter]]&gt;0, "Running", "Down")</f>
        <v>Running</v>
      </c>
    </row>
    <row r="1923" spans="1:5" x14ac:dyDescent="0.25">
      <c r="A1923" s="8">
        <v>44729</v>
      </c>
      <c r="B1923" t="s">
        <v>29</v>
      </c>
      <c r="C1923">
        <v>2104</v>
      </c>
      <c r="D1923" t="s">
        <v>7</v>
      </c>
      <c r="E1923" t="str">
        <f>IF(june[[#This Row],[ShiftCounter]]&gt;0, "Running", "Down")</f>
        <v>Running</v>
      </c>
    </row>
    <row r="1924" spans="1:5" x14ac:dyDescent="0.25">
      <c r="A1924" s="8">
        <v>44729</v>
      </c>
      <c r="B1924" t="s">
        <v>29</v>
      </c>
      <c r="C1924">
        <v>2132</v>
      </c>
      <c r="D1924" t="s">
        <v>8</v>
      </c>
      <c r="E1924" t="str">
        <f>IF(june[[#This Row],[ShiftCounter]]&gt;0, "Running", "Down")</f>
        <v>Running</v>
      </c>
    </row>
    <row r="1925" spans="1:5" x14ac:dyDescent="0.25">
      <c r="A1925" s="8">
        <v>44729</v>
      </c>
      <c r="B1925" t="s">
        <v>30</v>
      </c>
      <c r="C1925">
        <v>1884</v>
      </c>
      <c r="D1925" t="s">
        <v>6</v>
      </c>
      <c r="E1925" t="str">
        <f>IF(june[[#This Row],[ShiftCounter]]&gt;0, "Running", "Down")</f>
        <v>Running</v>
      </c>
    </row>
    <row r="1926" spans="1:5" x14ac:dyDescent="0.25">
      <c r="A1926" s="8">
        <v>44729</v>
      </c>
      <c r="B1926" t="s">
        <v>30</v>
      </c>
      <c r="C1926">
        <v>2415</v>
      </c>
      <c r="D1926" t="s">
        <v>7</v>
      </c>
      <c r="E1926" t="str">
        <f>IF(june[[#This Row],[ShiftCounter]]&gt;0, "Running", "Down")</f>
        <v>Running</v>
      </c>
    </row>
    <row r="1927" spans="1:5" x14ac:dyDescent="0.25">
      <c r="A1927" s="8">
        <v>44729</v>
      </c>
      <c r="B1927" t="s">
        <v>30</v>
      </c>
      <c r="C1927">
        <v>2129</v>
      </c>
      <c r="D1927" t="s">
        <v>8</v>
      </c>
      <c r="E1927" t="str">
        <f>IF(june[[#This Row],[ShiftCounter]]&gt;0, "Running", "Down")</f>
        <v>Running</v>
      </c>
    </row>
    <row r="1928" spans="1:5" x14ac:dyDescent="0.25">
      <c r="A1928" s="8">
        <v>44729</v>
      </c>
      <c r="B1928" t="s">
        <v>31</v>
      </c>
      <c r="C1928">
        <v>2043</v>
      </c>
      <c r="D1928" t="s">
        <v>6</v>
      </c>
      <c r="E1928" t="str">
        <f>IF(june[[#This Row],[ShiftCounter]]&gt;0, "Running", "Down")</f>
        <v>Running</v>
      </c>
    </row>
    <row r="1929" spans="1:5" x14ac:dyDescent="0.25">
      <c r="A1929" s="8">
        <v>44729</v>
      </c>
      <c r="B1929" t="s">
        <v>31</v>
      </c>
      <c r="C1929">
        <v>2116</v>
      </c>
      <c r="D1929" t="s">
        <v>7</v>
      </c>
      <c r="E1929" t="str">
        <f>IF(june[[#This Row],[ShiftCounter]]&gt;0, "Running", "Down")</f>
        <v>Running</v>
      </c>
    </row>
    <row r="1930" spans="1:5" x14ac:dyDescent="0.25">
      <c r="A1930" s="8">
        <v>44729</v>
      </c>
      <c r="B1930" t="s">
        <v>31</v>
      </c>
      <c r="C1930">
        <v>1939</v>
      </c>
      <c r="D1930" t="s">
        <v>8</v>
      </c>
      <c r="E1930" t="str">
        <f>IF(june[[#This Row],[ShiftCounter]]&gt;0, "Running", "Down")</f>
        <v>Running</v>
      </c>
    </row>
    <row r="1931" spans="1:5" x14ac:dyDescent="0.25">
      <c r="A1931" s="8">
        <v>44729</v>
      </c>
      <c r="B1931" t="s">
        <v>32</v>
      </c>
      <c r="C1931">
        <v>2439</v>
      </c>
      <c r="D1931" t="s">
        <v>6</v>
      </c>
      <c r="E1931" t="str">
        <f>IF(june[[#This Row],[ShiftCounter]]&gt;0, "Running", "Down")</f>
        <v>Running</v>
      </c>
    </row>
    <row r="1932" spans="1:5" x14ac:dyDescent="0.25">
      <c r="A1932" s="8">
        <v>44729</v>
      </c>
      <c r="B1932" t="s">
        <v>32</v>
      </c>
      <c r="C1932">
        <v>2407</v>
      </c>
      <c r="D1932" t="s">
        <v>7</v>
      </c>
      <c r="E1932" t="str">
        <f>IF(june[[#This Row],[ShiftCounter]]&gt;0, "Running", "Down")</f>
        <v>Running</v>
      </c>
    </row>
    <row r="1933" spans="1:5" x14ac:dyDescent="0.25">
      <c r="A1933" s="8">
        <v>44729</v>
      </c>
      <c r="B1933" t="s">
        <v>32</v>
      </c>
      <c r="C1933">
        <v>2463</v>
      </c>
      <c r="D1933" t="s">
        <v>8</v>
      </c>
      <c r="E1933" t="str">
        <f>IF(june[[#This Row],[ShiftCounter]]&gt;0, "Running", "Down")</f>
        <v>Running</v>
      </c>
    </row>
    <row r="1934" spans="1:5" x14ac:dyDescent="0.25">
      <c r="A1934" s="8">
        <v>44729</v>
      </c>
      <c r="B1934" t="s">
        <v>67</v>
      </c>
      <c r="C1934">
        <v>2135</v>
      </c>
      <c r="D1934" t="s">
        <v>6</v>
      </c>
      <c r="E1934" t="str">
        <f>IF(june[[#This Row],[ShiftCounter]]&gt;0, "Running", "Down")</f>
        <v>Running</v>
      </c>
    </row>
    <row r="1935" spans="1:5" x14ac:dyDescent="0.25">
      <c r="A1935" s="8">
        <v>44729</v>
      </c>
      <c r="B1935" t="s">
        <v>67</v>
      </c>
      <c r="C1935">
        <v>2178</v>
      </c>
      <c r="D1935" t="s">
        <v>7</v>
      </c>
      <c r="E1935" t="str">
        <f>IF(june[[#This Row],[ShiftCounter]]&gt;0, "Running", "Down")</f>
        <v>Running</v>
      </c>
    </row>
    <row r="1936" spans="1:5" x14ac:dyDescent="0.25">
      <c r="A1936" s="8">
        <v>44729</v>
      </c>
      <c r="B1936" t="s">
        <v>67</v>
      </c>
      <c r="C1936">
        <v>2100</v>
      </c>
      <c r="D1936" t="s">
        <v>8</v>
      </c>
      <c r="E1936" t="str">
        <f>IF(june[[#This Row],[ShiftCounter]]&gt;0, "Running", "Down")</f>
        <v>Running</v>
      </c>
    </row>
    <row r="1937" spans="1:5" x14ac:dyDescent="0.25">
      <c r="A1937" s="8">
        <v>44729</v>
      </c>
      <c r="B1937" t="s">
        <v>33</v>
      </c>
      <c r="C1937">
        <v>2370</v>
      </c>
      <c r="D1937" t="s">
        <v>6</v>
      </c>
      <c r="E1937" t="str">
        <f>IF(june[[#This Row],[ShiftCounter]]&gt;0, "Running", "Down")</f>
        <v>Running</v>
      </c>
    </row>
    <row r="1938" spans="1:5" x14ac:dyDescent="0.25">
      <c r="A1938" s="8">
        <v>44729</v>
      </c>
      <c r="B1938" t="s">
        <v>33</v>
      </c>
      <c r="C1938">
        <v>2336</v>
      </c>
      <c r="D1938" t="s">
        <v>7</v>
      </c>
      <c r="E1938" t="str">
        <f>IF(june[[#This Row],[ShiftCounter]]&gt;0, "Running", "Down")</f>
        <v>Running</v>
      </c>
    </row>
    <row r="1939" spans="1:5" x14ac:dyDescent="0.25">
      <c r="A1939" s="8">
        <v>44729</v>
      </c>
      <c r="B1939" t="s">
        <v>33</v>
      </c>
      <c r="C1939">
        <v>2363</v>
      </c>
      <c r="D1939" t="s">
        <v>8</v>
      </c>
      <c r="E1939" t="str">
        <f>IF(june[[#This Row],[ShiftCounter]]&gt;0, "Running", "Down")</f>
        <v>Running</v>
      </c>
    </row>
    <row r="1940" spans="1:5" x14ac:dyDescent="0.25">
      <c r="A1940" s="8">
        <v>44729</v>
      </c>
      <c r="B1940" t="s">
        <v>34</v>
      </c>
      <c r="C1940">
        <v>1936</v>
      </c>
      <c r="D1940" t="s">
        <v>6</v>
      </c>
      <c r="E1940" t="str">
        <f>IF(june[[#This Row],[ShiftCounter]]&gt;0, "Running", "Down")</f>
        <v>Running</v>
      </c>
    </row>
    <row r="1941" spans="1:5" x14ac:dyDescent="0.25">
      <c r="A1941" s="8">
        <v>44729</v>
      </c>
      <c r="B1941" t="s">
        <v>34</v>
      </c>
      <c r="C1941">
        <v>1966</v>
      </c>
      <c r="D1941" t="s">
        <v>7</v>
      </c>
      <c r="E1941" t="str">
        <f>IF(june[[#This Row],[ShiftCounter]]&gt;0, "Running", "Down")</f>
        <v>Running</v>
      </c>
    </row>
    <row r="1942" spans="1:5" x14ac:dyDescent="0.25">
      <c r="A1942" s="8">
        <v>44729</v>
      </c>
      <c r="B1942" t="s">
        <v>34</v>
      </c>
      <c r="C1942">
        <v>1957</v>
      </c>
      <c r="D1942" t="s">
        <v>8</v>
      </c>
      <c r="E1942" t="str">
        <f>IF(june[[#This Row],[ShiftCounter]]&gt;0, "Running", "Down")</f>
        <v>Running</v>
      </c>
    </row>
    <row r="1943" spans="1:5" x14ac:dyDescent="0.25">
      <c r="A1943" s="8">
        <v>44729</v>
      </c>
      <c r="B1943" t="s">
        <v>36</v>
      </c>
      <c r="C1943">
        <v>0</v>
      </c>
      <c r="D1943" t="s">
        <v>6</v>
      </c>
      <c r="E1943" t="str">
        <f>IF(june[[#This Row],[ShiftCounter]]&gt;0, "Running", "Down")</f>
        <v>Down</v>
      </c>
    </row>
    <row r="1944" spans="1:5" x14ac:dyDescent="0.25">
      <c r="A1944" s="8">
        <v>44729</v>
      </c>
      <c r="B1944" t="s">
        <v>36</v>
      </c>
      <c r="C1944">
        <v>0</v>
      </c>
      <c r="D1944" t="s">
        <v>7</v>
      </c>
      <c r="E1944" t="str">
        <f>IF(june[[#This Row],[ShiftCounter]]&gt;0, "Running", "Down")</f>
        <v>Down</v>
      </c>
    </row>
    <row r="1945" spans="1:5" x14ac:dyDescent="0.25">
      <c r="A1945" s="8">
        <v>44729</v>
      </c>
      <c r="B1945" t="s">
        <v>36</v>
      </c>
      <c r="C1945">
        <v>0</v>
      </c>
      <c r="D1945" t="s">
        <v>8</v>
      </c>
      <c r="E1945" t="str">
        <f>IF(june[[#This Row],[ShiftCounter]]&gt;0, "Running", "Down")</f>
        <v>Down</v>
      </c>
    </row>
    <row r="1946" spans="1:5" x14ac:dyDescent="0.25">
      <c r="A1946" s="8">
        <v>44729</v>
      </c>
      <c r="B1946" t="s">
        <v>37</v>
      </c>
      <c r="C1946">
        <v>2456</v>
      </c>
      <c r="D1946" t="s">
        <v>6</v>
      </c>
      <c r="E1946" t="str">
        <f>IF(june[[#This Row],[ShiftCounter]]&gt;0, "Running", "Down")</f>
        <v>Running</v>
      </c>
    </row>
    <row r="1947" spans="1:5" x14ac:dyDescent="0.25">
      <c r="A1947" s="8">
        <v>44729</v>
      </c>
      <c r="B1947" t="s">
        <v>37</v>
      </c>
      <c r="C1947">
        <v>2361</v>
      </c>
      <c r="D1947" t="s">
        <v>7</v>
      </c>
      <c r="E1947" t="str">
        <f>IF(june[[#This Row],[ShiftCounter]]&gt;0, "Running", "Down")</f>
        <v>Running</v>
      </c>
    </row>
    <row r="1948" spans="1:5" x14ac:dyDescent="0.25">
      <c r="A1948" s="8">
        <v>44729</v>
      </c>
      <c r="B1948" t="s">
        <v>37</v>
      </c>
      <c r="C1948">
        <v>2300</v>
      </c>
      <c r="D1948" t="s">
        <v>8</v>
      </c>
      <c r="E1948" t="str">
        <f>IF(june[[#This Row],[ShiftCounter]]&gt;0, "Running", "Down")</f>
        <v>Running</v>
      </c>
    </row>
    <row r="1949" spans="1:5" x14ac:dyDescent="0.25">
      <c r="A1949" s="8">
        <v>44729</v>
      </c>
      <c r="B1949" t="s">
        <v>54</v>
      </c>
      <c r="C1949">
        <v>0</v>
      </c>
      <c r="D1949" t="s">
        <v>6</v>
      </c>
      <c r="E1949" t="str">
        <f>IF(june[[#This Row],[ShiftCounter]]&gt;0, "Running", "Down")</f>
        <v>Down</v>
      </c>
    </row>
    <row r="1950" spans="1:5" x14ac:dyDescent="0.25">
      <c r="A1950" s="8">
        <v>44729</v>
      </c>
      <c r="B1950" t="s">
        <v>54</v>
      </c>
      <c r="C1950">
        <v>0</v>
      </c>
      <c r="D1950" t="s">
        <v>7</v>
      </c>
      <c r="E1950" t="str">
        <f>IF(june[[#This Row],[ShiftCounter]]&gt;0, "Running", "Down")</f>
        <v>Down</v>
      </c>
    </row>
    <row r="1951" spans="1:5" x14ac:dyDescent="0.25">
      <c r="A1951" s="8">
        <v>44729</v>
      </c>
      <c r="B1951" t="s">
        <v>54</v>
      </c>
      <c r="C1951">
        <v>1746</v>
      </c>
      <c r="D1951" t="s">
        <v>8</v>
      </c>
      <c r="E1951" t="str">
        <f>IF(june[[#This Row],[ShiftCounter]]&gt;0, "Running", "Down")</f>
        <v>Running</v>
      </c>
    </row>
    <row r="1952" spans="1:5" x14ac:dyDescent="0.25">
      <c r="A1952" s="8">
        <v>44730</v>
      </c>
      <c r="B1952" t="s">
        <v>135</v>
      </c>
      <c r="C1952">
        <v>2412</v>
      </c>
      <c r="D1952" t="s">
        <v>6</v>
      </c>
      <c r="E1952" t="str">
        <f>IF(june[[#This Row],[ShiftCounter]]&gt;0, "Running", "Down")</f>
        <v>Running</v>
      </c>
    </row>
    <row r="1953" spans="1:5" x14ac:dyDescent="0.25">
      <c r="A1953" s="8">
        <v>44730</v>
      </c>
      <c r="B1953" t="s">
        <v>135</v>
      </c>
      <c r="C1953">
        <v>2119</v>
      </c>
      <c r="D1953" t="s">
        <v>7</v>
      </c>
      <c r="E1953" t="str">
        <f>IF(june[[#This Row],[ShiftCounter]]&gt;0, "Running", "Down")</f>
        <v>Running</v>
      </c>
    </row>
    <row r="1954" spans="1:5" x14ac:dyDescent="0.25">
      <c r="A1954" s="8">
        <v>44730</v>
      </c>
      <c r="B1954" t="s">
        <v>135</v>
      </c>
      <c r="C1954">
        <v>2037</v>
      </c>
      <c r="D1954" t="s">
        <v>8</v>
      </c>
      <c r="E1954" t="str">
        <f>IF(june[[#This Row],[ShiftCounter]]&gt;0, "Running", "Down")</f>
        <v>Running</v>
      </c>
    </row>
    <row r="1955" spans="1:5" x14ac:dyDescent="0.25">
      <c r="A1955" s="8">
        <v>44730</v>
      </c>
      <c r="B1955" t="s">
        <v>40</v>
      </c>
      <c r="C1955">
        <v>2458</v>
      </c>
      <c r="D1955" t="s">
        <v>6</v>
      </c>
      <c r="E1955" t="str">
        <f>IF(june[[#This Row],[ShiftCounter]]&gt;0, "Running", "Down")</f>
        <v>Running</v>
      </c>
    </row>
    <row r="1956" spans="1:5" x14ac:dyDescent="0.25">
      <c r="A1956" s="8">
        <v>44730</v>
      </c>
      <c r="B1956" t="s">
        <v>40</v>
      </c>
      <c r="C1956">
        <v>2226</v>
      </c>
      <c r="D1956" t="s">
        <v>7</v>
      </c>
      <c r="E1956" t="str">
        <f>IF(june[[#This Row],[ShiftCounter]]&gt;0, "Running", "Down")</f>
        <v>Running</v>
      </c>
    </row>
    <row r="1957" spans="1:5" x14ac:dyDescent="0.25">
      <c r="A1957" s="8">
        <v>44730</v>
      </c>
      <c r="B1957" t="s">
        <v>40</v>
      </c>
      <c r="C1957">
        <v>2092</v>
      </c>
      <c r="D1957" t="s">
        <v>8</v>
      </c>
      <c r="E1957" t="str">
        <f>IF(june[[#This Row],[ShiftCounter]]&gt;0, "Running", "Down")</f>
        <v>Running</v>
      </c>
    </row>
    <row r="1958" spans="1:5" x14ac:dyDescent="0.25">
      <c r="A1958" s="8">
        <v>44730</v>
      </c>
      <c r="B1958" t="s">
        <v>39</v>
      </c>
      <c r="C1958">
        <v>2145</v>
      </c>
      <c r="D1958" t="s">
        <v>6</v>
      </c>
      <c r="E1958" t="str">
        <f>IF(june[[#This Row],[ShiftCounter]]&gt;0, "Running", "Down")</f>
        <v>Running</v>
      </c>
    </row>
    <row r="1959" spans="1:5" x14ac:dyDescent="0.25">
      <c r="A1959" s="8">
        <v>44730</v>
      </c>
      <c r="B1959" t="s">
        <v>39</v>
      </c>
      <c r="C1959">
        <v>2180</v>
      </c>
      <c r="D1959" t="s">
        <v>7</v>
      </c>
      <c r="E1959" t="str">
        <f>IF(june[[#This Row],[ShiftCounter]]&gt;0, "Running", "Down")</f>
        <v>Running</v>
      </c>
    </row>
    <row r="1960" spans="1:5" x14ac:dyDescent="0.25">
      <c r="A1960" s="8">
        <v>44730</v>
      </c>
      <c r="B1960" t="s">
        <v>39</v>
      </c>
      <c r="C1960">
        <v>2163</v>
      </c>
      <c r="D1960" t="s">
        <v>8</v>
      </c>
      <c r="E1960" t="str">
        <f>IF(june[[#This Row],[ShiftCounter]]&gt;0, "Running", "Down")</f>
        <v>Running</v>
      </c>
    </row>
    <row r="1961" spans="1:5" x14ac:dyDescent="0.25">
      <c r="A1961" s="8">
        <v>44730</v>
      </c>
      <c r="B1961" t="s">
        <v>41</v>
      </c>
      <c r="C1961">
        <v>2524</v>
      </c>
      <c r="D1961" t="s">
        <v>6</v>
      </c>
      <c r="E1961" t="str">
        <f>IF(june[[#This Row],[ShiftCounter]]&gt;0, "Running", "Down")</f>
        <v>Running</v>
      </c>
    </row>
    <row r="1962" spans="1:5" x14ac:dyDescent="0.25">
      <c r="A1962" s="8">
        <v>44730</v>
      </c>
      <c r="B1962" t="s">
        <v>41</v>
      </c>
      <c r="C1962">
        <v>2252</v>
      </c>
      <c r="D1962" t="s">
        <v>7</v>
      </c>
      <c r="E1962" t="str">
        <f>IF(june[[#This Row],[ShiftCounter]]&gt;0, "Running", "Down")</f>
        <v>Running</v>
      </c>
    </row>
    <row r="1963" spans="1:5" x14ac:dyDescent="0.25">
      <c r="A1963" s="8">
        <v>44730</v>
      </c>
      <c r="B1963" t="s">
        <v>41</v>
      </c>
      <c r="C1963">
        <v>2113</v>
      </c>
      <c r="D1963" t="s">
        <v>8</v>
      </c>
      <c r="E1963" t="str">
        <f>IF(june[[#This Row],[ShiftCounter]]&gt;0, "Running", "Down")</f>
        <v>Running</v>
      </c>
    </row>
    <row r="1964" spans="1:5" x14ac:dyDescent="0.25">
      <c r="A1964" s="8">
        <v>44730</v>
      </c>
      <c r="B1964" t="s">
        <v>5</v>
      </c>
      <c r="C1964">
        <v>1616</v>
      </c>
      <c r="D1964" t="s">
        <v>6</v>
      </c>
      <c r="E1964" t="str">
        <f>IF(june[[#This Row],[ShiftCounter]]&gt;0, "Running", "Down")</f>
        <v>Running</v>
      </c>
    </row>
    <row r="1965" spans="1:5" x14ac:dyDescent="0.25">
      <c r="A1965" s="8">
        <v>44730</v>
      </c>
      <c r="B1965" t="s">
        <v>5</v>
      </c>
      <c r="C1965">
        <v>1225</v>
      </c>
      <c r="D1965" t="s">
        <v>7</v>
      </c>
      <c r="E1965" t="str">
        <f>IF(june[[#This Row],[ShiftCounter]]&gt;0, "Running", "Down")</f>
        <v>Running</v>
      </c>
    </row>
    <row r="1966" spans="1:5" x14ac:dyDescent="0.25">
      <c r="A1966" s="8">
        <v>44730</v>
      </c>
      <c r="B1966" t="s">
        <v>5</v>
      </c>
      <c r="C1966">
        <v>2061</v>
      </c>
      <c r="D1966" t="s">
        <v>8</v>
      </c>
      <c r="E1966" t="str">
        <f>IF(june[[#This Row],[ShiftCounter]]&gt;0, "Running", "Down")</f>
        <v>Running</v>
      </c>
    </row>
    <row r="1967" spans="1:5" x14ac:dyDescent="0.25">
      <c r="A1967" s="8">
        <v>44730</v>
      </c>
      <c r="B1967" t="s">
        <v>9</v>
      </c>
      <c r="C1967">
        <v>2469</v>
      </c>
      <c r="D1967" t="s">
        <v>6</v>
      </c>
      <c r="E1967" t="str">
        <f>IF(june[[#This Row],[ShiftCounter]]&gt;0, "Running", "Down")</f>
        <v>Running</v>
      </c>
    </row>
    <row r="1968" spans="1:5" x14ac:dyDescent="0.25">
      <c r="A1968" s="8">
        <v>44730</v>
      </c>
      <c r="B1968" t="s">
        <v>9</v>
      </c>
      <c r="C1968">
        <v>2200</v>
      </c>
      <c r="D1968" t="s">
        <v>7</v>
      </c>
      <c r="E1968" t="str">
        <f>IF(june[[#This Row],[ShiftCounter]]&gt;0, "Running", "Down")</f>
        <v>Running</v>
      </c>
    </row>
    <row r="1969" spans="1:5" x14ac:dyDescent="0.25">
      <c r="A1969" s="8">
        <v>44730</v>
      </c>
      <c r="B1969" t="s">
        <v>9</v>
      </c>
      <c r="C1969">
        <v>2063</v>
      </c>
      <c r="D1969" t="s">
        <v>8</v>
      </c>
      <c r="E1969" t="str">
        <f>IF(june[[#This Row],[ShiftCounter]]&gt;0, "Running", "Down")</f>
        <v>Running</v>
      </c>
    </row>
    <row r="1970" spans="1:5" x14ac:dyDescent="0.25">
      <c r="A1970" s="8">
        <v>44730</v>
      </c>
      <c r="B1970" t="s">
        <v>10</v>
      </c>
      <c r="C1970">
        <v>2133</v>
      </c>
      <c r="D1970" t="s">
        <v>6</v>
      </c>
      <c r="E1970" t="str">
        <f>IF(june[[#This Row],[ShiftCounter]]&gt;0, "Running", "Down")</f>
        <v>Running</v>
      </c>
    </row>
    <row r="1971" spans="1:5" x14ac:dyDescent="0.25">
      <c r="A1971" s="8">
        <v>44730</v>
      </c>
      <c r="B1971" t="s">
        <v>10</v>
      </c>
      <c r="C1971">
        <v>2237</v>
      </c>
      <c r="D1971" t="s">
        <v>7</v>
      </c>
      <c r="E1971" t="str">
        <f>IF(june[[#This Row],[ShiftCounter]]&gt;0, "Running", "Down")</f>
        <v>Running</v>
      </c>
    </row>
    <row r="1972" spans="1:5" x14ac:dyDescent="0.25">
      <c r="A1972" s="8">
        <v>44730</v>
      </c>
      <c r="B1972" t="s">
        <v>10</v>
      </c>
      <c r="C1972">
        <v>2198</v>
      </c>
      <c r="D1972" t="s">
        <v>8</v>
      </c>
      <c r="E1972" t="str">
        <f>IF(june[[#This Row],[ShiftCounter]]&gt;0, "Running", "Down")</f>
        <v>Running</v>
      </c>
    </row>
    <row r="1973" spans="1:5" x14ac:dyDescent="0.25">
      <c r="A1973" s="8">
        <v>44730</v>
      </c>
      <c r="B1973" t="s">
        <v>11</v>
      </c>
      <c r="C1973">
        <v>2231</v>
      </c>
      <c r="D1973" t="s">
        <v>6</v>
      </c>
      <c r="E1973" t="str">
        <f>IF(june[[#This Row],[ShiftCounter]]&gt;0, "Running", "Down")</f>
        <v>Running</v>
      </c>
    </row>
    <row r="1974" spans="1:5" x14ac:dyDescent="0.25">
      <c r="A1974" s="8">
        <v>44730</v>
      </c>
      <c r="B1974" t="s">
        <v>11</v>
      </c>
      <c r="C1974">
        <v>2243</v>
      </c>
      <c r="D1974" t="s">
        <v>7</v>
      </c>
      <c r="E1974" t="str">
        <f>IF(june[[#This Row],[ShiftCounter]]&gt;0, "Running", "Down")</f>
        <v>Running</v>
      </c>
    </row>
    <row r="1975" spans="1:5" x14ac:dyDescent="0.25">
      <c r="A1975" s="8">
        <v>44730</v>
      </c>
      <c r="B1975" t="s">
        <v>11</v>
      </c>
      <c r="C1975">
        <v>2248</v>
      </c>
      <c r="D1975" t="s">
        <v>8</v>
      </c>
      <c r="E1975" t="str">
        <f>IF(june[[#This Row],[ShiftCounter]]&gt;0, "Running", "Down")</f>
        <v>Running</v>
      </c>
    </row>
    <row r="1976" spans="1:5" x14ac:dyDescent="0.25">
      <c r="A1976" s="8">
        <v>44730</v>
      </c>
      <c r="B1976" t="s">
        <v>12</v>
      </c>
      <c r="C1976">
        <v>2209</v>
      </c>
      <c r="D1976" t="s">
        <v>6</v>
      </c>
      <c r="E1976" t="str">
        <f>IF(june[[#This Row],[ShiftCounter]]&gt;0, "Running", "Down")</f>
        <v>Running</v>
      </c>
    </row>
    <row r="1977" spans="1:5" x14ac:dyDescent="0.25">
      <c r="A1977" s="8">
        <v>44730</v>
      </c>
      <c r="B1977" t="s">
        <v>12</v>
      </c>
      <c r="C1977">
        <v>2198</v>
      </c>
      <c r="D1977" t="s">
        <v>7</v>
      </c>
      <c r="E1977" t="str">
        <f>IF(june[[#This Row],[ShiftCounter]]&gt;0, "Running", "Down")</f>
        <v>Running</v>
      </c>
    </row>
    <row r="1978" spans="1:5" x14ac:dyDescent="0.25">
      <c r="A1978" s="8">
        <v>44730</v>
      </c>
      <c r="B1978" t="s">
        <v>12</v>
      </c>
      <c r="C1978">
        <v>2196</v>
      </c>
      <c r="D1978" t="s">
        <v>8</v>
      </c>
      <c r="E1978" t="str">
        <f>IF(june[[#This Row],[ShiftCounter]]&gt;0, "Running", "Down")</f>
        <v>Running</v>
      </c>
    </row>
    <row r="1979" spans="1:5" x14ac:dyDescent="0.25">
      <c r="A1979" s="8">
        <v>44730</v>
      </c>
      <c r="B1979" t="s">
        <v>13</v>
      </c>
      <c r="C1979">
        <v>2017</v>
      </c>
      <c r="D1979" t="s">
        <v>6</v>
      </c>
      <c r="E1979" t="str">
        <f>IF(june[[#This Row],[ShiftCounter]]&gt;0, "Running", "Down")</f>
        <v>Running</v>
      </c>
    </row>
    <row r="1980" spans="1:5" x14ac:dyDescent="0.25">
      <c r="A1980" s="8">
        <v>44730</v>
      </c>
      <c r="B1980" t="s">
        <v>13</v>
      </c>
      <c r="C1980">
        <v>2111</v>
      </c>
      <c r="D1980" t="s">
        <v>7</v>
      </c>
      <c r="E1980" t="str">
        <f>IF(june[[#This Row],[ShiftCounter]]&gt;0, "Running", "Down")</f>
        <v>Running</v>
      </c>
    </row>
    <row r="1981" spans="1:5" x14ac:dyDescent="0.25">
      <c r="A1981" s="8">
        <v>44730</v>
      </c>
      <c r="B1981" t="s">
        <v>13</v>
      </c>
      <c r="C1981">
        <v>2197</v>
      </c>
      <c r="D1981" t="s">
        <v>8</v>
      </c>
      <c r="E1981" t="str">
        <f>IF(june[[#This Row],[ShiftCounter]]&gt;0, "Running", "Down")</f>
        <v>Running</v>
      </c>
    </row>
    <row r="1982" spans="1:5" x14ac:dyDescent="0.25">
      <c r="A1982" s="8">
        <v>44730</v>
      </c>
      <c r="B1982" t="s">
        <v>101</v>
      </c>
      <c r="C1982">
        <v>1978</v>
      </c>
      <c r="D1982" t="s">
        <v>6</v>
      </c>
      <c r="E1982" t="str">
        <f>IF(june[[#This Row],[ShiftCounter]]&gt;0, "Running", "Down")</f>
        <v>Running</v>
      </c>
    </row>
    <row r="1983" spans="1:5" x14ac:dyDescent="0.25">
      <c r="A1983" s="8">
        <v>44730</v>
      </c>
      <c r="B1983" t="s">
        <v>101</v>
      </c>
      <c r="C1983">
        <v>1977</v>
      </c>
      <c r="D1983" t="s">
        <v>7</v>
      </c>
      <c r="E1983" t="str">
        <f>IF(june[[#This Row],[ShiftCounter]]&gt;0, "Running", "Down")</f>
        <v>Running</v>
      </c>
    </row>
    <row r="1984" spans="1:5" x14ac:dyDescent="0.25">
      <c r="A1984" s="8">
        <v>44730</v>
      </c>
      <c r="B1984" t="s">
        <v>101</v>
      </c>
      <c r="C1984">
        <v>1969</v>
      </c>
      <c r="D1984" t="s">
        <v>8</v>
      </c>
      <c r="E1984" t="str">
        <f>IF(june[[#This Row],[ShiftCounter]]&gt;0, "Running", "Down")</f>
        <v>Running</v>
      </c>
    </row>
    <row r="1985" spans="1:5" x14ac:dyDescent="0.25">
      <c r="A1985" s="8">
        <v>44730</v>
      </c>
      <c r="B1985" t="s">
        <v>14</v>
      </c>
      <c r="C1985">
        <v>2122</v>
      </c>
      <c r="D1985" t="s">
        <v>6</v>
      </c>
      <c r="E1985" t="str">
        <f>IF(june[[#This Row],[ShiftCounter]]&gt;0, "Running", "Down")</f>
        <v>Running</v>
      </c>
    </row>
    <row r="1986" spans="1:5" x14ac:dyDescent="0.25">
      <c r="A1986" s="8">
        <v>44730</v>
      </c>
      <c r="B1986" t="s">
        <v>14</v>
      </c>
      <c r="C1986">
        <v>2115</v>
      </c>
      <c r="D1986" t="s">
        <v>7</v>
      </c>
      <c r="E1986" t="str">
        <f>IF(june[[#This Row],[ShiftCounter]]&gt;0, "Running", "Down")</f>
        <v>Running</v>
      </c>
    </row>
    <row r="1987" spans="1:5" x14ac:dyDescent="0.25">
      <c r="A1987" s="8">
        <v>44730</v>
      </c>
      <c r="B1987" t="s">
        <v>14</v>
      </c>
      <c r="C1987">
        <v>2116</v>
      </c>
      <c r="D1987" t="s">
        <v>8</v>
      </c>
      <c r="E1987" t="str">
        <f>IF(june[[#This Row],[ShiftCounter]]&gt;0, "Running", "Down")</f>
        <v>Running</v>
      </c>
    </row>
    <row r="1988" spans="1:5" x14ac:dyDescent="0.25">
      <c r="A1988" s="8">
        <v>44730</v>
      </c>
      <c r="B1988" t="s">
        <v>15</v>
      </c>
      <c r="C1988">
        <v>2324</v>
      </c>
      <c r="D1988" t="s">
        <v>6</v>
      </c>
      <c r="E1988" t="str">
        <f>IF(june[[#This Row],[ShiftCounter]]&gt;0, "Running", "Down")</f>
        <v>Running</v>
      </c>
    </row>
    <row r="1989" spans="1:5" x14ac:dyDescent="0.25">
      <c r="A1989" s="8">
        <v>44730</v>
      </c>
      <c r="B1989" t="s">
        <v>15</v>
      </c>
      <c r="C1989">
        <v>2236</v>
      </c>
      <c r="D1989" t="s">
        <v>7</v>
      </c>
      <c r="E1989" t="str">
        <f>IF(june[[#This Row],[ShiftCounter]]&gt;0, "Running", "Down")</f>
        <v>Running</v>
      </c>
    </row>
    <row r="1990" spans="1:5" x14ac:dyDescent="0.25">
      <c r="A1990" s="8">
        <v>44730</v>
      </c>
      <c r="B1990" t="s">
        <v>15</v>
      </c>
      <c r="C1990">
        <v>1934</v>
      </c>
      <c r="D1990" t="s">
        <v>8</v>
      </c>
      <c r="E1990" t="str">
        <f>IF(june[[#This Row],[ShiftCounter]]&gt;0, "Running", "Down")</f>
        <v>Running</v>
      </c>
    </row>
    <row r="1991" spans="1:5" x14ac:dyDescent="0.25">
      <c r="A1991" s="8">
        <v>44730</v>
      </c>
      <c r="B1991" t="s">
        <v>16</v>
      </c>
      <c r="C1991">
        <v>2055</v>
      </c>
      <c r="D1991" t="s">
        <v>6</v>
      </c>
      <c r="E1991" t="str">
        <f>IF(june[[#This Row],[ShiftCounter]]&gt;0, "Running", "Down")</f>
        <v>Running</v>
      </c>
    </row>
    <row r="1992" spans="1:5" x14ac:dyDescent="0.25">
      <c r="A1992" s="8">
        <v>44730</v>
      </c>
      <c r="B1992" t="s">
        <v>16</v>
      </c>
      <c r="C1992">
        <v>2162</v>
      </c>
      <c r="D1992" t="s">
        <v>7</v>
      </c>
      <c r="E1992" t="str">
        <f>IF(june[[#This Row],[ShiftCounter]]&gt;0, "Running", "Down")</f>
        <v>Running</v>
      </c>
    </row>
    <row r="1993" spans="1:5" x14ac:dyDescent="0.25">
      <c r="A1993" s="8">
        <v>44730</v>
      </c>
      <c r="B1993" t="s">
        <v>16</v>
      </c>
      <c r="C1993">
        <v>2107</v>
      </c>
      <c r="D1993" t="s">
        <v>8</v>
      </c>
      <c r="E1993" t="str">
        <f>IF(june[[#This Row],[ShiftCounter]]&gt;0, "Running", "Down")</f>
        <v>Running</v>
      </c>
    </row>
    <row r="1994" spans="1:5" x14ac:dyDescent="0.25">
      <c r="A1994" s="8">
        <v>44730</v>
      </c>
      <c r="B1994" t="s">
        <v>17</v>
      </c>
      <c r="C1994">
        <v>2289</v>
      </c>
      <c r="D1994" t="s">
        <v>6</v>
      </c>
      <c r="E1994" t="str">
        <f>IF(june[[#This Row],[ShiftCounter]]&gt;0, "Running", "Down")</f>
        <v>Running</v>
      </c>
    </row>
    <row r="1995" spans="1:5" x14ac:dyDescent="0.25">
      <c r="A1995" s="8">
        <v>44730</v>
      </c>
      <c r="B1995" t="s">
        <v>17</v>
      </c>
      <c r="C1995">
        <v>2309</v>
      </c>
      <c r="D1995" t="s">
        <v>7</v>
      </c>
      <c r="E1995" t="str">
        <f>IF(june[[#This Row],[ShiftCounter]]&gt;0, "Running", "Down")</f>
        <v>Running</v>
      </c>
    </row>
    <row r="1996" spans="1:5" x14ac:dyDescent="0.25">
      <c r="A1996" s="8">
        <v>44730</v>
      </c>
      <c r="B1996" t="s">
        <v>17</v>
      </c>
      <c r="C1996">
        <v>2277</v>
      </c>
      <c r="D1996" t="s">
        <v>8</v>
      </c>
      <c r="E1996" t="str">
        <f>IF(june[[#This Row],[ShiftCounter]]&gt;0, "Running", "Down")</f>
        <v>Running</v>
      </c>
    </row>
    <row r="1997" spans="1:5" x14ac:dyDescent="0.25">
      <c r="A1997" s="8">
        <v>44730</v>
      </c>
      <c r="B1997" t="s">
        <v>19</v>
      </c>
      <c r="C1997">
        <v>1872</v>
      </c>
      <c r="D1997" t="s">
        <v>6</v>
      </c>
      <c r="E1997" t="str">
        <f>IF(june[[#This Row],[ShiftCounter]]&gt;0, "Running", "Down")</f>
        <v>Running</v>
      </c>
    </row>
    <row r="1998" spans="1:5" x14ac:dyDescent="0.25">
      <c r="A1998" s="8">
        <v>44730</v>
      </c>
      <c r="B1998" t="s">
        <v>19</v>
      </c>
      <c r="C1998">
        <v>1933</v>
      </c>
      <c r="D1998" t="s">
        <v>7</v>
      </c>
      <c r="E1998" t="str">
        <f>IF(june[[#This Row],[ShiftCounter]]&gt;0, "Running", "Down")</f>
        <v>Running</v>
      </c>
    </row>
    <row r="1999" spans="1:5" x14ac:dyDescent="0.25">
      <c r="A1999" s="8">
        <v>44730</v>
      </c>
      <c r="B1999" t="s">
        <v>19</v>
      </c>
      <c r="C1999">
        <v>1913</v>
      </c>
      <c r="D1999" t="s">
        <v>8</v>
      </c>
      <c r="E1999" t="str">
        <f>IF(june[[#This Row],[ShiftCounter]]&gt;0, "Running", "Down")</f>
        <v>Running</v>
      </c>
    </row>
    <row r="2000" spans="1:5" x14ac:dyDescent="0.25">
      <c r="A2000" s="8">
        <v>44730</v>
      </c>
      <c r="B2000" t="s">
        <v>18</v>
      </c>
      <c r="C2000">
        <v>2246</v>
      </c>
      <c r="D2000" t="s">
        <v>6</v>
      </c>
      <c r="E2000" t="str">
        <f>IF(june[[#This Row],[ShiftCounter]]&gt;0, "Running", "Down")</f>
        <v>Running</v>
      </c>
    </row>
    <row r="2001" spans="1:5" x14ac:dyDescent="0.25">
      <c r="A2001" s="8">
        <v>44730</v>
      </c>
      <c r="B2001" t="s">
        <v>18</v>
      </c>
      <c r="C2001">
        <v>2030</v>
      </c>
      <c r="D2001" t="s">
        <v>7</v>
      </c>
      <c r="E2001" t="str">
        <f>IF(june[[#This Row],[ShiftCounter]]&gt;0, "Running", "Down")</f>
        <v>Running</v>
      </c>
    </row>
    <row r="2002" spans="1:5" x14ac:dyDescent="0.25">
      <c r="A2002" s="8">
        <v>44730</v>
      </c>
      <c r="B2002" t="s">
        <v>18</v>
      </c>
      <c r="C2002">
        <v>2291</v>
      </c>
      <c r="D2002" t="s">
        <v>8</v>
      </c>
      <c r="E2002" t="str">
        <f>IF(june[[#This Row],[ShiftCounter]]&gt;0, "Running", "Down")</f>
        <v>Running</v>
      </c>
    </row>
    <row r="2003" spans="1:5" x14ac:dyDescent="0.25">
      <c r="A2003" s="8">
        <v>44730</v>
      </c>
      <c r="B2003" t="s">
        <v>38</v>
      </c>
      <c r="C2003">
        <v>2260</v>
      </c>
      <c r="D2003" t="s">
        <v>6</v>
      </c>
      <c r="E2003" t="str">
        <f>IF(june[[#This Row],[ShiftCounter]]&gt;0, "Running", "Down")</f>
        <v>Running</v>
      </c>
    </row>
    <row r="2004" spans="1:5" x14ac:dyDescent="0.25">
      <c r="A2004" s="8">
        <v>44730</v>
      </c>
      <c r="B2004" t="s">
        <v>38</v>
      </c>
      <c r="C2004">
        <v>2125</v>
      </c>
      <c r="D2004" t="s">
        <v>7</v>
      </c>
      <c r="E2004" t="str">
        <f>IF(june[[#This Row],[ShiftCounter]]&gt;0, "Running", "Down")</f>
        <v>Running</v>
      </c>
    </row>
    <row r="2005" spans="1:5" x14ac:dyDescent="0.25">
      <c r="A2005" s="8">
        <v>44730</v>
      </c>
      <c r="B2005" t="s">
        <v>38</v>
      </c>
      <c r="C2005">
        <v>2249</v>
      </c>
      <c r="D2005" t="s">
        <v>8</v>
      </c>
      <c r="E2005" t="str">
        <f>IF(june[[#This Row],[ShiftCounter]]&gt;0, "Running", "Down")</f>
        <v>Running</v>
      </c>
    </row>
    <row r="2006" spans="1:5" x14ac:dyDescent="0.25">
      <c r="A2006" s="8">
        <v>44730</v>
      </c>
      <c r="B2006" t="s">
        <v>20</v>
      </c>
      <c r="C2006">
        <v>1883</v>
      </c>
      <c r="D2006" t="s">
        <v>6</v>
      </c>
      <c r="E2006" t="str">
        <f>IF(june[[#This Row],[ShiftCounter]]&gt;0, "Running", "Down")</f>
        <v>Running</v>
      </c>
    </row>
    <row r="2007" spans="1:5" x14ac:dyDescent="0.25">
      <c r="A2007" s="8">
        <v>44730</v>
      </c>
      <c r="B2007" t="s">
        <v>20</v>
      </c>
      <c r="C2007">
        <v>1860</v>
      </c>
      <c r="D2007" t="s">
        <v>7</v>
      </c>
      <c r="E2007" t="str">
        <f>IF(june[[#This Row],[ShiftCounter]]&gt;0, "Running", "Down")</f>
        <v>Running</v>
      </c>
    </row>
    <row r="2008" spans="1:5" x14ac:dyDescent="0.25">
      <c r="A2008" s="8">
        <v>44730</v>
      </c>
      <c r="B2008" t="s">
        <v>20</v>
      </c>
      <c r="C2008">
        <v>1910</v>
      </c>
      <c r="D2008" t="s">
        <v>8</v>
      </c>
      <c r="E2008" t="str">
        <f>IF(june[[#This Row],[ShiftCounter]]&gt;0, "Running", "Down")</f>
        <v>Running</v>
      </c>
    </row>
    <row r="2009" spans="1:5" x14ac:dyDescent="0.25">
      <c r="A2009" s="8">
        <v>44730</v>
      </c>
      <c r="B2009" t="s">
        <v>21</v>
      </c>
      <c r="C2009">
        <v>1380</v>
      </c>
      <c r="D2009" t="s">
        <v>6</v>
      </c>
      <c r="E2009" t="str">
        <f>IF(june[[#This Row],[ShiftCounter]]&gt;0, "Running", "Down")</f>
        <v>Running</v>
      </c>
    </row>
    <row r="2010" spans="1:5" x14ac:dyDescent="0.25">
      <c r="A2010" s="8">
        <v>44730</v>
      </c>
      <c r="B2010" t="s">
        <v>21</v>
      </c>
      <c r="C2010">
        <v>2043</v>
      </c>
      <c r="D2010" t="s">
        <v>7</v>
      </c>
      <c r="E2010" t="str">
        <f>IF(june[[#This Row],[ShiftCounter]]&gt;0, "Running", "Down")</f>
        <v>Running</v>
      </c>
    </row>
    <row r="2011" spans="1:5" x14ac:dyDescent="0.25">
      <c r="A2011" s="8">
        <v>44730</v>
      </c>
      <c r="B2011" t="s">
        <v>21</v>
      </c>
      <c r="C2011">
        <v>1901</v>
      </c>
      <c r="D2011" t="s">
        <v>8</v>
      </c>
      <c r="E2011" t="str">
        <f>IF(june[[#This Row],[ShiftCounter]]&gt;0, "Running", "Down")</f>
        <v>Running</v>
      </c>
    </row>
    <row r="2012" spans="1:5" x14ac:dyDescent="0.25">
      <c r="A2012" s="8">
        <v>44730</v>
      </c>
      <c r="B2012" t="s">
        <v>22</v>
      </c>
      <c r="C2012">
        <v>2504</v>
      </c>
      <c r="D2012" t="s">
        <v>6</v>
      </c>
      <c r="E2012" t="str">
        <f>IF(june[[#This Row],[ShiftCounter]]&gt;0, "Running", "Down")</f>
        <v>Running</v>
      </c>
    </row>
    <row r="2013" spans="1:5" x14ac:dyDescent="0.25">
      <c r="A2013" s="8">
        <v>44730</v>
      </c>
      <c r="B2013" t="s">
        <v>22</v>
      </c>
      <c r="C2013">
        <v>2353</v>
      </c>
      <c r="D2013" t="s">
        <v>7</v>
      </c>
      <c r="E2013" t="str">
        <f>IF(june[[#This Row],[ShiftCounter]]&gt;0, "Running", "Down")</f>
        <v>Running</v>
      </c>
    </row>
    <row r="2014" spans="1:5" x14ac:dyDescent="0.25">
      <c r="A2014" s="8">
        <v>44730</v>
      </c>
      <c r="B2014" t="s">
        <v>22</v>
      </c>
      <c r="C2014">
        <v>2174</v>
      </c>
      <c r="D2014" t="s">
        <v>8</v>
      </c>
      <c r="E2014" t="str">
        <f>IF(june[[#This Row],[ShiftCounter]]&gt;0, "Running", "Down")</f>
        <v>Running</v>
      </c>
    </row>
    <row r="2015" spans="1:5" x14ac:dyDescent="0.25">
      <c r="A2015" s="8">
        <v>44730</v>
      </c>
      <c r="B2015" t="s">
        <v>23</v>
      </c>
      <c r="C2015">
        <v>2352</v>
      </c>
      <c r="D2015" t="s">
        <v>6</v>
      </c>
      <c r="E2015" t="str">
        <f>IF(june[[#This Row],[ShiftCounter]]&gt;0, "Running", "Down")</f>
        <v>Running</v>
      </c>
    </row>
    <row r="2016" spans="1:5" x14ac:dyDescent="0.25">
      <c r="A2016" s="8">
        <v>44730</v>
      </c>
      <c r="B2016" t="s">
        <v>23</v>
      </c>
      <c r="C2016">
        <v>2318</v>
      </c>
      <c r="D2016" t="s">
        <v>7</v>
      </c>
      <c r="E2016" t="str">
        <f>IF(june[[#This Row],[ShiftCounter]]&gt;0, "Running", "Down")</f>
        <v>Running</v>
      </c>
    </row>
    <row r="2017" spans="1:5" x14ac:dyDescent="0.25">
      <c r="A2017" s="8">
        <v>44730</v>
      </c>
      <c r="B2017" t="s">
        <v>23</v>
      </c>
      <c r="C2017">
        <v>2371</v>
      </c>
      <c r="D2017" t="s">
        <v>8</v>
      </c>
      <c r="E2017" t="str">
        <f>IF(june[[#This Row],[ShiftCounter]]&gt;0, "Running", "Down")</f>
        <v>Running</v>
      </c>
    </row>
    <row r="2018" spans="1:5" x14ac:dyDescent="0.25">
      <c r="A2018" s="8">
        <v>44730</v>
      </c>
      <c r="B2018" t="s">
        <v>24</v>
      </c>
      <c r="C2018">
        <v>1805</v>
      </c>
      <c r="D2018" t="s">
        <v>6</v>
      </c>
      <c r="E2018" t="str">
        <f>IF(june[[#This Row],[ShiftCounter]]&gt;0, "Running", "Down")</f>
        <v>Running</v>
      </c>
    </row>
    <row r="2019" spans="1:5" x14ac:dyDescent="0.25">
      <c r="A2019" s="8">
        <v>44730</v>
      </c>
      <c r="B2019" t="s">
        <v>24</v>
      </c>
      <c r="C2019">
        <v>2009</v>
      </c>
      <c r="D2019" t="s">
        <v>7</v>
      </c>
      <c r="E2019" t="str">
        <f>IF(june[[#This Row],[ShiftCounter]]&gt;0, "Running", "Down")</f>
        <v>Running</v>
      </c>
    </row>
    <row r="2020" spans="1:5" x14ac:dyDescent="0.25">
      <c r="A2020" s="8">
        <v>44730</v>
      </c>
      <c r="B2020" t="s">
        <v>24</v>
      </c>
      <c r="C2020">
        <v>1998</v>
      </c>
      <c r="D2020" t="s">
        <v>8</v>
      </c>
      <c r="E2020" t="str">
        <f>IF(june[[#This Row],[ShiftCounter]]&gt;0, "Running", "Down")</f>
        <v>Running</v>
      </c>
    </row>
    <row r="2021" spans="1:5" x14ac:dyDescent="0.25">
      <c r="A2021" s="8">
        <v>44730</v>
      </c>
      <c r="B2021" t="s">
        <v>25</v>
      </c>
      <c r="C2021">
        <v>2130</v>
      </c>
      <c r="D2021" t="s">
        <v>6</v>
      </c>
      <c r="E2021" t="str">
        <f>IF(june[[#This Row],[ShiftCounter]]&gt;0, "Running", "Down")</f>
        <v>Running</v>
      </c>
    </row>
    <row r="2022" spans="1:5" x14ac:dyDescent="0.25">
      <c r="A2022" s="8">
        <v>44730</v>
      </c>
      <c r="B2022" t="s">
        <v>25</v>
      </c>
      <c r="C2022">
        <v>2134</v>
      </c>
      <c r="D2022" t="s">
        <v>7</v>
      </c>
      <c r="E2022" t="str">
        <f>IF(june[[#This Row],[ShiftCounter]]&gt;0, "Running", "Down")</f>
        <v>Running</v>
      </c>
    </row>
    <row r="2023" spans="1:5" x14ac:dyDescent="0.25">
      <c r="A2023" s="8">
        <v>44730</v>
      </c>
      <c r="B2023" t="s">
        <v>25</v>
      </c>
      <c r="C2023">
        <v>2187</v>
      </c>
      <c r="D2023" t="s">
        <v>8</v>
      </c>
      <c r="E2023" t="str">
        <f>IF(june[[#This Row],[ShiftCounter]]&gt;0, "Running", "Down")</f>
        <v>Running</v>
      </c>
    </row>
    <row r="2024" spans="1:5" x14ac:dyDescent="0.25">
      <c r="A2024" s="8">
        <v>44730</v>
      </c>
      <c r="B2024" t="s">
        <v>74</v>
      </c>
      <c r="C2024">
        <v>1822</v>
      </c>
      <c r="D2024" t="s">
        <v>6</v>
      </c>
      <c r="E2024" t="str">
        <f>IF(june[[#This Row],[ShiftCounter]]&gt;0, "Running", "Down")</f>
        <v>Running</v>
      </c>
    </row>
    <row r="2025" spans="1:5" x14ac:dyDescent="0.25">
      <c r="A2025" s="8">
        <v>44730</v>
      </c>
      <c r="B2025" t="s">
        <v>74</v>
      </c>
      <c r="C2025">
        <v>1883</v>
      </c>
      <c r="D2025" t="s">
        <v>7</v>
      </c>
      <c r="E2025" t="str">
        <f>IF(june[[#This Row],[ShiftCounter]]&gt;0, "Running", "Down")</f>
        <v>Running</v>
      </c>
    </row>
    <row r="2026" spans="1:5" x14ac:dyDescent="0.25">
      <c r="A2026" s="8">
        <v>44730</v>
      </c>
      <c r="B2026" t="s">
        <v>74</v>
      </c>
      <c r="C2026">
        <v>1947</v>
      </c>
      <c r="D2026" t="s">
        <v>8</v>
      </c>
      <c r="E2026" t="str">
        <f>IF(june[[#This Row],[ShiftCounter]]&gt;0, "Running", "Down")</f>
        <v>Running</v>
      </c>
    </row>
    <row r="2027" spans="1:5" x14ac:dyDescent="0.25">
      <c r="A2027" s="8">
        <v>44730</v>
      </c>
      <c r="B2027" t="s">
        <v>26</v>
      </c>
      <c r="C2027">
        <v>1992</v>
      </c>
      <c r="D2027" t="s">
        <v>6</v>
      </c>
      <c r="E2027" t="str">
        <f>IF(june[[#This Row],[ShiftCounter]]&gt;0, "Running", "Down")</f>
        <v>Running</v>
      </c>
    </row>
    <row r="2028" spans="1:5" x14ac:dyDescent="0.25">
      <c r="A2028" s="8">
        <v>44730</v>
      </c>
      <c r="B2028" t="s">
        <v>26</v>
      </c>
      <c r="C2028">
        <v>1969</v>
      </c>
      <c r="D2028" t="s">
        <v>7</v>
      </c>
      <c r="E2028" t="str">
        <f>IF(june[[#This Row],[ShiftCounter]]&gt;0, "Running", "Down")</f>
        <v>Running</v>
      </c>
    </row>
    <row r="2029" spans="1:5" x14ac:dyDescent="0.25">
      <c r="A2029" s="8">
        <v>44730</v>
      </c>
      <c r="B2029" t="s">
        <v>26</v>
      </c>
      <c r="C2029">
        <v>1981</v>
      </c>
      <c r="D2029" t="s">
        <v>8</v>
      </c>
      <c r="E2029" t="str">
        <f>IF(june[[#This Row],[ShiftCounter]]&gt;0, "Running", "Down")</f>
        <v>Running</v>
      </c>
    </row>
    <row r="2030" spans="1:5" x14ac:dyDescent="0.25">
      <c r="A2030" s="8">
        <v>44730</v>
      </c>
      <c r="B2030" t="s">
        <v>27</v>
      </c>
      <c r="C2030">
        <v>2298</v>
      </c>
      <c r="D2030" t="s">
        <v>6</v>
      </c>
      <c r="E2030" t="str">
        <f>IF(june[[#This Row],[ShiftCounter]]&gt;0, "Running", "Down")</f>
        <v>Running</v>
      </c>
    </row>
    <row r="2031" spans="1:5" x14ac:dyDescent="0.25">
      <c r="A2031" s="8">
        <v>44730</v>
      </c>
      <c r="B2031" t="s">
        <v>27</v>
      </c>
      <c r="C2031">
        <v>2061</v>
      </c>
      <c r="D2031" t="s">
        <v>7</v>
      </c>
      <c r="E2031" t="str">
        <f>IF(june[[#This Row],[ShiftCounter]]&gt;0, "Running", "Down")</f>
        <v>Running</v>
      </c>
    </row>
    <row r="2032" spans="1:5" x14ac:dyDescent="0.25">
      <c r="A2032" s="8">
        <v>44730</v>
      </c>
      <c r="B2032" t="s">
        <v>27</v>
      </c>
      <c r="C2032">
        <v>2310</v>
      </c>
      <c r="D2032" t="s">
        <v>8</v>
      </c>
      <c r="E2032" t="str">
        <f>IF(june[[#This Row],[ShiftCounter]]&gt;0, "Running", "Down")</f>
        <v>Running</v>
      </c>
    </row>
    <row r="2033" spans="1:5" x14ac:dyDescent="0.25">
      <c r="A2033" s="8">
        <v>44730</v>
      </c>
      <c r="B2033" t="s">
        <v>28</v>
      </c>
      <c r="C2033">
        <v>2077</v>
      </c>
      <c r="D2033" t="s">
        <v>6</v>
      </c>
      <c r="E2033" t="str">
        <f>IF(june[[#This Row],[ShiftCounter]]&gt;0, "Running", "Down")</f>
        <v>Running</v>
      </c>
    </row>
    <row r="2034" spans="1:5" x14ac:dyDescent="0.25">
      <c r="A2034" s="8">
        <v>44730</v>
      </c>
      <c r="B2034" t="s">
        <v>28</v>
      </c>
      <c r="C2034">
        <v>2194</v>
      </c>
      <c r="D2034" t="s">
        <v>7</v>
      </c>
      <c r="E2034" t="str">
        <f>IF(june[[#This Row],[ShiftCounter]]&gt;0, "Running", "Down")</f>
        <v>Running</v>
      </c>
    </row>
    <row r="2035" spans="1:5" x14ac:dyDescent="0.25">
      <c r="A2035" s="8">
        <v>44730</v>
      </c>
      <c r="B2035" t="s">
        <v>28</v>
      </c>
      <c r="C2035">
        <v>2151</v>
      </c>
      <c r="D2035" t="s">
        <v>8</v>
      </c>
      <c r="E2035" t="str">
        <f>IF(june[[#This Row],[ShiftCounter]]&gt;0, "Running", "Down")</f>
        <v>Running</v>
      </c>
    </row>
    <row r="2036" spans="1:5" x14ac:dyDescent="0.25">
      <c r="A2036" s="8">
        <v>44730</v>
      </c>
      <c r="B2036" t="s">
        <v>29</v>
      </c>
      <c r="C2036">
        <v>2127</v>
      </c>
      <c r="D2036" t="s">
        <v>6</v>
      </c>
      <c r="E2036" t="str">
        <f>IF(june[[#This Row],[ShiftCounter]]&gt;0, "Running", "Down")</f>
        <v>Running</v>
      </c>
    </row>
    <row r="2037" spans="1:5" x14ac:dyDescent="0.25">
      <c r="A2037" s="8">
        <v>44730</v>
      </c>
      <c r="B2037" t="s">
        <v>29</v>
      </c>
      <c r="C2037">
        <v>2102</v>
      </c>
      <c r="D2037" t="s">
        <v>7</v>
      </c>
      <c r="E2037" t="str">
        <f>IF(june[[#This Row],[ShiftCounter]]&gt;0, "Running", "Down")</f>
        <v>Running</v>
      </c>
    </row>
    <row r="2038" spans="1:5" x14ac:dyDescent="0.25">
      <c r="A2038" s="8">
        <v>44730</v>
      </c>
      <c r="B2038" t="s">
        <v>29</v>
      </c>
      <c r="C2038">
        <v>1903</v>
      </c>
      <c r="D2038" t="s">
        <v>8</v>
      </c>
      <c r="E2038" t="str">
        <f>IF(june[[#This Row],[ShiftCounter]]&gt;0, "Running", "Down")</f>
        <v>Running</v>
      </c>
    </row>
    <row r="2039" spans="1:5" x14ac:dyDescent="0.25">
      <c r="A2039" s="8">
        <v>44730</v>
      </c>
      <c r="B2039" t="s">
        <v>30</v>
      </c>
      <c r="C2039">
        <v>2187</v>
      </c>
      <c r="D2039" t="s">
        <v>6</v>
      </c>
      <c r="E2039" t="str">
        <f>IF(june[[#This Row],[ShiftCounter]]&gt;0, "Running", "Down")</f>
        <v>Running</v>
      </c>
    </row>
    <row r="2040" spans="1:5" x14ac:dyDescent="0.25">
      <c r="A2040" s="8">
        <v>44730</v>
      </c>
      <c r="B2040" t="s">
        <v>30</v>
      </c>
      <c r="C2040">
        <v>2187</v>
      </c>
      <c r="D2040" t="s">
        <v>7</v>
      </c>
      <c r="E2040" t="str">
        <f>IF(june[[#This Row],[ShiftCounter]]&gt;0, "Running", "Down")</f>
        <v>Running</v>
      </c>
    </row>
    <row r="2041" spans="1:5" x14ac:dyDescent="0.25">
      <c r="A2041" s="8">
        <v>44730</v>
      </c>
      <c r="B2041" t="s">
        <v>30</v>
      </c>
      <c r="C2041">
        <v>2197</v>
      </c>
      <c r="D2041" t="s">
        <v>8</v>
      </c>
      <c r="E2041" t="str">
        <f>IF(june[[#This Row],[ShiftCounter]]&gt;0, "Running", "Down")</f>
        <v>Running</v>
      </c>
    </row>
    <row r="2042" spans="1:5" x14ac:dyDescent="0.25">
      <c r="A2042" s="8">
        <v>44730</v>
      </c>
      <c r="B2042" t="s">
        <v>31</v>
      </c>
      <c r="C2042">
        <v>2000</v>
      </c>
      <c r="D2042" t="s">
        <v>6</v>
      </c>
      <c r="E2042" t="str">
        <f>IF(june[[#This Row],[ShiftCounter]]&gt;0, "Running", "Down")</f>
        <v>Running</v>
      </c>
    </row>
    <row r="2043" spans="1:5" x14ac:dyDescent="0.25">
      <c r="A2043" s="8">
        <v>44730</v>
      </c>
      <c r="B2043" t="s">
        <v>31</v>
      </c>
      <c r="C2043">
        <v>1977</v>
      </c>
      <c r="D2043" t="s">
        <v>7</v>
      </c>
      <c r="E2043" t="str">
        <f>IF(june[[#This Row],[ShiftCounter]]&gt;0, "Running", "Down")</f>
        <v>Running</v>
      </c>
    </row>
    <row r="2044" spans="1:5" x14ac:dyDescent="0.25">
      <c r="A2044" s="8">
        <v>44730</v>
      </c>
      <c r="B2044" t="s">
        <v>31</v>
      </c>
      <c r="C2044">
        <v>2009</v>
      </c>
      <c r="D2044" t="s">
        <v>8</v>
      </c>
      <c r="E2044" t="str">
        <f>IF(june[[#This Row],[ShiftCounter]]&gt;0, "Running", "Down")</f>
        <v>Running</v>
      </c>
    </row>
    <row r="2045" spans="1:5" x14ac:dyDescent="0.25">
      <c r="A2045" s="8">
        <v>44730</v>
      </c>
      <c r="B2045" t="s">
        <v>32</v>
      </c>
      <c r="C2045">
        <v>2451</v>
      </c>
      <c r="D2045" t="s">
        <v>6</v>
      </c>
      <c r="E2045" t="str">
        <f>IF(june[[#This Row],[ShiftCounter]]&gt;0, "Running", "Down")</f>
        <v>Running</v>
      </c>
    </row>
    <row r="2046" spans="1:5" x14ac:dyDescent="0.25">
      <c r="A2046" s="8">
        <v>44730</v>
      </c>
      <c r="B2046" t="s">
        <v>32</v>
      </c>
      <c r="C2046">
        <v>2426</v>
      </c>
      <c r="D2046" t="s">
        <v>7</v>
      </c>
      <c r="E2046" t="str">
        <f>IF(june[[#This Row],[ShiftCounter]]&gt;0, "Running", "Down")</f>
        <v>Running</v>
      </c>
    </row>
    <row r="2047" spans="1:5" x14ac:dyDescent="0.25">
      <c r="A2047" s="8">
        <v>44730</v>
      </c>
      <c r="B2047" t="s">
        <v>32</v>
      </c>
      <c r="C2047">
        <v>2463</v>
      </c>
      <c r="D2047" t="s">
        <v>8</v>
      </c>
      <c r="E2047" t="str">
        <f>IF(june[[#This Row],[ShiftCounter]]&gt;0, "Running", "Down")</f>
        <v>Running</v>
      </c>
    </row>
    <row r="2048" spans="1:5" x14ac:dyDescent="0.25">
      <c r="A2048" s="8">
        <v>44730</v>
      </c>
      <c r="B2048" t="s">
        <v>67</v>
      </c>
      <c r="C2048">
        <v>2062</v>
      </c>
      <c r="D2048" t="s">
        <v>6</v>
      </c>
      <c r="E2048" t="str">
        <f>IF(june[[#This Row],[ShiftCounter]]&gt;0, "Running", "Down")</f>
        <v>Running</v>
      </c>
    </row>
    <row r="2049" spans="1:5" x14ac:dyDescent="0.25">
      <c r="A2049" s="8">
        <v>44730</v>
      </c>
      <c r="B2049" t="s">
        <v>67</v>
      </c>
      <c r="C2049">
        <v>2155</v>
      </c>
      <c r="D2049" t="s">
        <v>7</v>
      </c>
      <c r="E2049" t="str">
        <f>IF(june[[#This Row],[ShiftCounter]]&gt;0, "Running", "Down")</f>
        <v>Running</v>
      </c>
    </row>
    <row r="2050" spans="1:5" x14ac:dyDescent="0.25">
      <c r="A2050" s="8">
        <v>44730</v>
      </c>
      <c r="B2050" t="s">
        <v>67</v>
      </c>
      <c r="C2050">
        <v>2073</v>
      </c>
      <c r="D2050" t="s">
        <v>8</v>
      </c>
      <c r="E2050" t="str">
        <f>IF(june[[#This Row],[ShiftCounter]]&gt;0, "Running", "Down")</f>
        <v>Running</v>
      </c>
    </row>
    <row r="2051" spans="1:5" x14ac:dyDescent="0.25">
      <c r="A2051" s="8">
        <v>44730</v>
      </c>
      <c r="B2051" t="s">
        <v>33</v>
      </c>
      <c r="C2051">
        <v>2391</v>
      </c>
      <c r="D2051" t="s">
        <v>6</v>
      </c>
      <c r="E2051" t="str">
        <f>IF(june[[#This Row],[ShiftCounter]]&gt;0, "Running", "Down")</f>
        <v>Running</v>
      </c>
    </row>
    <row r="2052" spans="1:5" x14ac:dyDescent="0.25">
      <c r="A2052" s="8">
        <v>44730</v>
      </c>
      <c r="B2052" t="s">
        <v>33</v>
      </c>
      <c r="C2052">
        <v>2366</v>
      </c>
      <c r="D2052" t="s">
        <v>7</v>
      </c>
      <c r="E2052" t="str">
        <f>IF(june[[#This Row],[ShiftCounter]]&gt;0, "Running", "Down")</f>
        <v>Running</v>
      </c>
    </row>
    <row r="2053" spans="1:5" x14ac:dyDescent="0.25">
      <c r="A2053" s="8">
        <v>44730</v>
      </c>
      <c r="B2053" t="s">
        <v>33</v>
      </c>
      <c r="C2053">
        <v>2404</v>
      </c>
      <c r="D2053" t="s">
        <v>8</v>
      </c>
      <c r="E2053" t="str">
        <f>IF(june[[#This Row],[ShiftCounter]]&gt;0, "Running", "Down")</f>
        <v>Running</v>
      </c>
    </row>
    <row r="2054" spans="1:5" x14ac:dyDescent="0.25">
      <c r="A2054" s="8">
        <v>44730</v>
      </c>
      <c r="B2054" t="s">
        <v>34</v>
      </c>
      <c r="C2054">
        <v>1792</v>
      </c>
      <c r="D2054" t="s">
        <v>6</v>
      </c>
      <c r="E2054" t="str">
        <f>IF(june[[#This Row],[ShiftCounter]]&gt;0, "Running", "Down")</f>
        <v>Running</v>
      </c>
    </row>
    <row r="2055" spans="1:5" x14ac:dyDescent="0.25">
      <c r="A2055" s="8">
        <v>44730</v>
      </c>
      <c r="B2055" t="s">
        <v>34</v>
      </c>
      <c r="C2055">
        <v>1927</v>
      </c>
      <c r="D2055" t="s">
        <v>7</v>
      </c>
      <c r="E2055" t="str">
        <f>IF(june[[#This Row],[ShiftCounter]]&gt;0, "Running", "Down")</f>
        <v>Running</v>
      </c>
    </row>
    <row r="2056" spans="1:5" x14ac:dyDescent="0.25">
      <c r="A2056" s="8">
        <v>44730</v>
      </c>
      <c r="B2056" t="s">
        <v>34</v>
      </c>
      <c r="C2056">
        <v>1958</v>
      </c>
      <c r="D2056" t="s">
        <v>8</v>
      </c>
      <c r="E2056" t="str">
        <f>IF(june[[#This Row],[ShiftCounter]]&gt;0, "Running", "Down")</f>
        <v>Running</v>
      </c>
    </row>
    <row r="2057" spans="1:5" x14ac:dyDescent="0.25">
      <c r="A2057" s="8">
        <v>44730</v>
      </c>
      <c r="B2057" t="s">
        <v>37</v>
      </c>
      <c r="C2057">
        <v>1600</v>
      </c>
      <c r="D2057" t="s">
        <v>6</v>
      </c>
      <c r="E2057" t="str">
        <f>IF(june[[#This Row],[ShiftCounter]]&gt;0, "Running", "Down")</f>
        <v>Running</v>
      </c>
    </row>
    <row r="2058" spans="1:5" x14ac:dyDescent="0.25">
      <c r="A2058" s="8">
        <v>44730</v>
      </c>
      <c r="B2058" t="s">
        <v>37</v>
      </c>
      <c r="C2058">
        <v>1601</v>
      </c>
      <c r="D2058" t="s">
        <v>7</v>
      </c>
      <c r="E2058" t="str">
        <f>IF(june[[#This Row],[ShiftCounter]]&gt;0, "Running", "Down")</f>
        <v>Running</v>
      </c>
    </row>
    <row r="2059" spans="1:5" x14ac:dyDescent="0.25">
      <c r="A2059" s="8">
        <v>44730</v>
      </c>
      <c r="B2059" t="s">
        <v>37</v>
      </c>
      <c r="C2059">
        <v>1985</v>
      </c>
      <c r="D2059" t="s">
        <v>8</v>
      </c>
      <c r="E2059" t="str">
        <f>IF(june[[#This Row],[ShiftCounter]]&gt;0, "Running", "Down")</f>
        <v>Running</v>
      </c>
    </row>
    <row r="2060" spans="1:5" x14ac:dyDescent="0.25">
      <c r="A2060" s="8">
        <v>44730</v>
      </c>
      <c r="B2060" t="s">
        <v>54</v>
      </c>
      <c r="C2060">
        <v>1751</v>
      </c>
      <c r="D2060" t="s">
        <v>6</v>
      </c>
      <c r="E2060" t="str">
        <f>IF(june[[#This Row],[ShiftCounter]]&gt;0, "Running", "Down")</f>
        <v>Running</v>
      </c>
    </row>
    <row r="2061" spans="1:5" x14ac:dyDescent="0.25">
      <c r="A2061" s="8">
        <v>44730</v>
      </c>
      <c r="B2061" t="s">
        <v>54</v>
      </c>
      <c r="C2061">
        <v>1751</v>
      </c>
      <c r="D2061" t="s">
        <v>7</v>
      </c>
      <c r="E2061" t="str">
        <f>IF(june[[#This Row],[ShiftCounter]]&gt;0, "Running", "Down")</f>
        <v>Running</v>
      </c>
    </row>
    <row r="2062" spans="1:5" x14ac:dyDescent="0.25">
      <c r="A2062" s="8">
        <v>44730</v>
      </c>
      <c r="B2062" t="s">
        <v>54</v>
      </c>
      <c r="C2062">
        <v>1759</v>
      </c>
      <c r="D2062" t="s">
        <v>8</v>
      </c>
      <c r="E2062" t="str">
        <f>IF(june[[#This Row],[ShiftCounter]]&gt;0, "Running", "Down")</f>
        <v>Running</v>
      </c>
    </row>
    <row r="2063" spans="1:5" x14ac:dyDescent="0.25">
      <c r="A2063" s="8">
        <v>44731</v>
      </c>
      <c r="B2063" t="s">
        <v>39</v>
      </c>
      <c r="C2063">
        <v>2068</v>
      </c>
      <c r="D2063" t="s">
        <v>6</v>
      </c>
      <c r="E2063" t="str">
        <f>IF(june[[#This Row],[ShiftCounter]]&gt;0, "Running", "Down")</f>
        <v>Running</v>
      </c>
    </row>
    <row r="2064" spans="1:5" x14ac:dyDescent="0.25">
      <c r="A2064" s="8">
        <v>44731</v>
      </c>
      <c r="B2064" t="s">
        <v>39</v>
      </c>
      <c r="C2064">
        <v>2168</v>
      </c>
      <c r="D2064" t="s">
        <v>7</v>
      </c>
      <c r="E2064" t="str">
        <f>IF(june[[#This Row],[ShiftCounter]]&gt;0, "Running", "Down")</f>
        <v>Running</v>
      </c>
    </row>
    <row r="2065" spans="1:5" x14ac:dyDescent="0.25">
      <c r="A2065" s="8">
        <v>44731</v>
      </c>
      <c r="B2065" t="s">
        <v>39</v>
      </c>
      <c r="C2065">
        <v>2170</v>
      </c>
      <c r="D2065" t="s">
        <v>8</v>
      </c>
      <c r="E2065" t="str">
        <f>IF(june[[#This Row],[ShiftCounter]]&gt;0, "Running", "Down")</f>
        <v>Running</v>
      </c>
    </row>
    <row r="2066" spans="1:5" x14ac:dyDescent="0.25">
      <c r="A2066" s="8">
        <v>44731</v>
      </c>
      <c r="B2066" t="s">
        <v>136</v>
      </c>
      <c r="C2066">
        <v>0</v>
      </c>
      <c r="D2066" t="s">
        <v>6</v>
      </c>
      <c r="E2066" t="str">
        <f>IF(june[[#This Row],[ShiftCounter]]&gt;0, "Running", "Down")</f>
        <v>Down</v>
      </c>
    </row>
    <row r="2067" spans="1:5" x14ac:dyDescent="0.25">
      <c r="A2067" s="8">
        <v>44731</v>
      </c>
      <c r="B2067" t="s">
        <v>136</v>
      </c>
      <c r="C2067">
        <v>2095</v>
      </c>
      <c r="D2067" t="s">
        <v>7</v>
      </c>
      <c r="E2067" t="str">
        <f>IF(june[[#This Row],[ShiftCounter]]&gt;0, "Running", "Down")</f>
        <v>Running</v>
      </c>
    </row>
    <row r="2068" spans="1:5" x14ac:dyDescent="0.25">
      <c r="A2068" s="8">
        <v>44731</v>
      </c>
      <c r="B2068" t="s">
        <v>136</v>
      </c>
      <c r="C2068">
        <v>1830</v>
      </c>
      <c r="D2068" t="s">
        <v>8</v>
      </c>
      <c r="E2068" t="str">
        <f>IF(june[[#This Row],[ShiftCounter]]&gt;0, "Running", "Down")</f>
        <v>Running</v>
      </c>
    </row>
    <row r="2069" spans="1:5" x14ac:dyDescent="0.25">
      <c r="A2069" s="8">
        <v>44731</v>
      </c>
      <c r="B2069" t="s">
        <v>135</v>
      </c>
      <c r="C2069">
        <v>2256</v>
      </c>
      <c r="D2069" t="s">
        <v>6</v>
      </c>
      <c r="E2069" t="str">
        <f>IF(june[[#This Row],[ShiftCounter]]&gt;0, "Running", "Down")</f>
        <v>Running</v>
      </c>
    </row>
    <row r="2070" spans="1:5" x14ac:dyDescent="0.25">
      <c r="A2070" s="8">
        <v>44731</v>
      </c>
      <c r="B2070" t="s">
        <v>135</v>
      </c>
      <c r="C2070">
        <v>2308</v>
      </c>
      <c r="D2070" t="s">
        <v>7</v>
      </c>
      <c r="E2070" t="str">
        <f>IF(june[[#This Row],[ShiftCounter]]&gt;0, "Running", "Down")</f>
        <v>Running</v>
      </c>
    </row>
    <row r="2071" spans="1:5" x14ac:dyDescent="0.25">
      <c r="A2071" s="8">
        <v>44731</v>
      </c>
      <c r="B2071" t="s">
        <v>135</v>
      </c>
      <c r="C2071">
        <v>2065</v>
      </c>
      <c r="D2071" t="s">
        <v>8</v>
      </c>
      <c r="E2071" t="str">
        <f>IF(june[[#This Row],[ShiftCounter]]&gt;0, "Running", "Down")</f>
        <v>Running</v>
      </c>
    </row>
    <row r="2072" spans="1:5" x14ac:dyDescent="0.25">
      <c r="A2072" s="8">
        <v>44731</v>
      </c>
      <c r="B2072" t="s">
        <v>40</v>
      </c>
      <c r="C2072">
        <v>2322</v>
      </c>
      <c r="D2072" t="s">
        <v>6</v>
      </c>
      <c r="E2072" t="str">
        <f>IF(june[[#This Row],[ShiftCounter]]&gt;0, "Running", "Down")</f>
        <v>Running</v>
      </c>
    </row>
    <row r="2073" spans="1:5" x14ac:dyDescent="0.25">
      <c r="A2073" s="8">
        <v>44731</v>
      </c>
      <c r="B2073" t="s">
        <v>40</v>
      </c>
      <c r="C2073">
        <v>2349</v>
      </c>
      <c r="D2073" t="s">
        <v>7</v>
      </c>
      <c r="E2073" t="str">
        <f>IF(june[[#This Row],[ShiftCounter]]&gt;0, "Running", "Down")</f>
        <v>Running</v>
      </c>
    </row>
    <row r="2074" spans="1:5" x14ac:dyDescent="0.25">
      <c r="A2074" s="8">
        <v>44731</v>
      </c>
      <c r="B2074" t="s">
        <v>40</v>
      </c>
      <c r="C2074">
        <v>2130</v>
      </c>
      <c r="D2074" t="s">
        <v>8</v>
      </c>
      <c r="E2074" t="str">
        <f>IF(june[[#This Row],[ShiftCounter]]&gt;0, "Running", "Down")</f>
        <v>Running</v>
      </c>
    </row>
    <row r="2075" spans="1:5" x14ac:dyDescent="0.25">
      <c r="A2075" s="8">
        <v>44731</v>
      </c>
      <c r="B2075" t="s">
        <v>41</v>
      </c>
      <c r="C2075">
        <v>1806</v>
      </c>
      <c r="D2075" t="s">
        <v>6</v>
      </c>
      <c r="E2075" t="str">
        <f>IF(june[[#This Row],[ShiftCounter]]&gt;0, "Running", "Down")</f>
        <v>Running</v>
      </c>
    </row>
    <row r="2076" spans="1:5" x14ac:dyDescent="0.25">
      <c r="A2076" s="8">
        <v>44731</v>
      </c>
      <c r="B2076" t="s">
        <v>41</v>
      </c>
      <c r="C2076">
        <v>2605</v>
      </c>
      <c r="D2076" t="s">
        <v>7</v>
      </c>
      <c r="E2076" t="str">
        <f>IF(june[[#This Row],[ShiftCounter]]&gt;0, "Running", "Down")</f>
        <v>Running</v>
      </c>
    </row>
    <row r="2077" spans="1:5" x14ac:dyDescent="0.25">
      <c r="A2077" s="8">
        <v>44731</v>
      </c>
      <c r="B2077" t="s">
        <v>41</v>
      </c>
      <c r="C2077">
        <v>2288</v>
      </c>
      <c r="D2077" t="s">
        <v>8</v>
      </c>
      <c r="E2077" t="str">
        <f>IF(june[[#This Row],[ShiftCounter]]&gt;0, "Running", "Down")</f>
        <v>Running</v>
      </c>
    </row>
    <row r="2078" spans="1:5" x14ac:dyDescent="0.25">
      <c r="A2078" s="8">
        <v>44731</v>
      </c>
      <c r="B2078" t="s">
        <v>5</v>
      </c>
      <c r="C2078">
        <v>2171</v>
      </c>
      <c r="D2078" t="s">
        <v>6</v>
      </c>
      <c r="E2078" t="str">
        <f>IF(june[[#This Row],[ShiftCounter]]&gt;0, "Running", "Down")</f>
        <v>Running</v>
      </c>
    </row>
    <row r="2079" spans="1:5" x14ac:dyDescent="0.25">
      <c r="A2079" s="8">
        <v>44731</v>
      </c>
      <c r="B2079" t="s">
        <v>5</v>
      </c>
      <c r="C2079">
        <v>2292</v>
      </c>
      <c r="D2079" t="s">
        <v>7</v>
      </c>
      <c r="E2079" t="str">
        <f>IF(june[[#This Row],[ShiftCounter]]&gt;0, "Running", "Down")</f>
        <v>Running</v>
      </c>
    </row>
    <row r="2080" spans="1:5" x14ac:dyDescent="0.25">
      <c r="A2080" s="8">
        <v>44731</v>
      </c>
      <c r="B2080" t="s">
        <v>5</v>
      </c>
      <c r="C2080">
        <v>2206</v>
      </c>
      <c r="D2080" t="s">
        <v>8</v>
      </c>
      <c r="E2080" t="str">
        <f>IF(june[[#This Row],[ShiftCounter]]&gt;0, "Running", "Down")</f>
        <v>Running</v>
      </c>
    </row>
    <row r="2081" spans="1:5" x14ac:dyDescent="0.25">
      <c r="A2081" s="8">
        <v>44731</v>
      </c>
      <c r="B2081" t="s">
        <v>9</v>
      </c>
      <c r="C2081">
        <v>2278</v>
      </c>
      <c r="D2081" t="s">
        <v>6</v>
      </c>
      <c r="E2081" t="str">
        <f>IF(june[[#This Row],[ShiftCounter]]&gt;0, "Running", "Down")</f>
        <v>Running</v>
      </c>
    </row>
    <row r="2082" spans="1:5" x14ac:dyDescent="0.25">
      <c r="A2082" s="8">
        <v>44731</v>
      </c>
      <c r="B2082" t="s">
        <v>9</v>
      </c>
      <c r="C2082">
        <v>20498</v>
      </c>
      <c r="D2082" t="s">
        <v>7</v>
      </c>
      <c r="E2082" t="str">
        <f>IF(june[[#This Row],[ShiftCounter]]&gt;0, "Running", "Down")</f>
        <v>Running</v>
      </c>
    </row>
    <row r="2083" spans="1:5" x14ac:dyDescent="0.25">
      <c r="A2083" s="8">
        <v>44731</v>
      </c>
      <c r="B2083" t="s">
        <v>9</v>
      </c>
      <c r="C2083">
        <v>1808</v>
      </c>
      <c r="D2083" t="s">
        <v>8</v>
      </c>
      <c r="E2083" t="str">
        <f>IF(june[[#This Row],[ShiftCounter]]&gt;0, "Running", "Down")</f>
        <v>Running</v>
      </c>
    </row>
    <row r="2084" spans="1:5" x14ac:dyDescent="0.25">
      <c r="A2084" s="8">
        <v>44731</v>
      </c>
      <c r="B2084" t="s">
        <v>10</v>
      </c>
      <c r="C2084">
        <v>2218</v>
      </c>
      <c r="D2084" t="s">
        <v>6</v>
      </c>
      <c r="E2084" t="str">
        <f>IF(june[[#This Row],[ShiftCounter]]&gt;0, "Running", "Down")</f>
        <v>Running</v>
      </c>
    </row>
    <row r="2085" spans="1:5" x14ac:dyDescent="0.25">
      <c r="A2085" s="8">
        <v>44731</v>
      </c>
      <c r="B2085" t="s">
        <v>10</v>
      </c>
      <c r="C2085">
        <v>2477</v>
      </c>
      <c r="D2085" t="s">
        <v>7</v>
      </c>
      <c r="E2085" t="str">
        <f>IF(june[[#This Row],[ShiftCounter]]&gt;0, "Running", "Down")</f>
        <v>Running</v>
      </c>
    </row>
    <row r="2086" spans="1:5" x14ac:dyDescent="0.25">
      <c r="A2086" s="8">
        <v>44731</v>
      </c>
      <c r="B2086" t="s">
        <v>10</v>
      </c>
      <c r="C2086">
        <v>2203</v>
      </c>
      <c r="D2086" t="s">
        <v>8</v>
      </c>
      <c r="E2086" t="str">
        <f>IF(june[[#This Row],[ShiftCounter]]&gt;0, "Running", "Down")</f>
        <v>Running</v>
      </c>
    </row>
    <row r="2087" spans="1:5" x14ac:dyDescent="0.25">
      <c r="A2087" s="8">
        <v>44731</v>
      </c>
      <c r="B2087" t="s">
        <v>11</v>
      </c>
      <c r="C2087">
        <v>2243</v>
      </c>
      <c r="D2087" t="s">
        <v>6</v>
      </c>
      <c r="E2087" t="str">
        <f>IF(june[[#This Row],[ShiftCounter]]&gt;0, "Running", "Down")</f>
        <v>Running</v>
      </c>
    </row>
    <row r="2088" spans="1:5" x14ac:dyDescent="0.25">
      <c r="A2088" s="8">
        <v>44731</v>
      </c>
      <c r="B2088" t="s">
        <v>11</v>
      </c>
      <c r="C2088">
        <v>2203</v>
      </c>
      <c r="D2088" t="s">
        <v>7</v>
      </c>
      <c r="E2088" t="str">
        <f>IF(june[[#This Row],[ShiftCounter]]&gt;0, "Running", "Down")</f>
        <v>Running</v>
      </c>
    </row>
    <row r="2089" spans="1:5" x14ac:dyDescent="0.25">
      <c r="A2089" s="8">
        <v>44731</v>
      </c>
      <c r="B2089" t="s">
        <v>11</v>
      </c>
      <c r="C2089">
        <v>2248</v>
      </c>
      <c r="D2089" t="s">
        <v>8</v>
      </c>
      <c r="E2089" t="str">
        <f>IF(june[[#This Row],[ShiftCounter]]&gt;0, "Running", "Down")</f>
        <v>Running</v>
      </c>
    </row>
    <row r="2090" spans="1:5" x14ac:dyDescent="0.25">
      <c r="A2090" s="8">
        <v>44731</v>
      </c>
      <c r="B2090" t="s">
        <v>12</v>
      </c>
      <c r="C2090">
        <v>2067</v>
      </c>
      <c r="D2090" t="s">
        <v>6</v>
      </c>
      <c r="E2090" t="str">
        <f>IF(june[[#This Row],[ShiftCounter]]&gt;0, "Running", "Down")</f>
        <v>Running</v>
      </c>
    </row>
    <row r="2091" spans="1:5" x14ac:dyDescent="0.25">
      <c r="A2091" s="8">
        <v>44731</v>
      </c>
      <c r="B2091" t="s">
        <v>12</v>
      </c>
      <c r="C2091">
        <v>2194</v>
      </c>
      <c r="D2091" t="s">
        <v>7</v>
      </c>
      <c r="E2091" t="str">
        <f>IF(june[[#This Row],[ShiftCounter]]&gt;0, "Running", "Down")</f>
        <v>Running</v>
      </c>
    </row>
    <row r="2092" spans="1:5" x14ac:dyDescent="0.25">
      <c r="A2092" s="8">
        <v>44731</v>
      </c>
      <c r="B2092" t="s">
        <v>12</v>
      </c>
      <c r="C2092">
        <v>2197</v>
      </c>
      <c r="D2092" t="s">
        <v>8</v>
      </c>
      <c r="E2092" t="str">
        <f>IF(june[[#This Row],[ShiftCounter]]&gt;0, "Running", "Down")</f>
        <v>Running</v>
      </c>
    </row>
    <row r="2093" spans="1:5" x14ac:dyDescent="0.25">
      <c r="A2093" s="8">
        <v>44731</v>
      </c>
      <c r="B2093" t="s">
        <v>13</v>
      </c>
      <c r="C2093">
        <v>2041</v>
      </c>
      <c r="D2093" t="s">
        <v>6</v>
      </c>
      <c r="E2093" t="str">
        <f>IF(june[[#This Row],[ShiftCounter]]&gt;0, "Running", "Down")</f>
        <v>Running</v>
      </c>
    </row>
    <row r="2094" spans="1:5" x14ac:dyDescent="0.25">
      <c r="A2094" s="8">
        <v>44731</v>
      </c>
      <c r="B2094" t="s">
        <v>13</v>
      </c>
      <c r="C2094">
        <v>2062</v>
      </c>
      <c r="D2094" t="s">
        <v>7</v>
      </c>
      <c r="E2094" t="str">
        <f>IF(june[[#This Row],[ShiftCounter]]&gt;0, "Running", "Down")</f>
        <v>Running</v>
      </c>
    </row>
    <row r="2095" spans="1:5" x14ac:dyDescent="0.25">
      <c r="A2095" s="8">
        <v>44731</v>
      </c>
      <c r="B2095" t="s">
        <v>13</v>
      </c>
      <c r="C2095">
        <v>2066</v>
      </c>
      <c r="D2095" t="s">
        <v>8</v>
      </c>
      <c r="E2095" t="str">
        <f>IF(june[[#This Row],[ShiftCounter]]&gt;0, "Running", "Down")</f>
        <v>Running</v>
      </c>
    </row>
    <row r="2096" spans="1:5" x14ac:dyDescent="0.25">
      <c r="A2096" s="8">
        <v>44731</v>
      </c>
      <c r="B2096" t="s">
        <v>101</v>
      </c>
      <c r="C2096">
        <v>1964</v>
      </c>
      <c r="D2096" t="s">
        <v>6</v>
      </c>
      <c r="E2096" t="str">
        <f>IF(june[[#This Row],[ShiftCounter]]&gt;0, "Running", "Down")</f>
        <v>Running</v>
      </c>
    </row>
    <row r="2097" spans="1:5" x14ac:dyDescent="0.25">
      <c r="A2097" s="8">
        <v>44731</v>
      </c>
      <c r="B2097" t="s">
        <v>101</v>
      </c>
      <c r="C2097">
        <v>1966</v>
      </c>
      <c r="D2097" t="s">
        <v>7</v>
      </c>
      <c r="E2097" t="str">
        <f>IF(june[[#This Row],[ShiftCounter]]&gt;0, "Running", "Down")</f>
        <v>Running</v>
      </c>
    </row>
    <row r="2098" spans="1:5" x14ac:dyDescent="0.25">
      <c r="A2098" s="8">
        <v>44731</v>
      </c>
      <c r="B2098" t="s">
        <v>101</v>
      </c>
      <c r="C2098">
        <v>1969</v>
      </c>
      <c r="D2098" t="s">
        <v>8</v>
      </c>
      <c r="E2098" t="str">
        <f>IF(june[[#This Row],[ShiftCounter]]&gt;0, "Running", "Down")</f>
        <v>Running</v>
      </c>
    </row>
    <row r="2099" spans="1:5" x14ac:dyDescent="0.25">
      <c r="A2099" s="8">
        <v>44731</v>
      </c>
      <c r="B2099" t="s">
        <v>14</v>
      </c>
      <c r="C2099">
        <v>2068</v>
      </c>
      <c r="D2099" t="s">
        <v>6</v>
      </c>
      <c r="E2099" t="str">
        <f>IF(june[[#This Row],[ShiftCounter]]&gt;0, "Running", "Down")</f>
        <v>Running</v>
      </c>
    </row>
    <row r="2100" spans="1:5" x14ac:dyDescent="0.25">
      <c r="A2100" s="8">
        <v>44731</v>
      </c>
      <c r="B2100" t="s">
        <v>14</v>
      </c>
      <c r="C2100">
        <v>2115</v>
      </c>
      <c r="D2100" t="s">
        <v>7</v>
      </c>
      <c r="E2100" t="str">
        <f>IF(june[[#This Row],[ShiftCounter]]&gt;0, "Running", "Down")</f>
        <v>Running</v>
      </c>
    </row>
    <row r="2101" spans="1:5" x14ac:dyDescent="0.25">
      <c r="A2101" s="8">
        <v>44731</v>
      </c>
      <c r="B2101" t="s">
        <v>14</v>
      </c>
      <c r="C2101">
        <v>2118</v>
      </c>
      <c r="D2101" t="s">
        <v>8</v>
      </c>
      <c r="E2101" t="str">
        <f>IF(june[[#This Row],[ShiftCounter]]&gt;0, "Running", "Down")</f>
        <v>Running</v>
      </c>
    </row>
    <row r="2102" spans="1:5" x14ac:dyDescent="0.25">
      <c r="A2102" s="8">
        <v>44731</v>
      </c>
      <c r="B2102" t="s">
        <v>15</v>
      </c>
      <c r="C2102">
        <v>2309</v>
      </c>
      <c r="D2102" t="s">
        <v>6</v>
      </c>
      <c r="E2102" t="str">
        <f>IF(june[[#This Row],[ShiftCounter]]&gt;0, "Running", "Down")</f>
        <v>Running</v>
      </c>
    </row>
    <row r="2103" spans="1:5" x14ac:dyDescent="0.25">
      <c r="A2103" s="8">
        <v>44731</v>
      </c>
      <c r="B2103" t="s">
        <v>15</v>
      </c>
      <c r="C2103">
        <v>2260</v>
      </c>
      <c r="D2103" t="s">
        <v>7</v>
      </c>
      <c r="E2103" t="str">
        <f>IF(june[[#This Row],[ShiftCounter]]&gt;0, "Running", "Down")</f>
        <v>Running</v>
      </c>
    </row>
    <row r="2104" spans="1:5" x14ac:dyDescent="0.25">
      <c r="A2104" s="8">
        <v>44731</v>
      </c>
      <c r="B2104" t="s">
        <v>15</v>
      </c>
      <c r="C2104">
        <v>1911</v>
      </c>
      <c r="D2104" t="s">
        <v>8</v>
      </c>
      <c r="E2104" t="str">
        <f>IF(june[[#This Row],[ShiftCounter]]&gt;0, "Running", "Down")</f>
        <v>Running</v>
      </c>
    </row>
    <row r="2105" spans="1:5" x14ac:dyDescent="0.25">
      <c r="A2105" s="8">
        <v>44731</v>
      </c>
      <c r="B2105" t="s">
        <v>16</v>
      </c>
      <c r="C2105">
        <v>2093</v>
      </c>
      <c r="D2105" t="s">
        <v>6</v>
      </c>
      <c r="E2105" t="str">
        <f>IF(june[[#This Row],[ShiftCounter]]&gt;0, "Running", "Down")</f>
        <v>Running</v>
      </c>
    </row>
    <row r="2106" spans="1:5" x14ac:dyDescent="0.25">
      <c r="A2106" s="8">
        <v>44731</v>
      </c>
      <c r="B2106" t="s">
        <v>16</v>
      </c>
      <c r="C2106">
        <v>2226</v>
      </c>
      <c r="D2106" t="s">
        <v>7</v>
      </c>
      <c r="E2106" t="str">
        <f>IF(june[[#This Row],[ShiftCounter]]&gt;0, "Running", "Down")</f>
        <v>Running</v>
      </c>
    </row>
    <row r="2107" spans="1:5" x14ac:dyDescent="0.25">
      <c r="A2107" s="8">
        <v>44731</v>
      </c>
      <c r="B2107" t="s">
        <v>16</v>
      </c>
      <c r="C2107">
        <v>2141</v>
      </c>
      <c r="D2107" t="s">
        <v>8</v>
      </c>
      <c r="E2107" t="str">
        <f>IF(june[[#This Row],[ShiftCounter]]&gt;0, "Running", "Down")</f>
        <v>Running</v>
      </c>
    </row>
    <row r="2108" spans="1:5" x14ac:dyDescent="0.25">
      <c r="A2108" s="8">
        <v>44731</v>
      </c>
      <c r="B2108" t="s">
        <v>17</v>
      </c>
      <c r="C2108">
        <v>2235</v>
      </c>
      <c r="D2108" t="s">
        <v>6</v>
      </c>
      <c r="E2108" t="str">
        <f>IF(june[[#This Row],[ShiftCounter]]&gt;0, "Running", "Down")</f>
        <v>Running</v>
      </c>
    </row>
    <row r="2109" spans="1:5" x14ac:dyDescent="0.25">
      <c r="A2109" s="8">
        <v>44731</v>
      </c>
      <c r="B2109" t="s">
        <v>17</v>
      </c>
      <c r="C2109">
        <v>2150</v>
      </c>
      <c r="D2109" t="s">
        <v>7</v>
      </c>
      <c r="E2109" t="str">
        <f>IF(june[[#This Row],[ShiftCounter]]&gt;0, "Running", "Down")</f>
        <v>Running</v>
      </c>
    </row>
    <row r="2110" spans="1:5" x14ac:dyDescent="0.25">
      <c r="A2110" s="8">
        <v>44731</v>
      </c>
      <c r="B2110" t="s">
        <v>17</v>
      </c>
      <c r="C2110">
        <v>2228</v>
      </c>
      <c r="D2110" t="s">
        <v>8</v>
      </c>
      <c r="E2110" t="str">
        <f>IF(june[[#This Row],[ShiftCounter]]&gt;0, "Running", "Down")</f>
        <v>Running</v>
      </c>
    </row>
    <row r="2111" spans="1:5" x14ac:dyDescent="0.25">
      <c r="A2111" s="8">
        <v>44731</v>
      </c>
      <c r="B2111" t="s">
        <v>18</v>
      </c>
      <c r="C2111">
        <v>2205</v>
      </c>
      <c r="D2111" t="s">
        <v>6</v>
      </c>
      <c r="E2111" t="str">
        <f>IF(june[[#This Row],[ShiftCounter]]&gt;0, "Running", "Down")</f>
        <v>Running</v>
      </c>
    </row>
    <row r="2112" spans="1:5" x14ac:dyDescent="0.25">
      <c r="A2112" s="8">
        <v>44731</v>
      </c>
      <c r="B2112" t="s">
        <v>18</v>
      </c>
      <c r="C2112">
        <v>2277</v>
      </c>
      <c r="D2112" t="s">
        <v>7</v>
      </c>
      <c r="E2112" t="str">
        <f>IF(june[[#This Row],[ShiftCounter]]&gt;0, "Running", "Down")</f>
        <v>Running</v>
      </c>
    </row>
    <row r="2113" spans="1:5" x14ac:dyDescent="0.25">
      <c r="A2113" s="8">
        <v>44731</v>
      </c>
      <c r="B2113" t="s">
        <v>18</v>
      </c>
      <c r="C2113">
        <v>2228</v>
      </c>
      <c r="D2113" t="s">
        <v>8</v>
      </c>
      <c r="E2113" t="str">
        <f>IF(june[[#This Row],[ShiftCounter]]&gt;0, "Running", "Down")</f>
        <v>Running</v>
      </c>
    </row>
    <row r="2114" spans="1:5" x14ac:dyDescent="0.25">
      <c r="A2114" s="8">
        <v>44731</v>
      </c>
      <c r="B2114" t="s">
        <v>38</v>
      </c>
      <c r="C2114">
        <v>2159</v>
      </c>
      <c r="D2114" t="s">
        <v>6</v>
      </c>
      <c r="E2114" t="str">
        <f>IF(june[[#This Row],[ShiftCounter]]&gt;0, "Running", "Down")</f>
        <v>Running</v>
      </c>
    </row>
    <row r="2115" spans="1:5" x14ac:dyDescent="0.25">
      <c r="A2115" s="8">
        <v>44731</v>
      </c>
      <c r="B2115" t="s">
        <v>38</v>
      </c>
      <c r="C2115">
        <v>2190</v>
      </c>
      <c r="D2115" t="s">
        <v>7</v>
      </c>
      <c r="E2115" t="str">
        <f>IF(june[[#This Row],[ShiftCounter]]&gt;0, "Running", "Down")</f>
        <v>Running</v>
      </c>
    </row>
    <row r="2116" spans="1:5" x14ac:dyDescent="0.25">
      <c r="A2116" s="8">
        <v>44731</v>
      </c>
      <c r="B2116" t="s">
        <v>38</v>
      </c>
      <c r="C2116">
        <v>2300</v>
      </c>
      <c r="D2116" t="s">
        <v>8</v>
      </c>
      <c r="E2116" t="str">
        <f>IF(june[[#This Row],[ShiftCounter]]&gt;0, "Running", "Down")</f>
        <v>Running</v>
      </c>
    </row>
    <row r="2117" spans="1:5" x14ac:dyDescent="0.25">
      <c r="A2117" s="8">
        <v>44731</v>
      </c>
      <c r="B2117" t="s">
        <v>20</v>
      </c>
      <c r="C2117">
        <v>1874</v>
      </c>
      <c r="D2117" t="s">
        <v>6</v>
      </c>
      <c r="E2117" t="str">
        <f>IF(june[[#This Row],[ShiftCounter]]&gt;0, "Running", "Down")</f>
        <v>Running</v>
      </c>
    </row>
    <row r="2118" spans="1:5" x14ac:dyDescent="0.25">
      <c r="A2118" s="8">
        <v>44731</v>
      </c>
      <c r="B2118" t="s">
        <v>20</v>
      </c>
      <c r="C2118">
        <v>1808</v>
      </c>
      <c r="D2118" t="s">
        <v>7</v>
      </c>
      <c r="E2118" t="str">
        <f>IF(june[[#This Row],[ShiftCounter]]&gt;0, "Running", "Down")</f>
        <v>Running</v>
      </c>
    </row>
    <row r="2119" spans="1:5" x14ac:dyDescent="0.25">
      <c r="A2119" s="8">
        <v>44731</v>
      </c>
      <c r="B2119" t="s">
        <v>20</v>
      </c>
      <c r="C2119">
        <v>1899</v>
      </c>
      <c r="D2119" t="s">
        <v>8</v>
      </c>
      <c r="E2119" t="str">
        <f>IF(june[[#This Row],[ShiftCounter]]&gt;0, "Running", "Down")</f>
        <v>Running</v>
      </c>
    </row>
    <row r="2120" spans="1:5" x14ac:dyDescent="0.25">
      <c r="A2120" s="8">
        <v>44731</v>
      </c>
      <c r="B2120" t="s">
        <v>21</v>
      </c>
      <c r="C2120">
        <v>1970</v>
      </c>
      <c r="D2120" t="s">
        <v>6</v>
      </c>
      <c r="E2120" t="str">
        <f>IF(june[[#This Row],[ShiftCounter]]&gt;0, "Running", "Down")</f>
        <v>Running</v>
      </c>
    </row>
    <row r="2121" spans="1:5" x14ac:dyDescent="0.25">
      <c r="A2121" s="8">
        <v>44731</v>
      </c>
      <c r="B2121" t="s">
        <v>21</v>
      </c>
      <c r="C2121">
        <v>1959</v>
      </c>
      <c r="D2121" t="s">
        <v>7</v>
      </c>
      <c r="E2121" t="str">
        <f>IF(june[[#This Row],[ShiftCounter]]&gt;0, "Running", "Down")</f>
        <v>Running</v>
      </c>
    </row>
    <row r="2122" spans="1:5" x14ac:dyDescent="0.25">
      <c r="A2122" s="8">
        <v>44731</v>
      </c>
      <c r="B2122" t="s">
        <v>21</v>
      </c>
      <c r="C2122">
        <v>1988</v>
      </c>
      <c r="D2122" t="s">
        <v>8</v>
      </c>
      <c r="E2122" t="str">
        <f>IF(june[[#This Row],[ShiftCounter]]&gt;0, "Running", "Down")</f>
        <v>Running</v>
      </c>
    </row>
    <row r="2123" spans="1:5" x14ac:dyDescent="0.25">
      <c r="A2123" s="8">
        <v>44731</v>
      </c>
      <c r="B2123" t="s">
        <v>22</v>
      </c>
      <c r="C2123">
        <v>2466</v>
      </c>
      <c r="D2123" t="s">
        <v>6</v>
      </c>
      <c r="E2123" t="str">
        <f>IF(june[[#This Row],[ShiftCounter]]&gt;0, "Running", "Down")</f>
        <v>Running</v>
      </c>
    </row>
    <row r="2124" spans="1:5" x14ac:dyDescent="0.25">
      <c r="A2124" s="8">
        <v>44731</v>
      </c>
      <c r="B2124" t="s">
        <v>22</v>
      </c>
      <c r="C2124">
        <v>2406</v>
      </c>
      <c r="D2124" t="s">
        <v>7</v>
      </c>
      <c r="E2124" t="str">
        <f>IF(june[[#This Row],[ShiftCounter]]&gt;0, "Running", "Down")</f>
        <v>Running</v>
      </c>
    </row>
    <row r="2125" spans="1:5" x14ac:dyDescent="0.25">
      <c r="A2125" s="8">
        <v>44731</v>
      </c>
      <c r="B2125" t="s">
        <v>22</v>
      </c>
      <c r="C2125">
        <v>2002</v>
      </c>
      <c r="D2125" t="s">
        <v>8</v>
      </c>
      <c r="E2125" t="str">
        <f>IF(june[[#This Row],[ShiftCounter]]&gt;0, "Running", "Down")</f>
        <v>Running</v>
      </c>
    </row>
    <row r="2126" spans="1:5" x14ac:dyDescent="0.25">
      <c r="A2126" s="8">
        <v>44731</v>
      </c>
      <c r="B2126" t="s">
        <v>23</v>
      </c>
      <c r="C2126">
        <v>2178</v>
      </c>
      <c r="D2126" t="s">
        <v>6</v>
      </c>
      <c r="E2126" t="str">
        <f>IF(june[[#This Row],[ShiftCounter]]&gt;0, "Running", "Down")</f>
        <v>Running</v>
      </c>
    </row>
    <row r="2127" spans="1:5" x14ac:dyDescent="0.25">
      <c r="A2127" s="8">
        <v>44731</v>
      </c>
      <c r="B2127" t="s">
        <v>23</v>
      </c>
      <c r="C2127">
        <v>2321</v>
      </c>
      <c r="D2127" t="s">
        <v>7</v>
      </c>
      <c r="E2127" t="str">
        <f>IF(june[[#This Row],[ShiftCounter]]&gt;0, "Running", "Down")</f>
        <v>Running</v>
      </c>
    </row>
    <row r="2128" spans="1:5" x14ac:dyDescent="0.25">
      <c r="A2128" s="8">
        <v>44731</v>
      </c>
      <c r="B2128" t="s">
        <v>23</v>
      </c>
      <c r="C2128">
        <v>2370</v>
      </c>
      <c r="D2128" t="s">
        <v>8</v>
      </c>
      <c r="E2128" t="str">
        <f>IF(june[[#This Row],[ShiftCounter]]&gt;0, "Running", "Down")</f>
        <v>Running</v>
      </c>
    </row>
    <row r="2129" spans="1:5" x14ac:dyDescent="0.25">
      <c r="A2129" s="8">
        <v>44731</v>
      </c>
      <c r="B2129" t="s">
        <v>24</v>
      </c>
      <c r="C2129">
        <v>2023</v>
      </c>
      <c r="D2129" t="s">
        <v>6</v>
      </c>
      <c r="E2129" t="str">
        <f>IF(june[[#This Row],[ShiftCounter]]&gt;0, "Running", "Down")</f>
        <v>Running</v>
      </c>
    </row>
    <row r="2130" spans="1:5" x14ac:dyDescent="0.25">
      <c r="A2130" s="8">
        <v>44731</v>
      </c>
      <c r="B2130" t="s">
        <v>24</v>
      </c>
      <c r="C2130">
        <v>1866</v>
      </c>
      <c r="D2130" t="s">
        <v>7</v>
      </c>
      <c r="E2130" t="str">
        <f>IF(june[[#This Row],[ShiftCounter]]&gt;0, "Running", "Down")</f>
        <v>Running</v>
      </c>
    </row>
    <row r="2131" spans="1:5" x14ac:dyDescent="0.25">
      <c r="A2131" s="8">
        <v>44731</v>
      </c>
      <c r="B2131" t="s">
        <v>24</v>
      </c>
      <c r="C2131">
        <v>2015</v>
      </c>
      <c r="D2131" t="s">
        <v>8</v>
      </c>
      <c r="E2131" t="str">
        <f>IF(june[[#This Row],[ShiftCounter]]&gt;0, "Running", "Down")</f>
        <v>Running</v>
      </c>
    </row>
    <row r="2132" spans="1:5" x14ac:dyDescent="0.25">
      <c r="A2132" s="8">
        <v>44731</v>
      </c>
      <c r="B2132" t="s">
        <v>25</v>
      </c>
      <c r="C2132">
        <v>1984</v>
      </c>
      <c r="D2132" t="s">
        <v>6</v>
      </c>
      <c r="E2132" t="str">
        <f>IF(june[[#This Row],[ShiftCounter]]&gt;0, "Running", "Down")</f>
        <v>Running</v>
      </c>
    </row>
    <row r="2133" spans="1:5" x14ac:dyDescent="0.25">
      <c r="A2133" s="8">
        <v>44731</v>
      </c>
      <c r="B2133" t="s">
        <v>25</v>
      </c>
      <c r="C2133">
        <v>2134</v>
      </c>
      <c r="D2133" t="s">
        <v>7</v>
      </c>
      <c r="E2133" t="str">
        <f>IF(june[[#This Row],[ShiftCounter]]&gt;0, "Running", "Down")</f>
        <v>Running</v>
      </c>
    </row>
    <row r="2134" spans="1:5" x14ac:dyDescent="0.25">
      <c r="A2134" s="8">
        <v>44731</v>
      </c>
      <c r="B2134" t="s">
        <v>25</v>
      </c>
      <c r="C2134">
        <v>2110</v>
      </c>
      <c r="D2134" t="s">
        <v>8</v>
      </c>
      <c r="E2134" t="str">
        <f>IF(june[[#This Row],[ShiftCounter]]&gt;0, "Running", "Down")</f>
        <v>Running</v>
      </c>
    </row>
    <row r="2135" spans="1:5" x14ac:dyDescent="0.25">
      <c r="A2135" s="8">
        <v>44731</v>
      </c>
      <c r="B2135" t="s">
        <v>74</v>
      </c>
      <c r="C2135">
        <v>1953</v>
      </c>
      <c r="D2135" t="s">
        <v>6</v>
      </c>
      <c r="E2135" t="str">
        <f>IF(june[[#This Row],[ShiftCounter]]&gt;0, "Running", "Down")</f>
        <v>Running</v>
      </c>
    </row>
    <row r="2136" spans="1:5" x14ac:dyDescent="0.25">
      <c r="A2136" s="8">
        <v>44731</v>
      </c>
      <c r="B2136" t="s">
        <v>74</v>
      </c>
      <c r="C2136">
        <v>1873</v>
      </c>
      <c r="D2136" t="s">
        <v>7</v>
      </c>
      <c r="E2136" t="str">
        <f>IF(june[[#This Row],[ShiftCounter]]&gt;0, "Running", "Down")</f>
        <v>Running</v>
      </c>
    </row>
    <row r="2137" spans="1:5" x14ac:dyDescent="0.25">
      <c r="A2137" s="8">
        <v>44731</v>
      </c>
      <c r="B2137" t="s">
        <v>74</v>
      </c>
      <c r="C2137">
        <v>1974</v>
      </c>
      <c r="D2137" t="s">
        <v>8</v>
      </c>
      <c r="E2137" t="str">
        <f>IF(june[[#This Row],[ShiftCounter]]&gt;0, "Running", "Down")</f>
        <v>Running</v>
      </c>
    </row>
    <row r="2138" spans="1:5" x14ac:dyDescent="0.25">
      <c r="A2138" s="8">
        <v>44731</v>
      </c>
      <c r="B2138" t="s">
        <v>26</v>
      </c>
      <c r="C2138">
        <v>1975</v>
      </c>
      <c r="D2138" t="s">
        <v>6</v>
      </c>
      <c r="E2138" t="str">
        <f>IF(june[[#This Row],[ShiftCounter]]&gt;0, "Running", "Down")</f>
        <v>Running</v>
      </c>
    </row>
    <row r="2139" spans="1:5" x14ac:dyDescent="0.25">
      <c r="A2139" s="8">
        <v>44731</v>
      </c>
      <c r="B2139" t="s">
        <v>26</v>
      </c>
      <c r="C2139">
        <v>1955</v>
      </c>
      <c r="D2139" t="s">
        <v>7</v>
      </c>
      <c r="E2139" t="str">
        <f>IF(june[[#This Row],[ShiftCounter]]&gt;0, "Running", "Down")</f>
        <v>Running</v>
      </c>
    </row>
    <row r="2140" spans="1:5" x14ac:dyDescent="0.25">
      <c r="A2140" s="8">
        <v>44731</v>
      </c>
      <c r="B2140" t="s">
        <v>26</v>
      </c>
      <c r="C2140">
        <v>2001</v>
      </c>
      <c r="D2140" t="s">
        <v>8</v>
      </c>
      <c r="E2140" t="str">
        <f>IF(june[[#This Row],[ShiftCounter]]&gt;0, "Running", "Down")</f>
        <v>Running</v>
      </c>
    </row>
    <row r="2141" spans="1:5" x14ac:dyDescent="0.25">
      <c r="A2141" s="8">
        <v>44731</v>
      </c>
      <c r="B2141" t="s">
        <v>27</v>
      </c>
      <c r="C2141">
        <v>2258</v>
      </c>
      <c r="D2141" t="s">
        <v>6</v>
      </c>
      <c r="E2141" t="str">
        <f>IF(june[[#This Row],[ShiftCounter]]&gt;0, "Running", "Down")</f>
        <v>Running</v>
      </c>
    </row>
    <row r="2142" spans="1:5" x14ac:dyDescent="0.25">
      <c r="A2142" s="8">
        <v>44731</v>
      </c>
      <c r="B2142" t="s">
        <v>27</v>
      </c>
      <c r="C2142">
        <v>2260</v>
      </c>
      <c r="D2142" t="s">
        <v>7</v>
      </c>
      <c r="E2142" t="str">
        <f>IF(june[[#This Row],[ShiftCounter]]&gt;0, "Running", "Down")</f>
        <v>Running</v>
      </c>
    </row>
    <row r="2143" spans="1:5" x14ac:dyDescent="0.25">
      <c r="A2143" s="8">
        <v>44731</v>
      </c>
      <c r="B2143" t="s">
        <v>27</v>
      </c>
      <c r="C2143">
        <v>2309</v>
      </c>
      <c r="D2143" t="s">
        <v>8</v>
      </c>
      <c r="E2143" t="str">
        <f>IF(june[[#This Row],[ShiftCounter]]&gt;0, "Running", "Down")</f>
        <v>Running</v>
      </c>
    </row>
    <row r="2144" spans="1:5" x14ac:dyDescent="0.25">
      <c r="A2144" s="8">
        <v>44731</v>
      </c>
      <c r="B2144" t="s">
        <v>28</v>
      </c>
      <c r="C2144">
        <v>2063</v>
      </c>
      <c r="D2144" t="s">
        <v>6</v>
      </c>
      <c r="E2144" t="str">
        <f>IF(june[[#This Row],[ShiftCounter]]&gt;0, "Running", "Down")</f>
        <v>Running</v>
      </c>
    </row>
    <row r="2145" spans="1:5" x14ac:dyDescent="0.25">
      <c r="A2145" s="8">
        <v>44731</v>
      </c>
      <c r="B2145" t="s">
        <v>28</v>
      </c>
      <c r="C2145">
        <v>2038</v>
      </c>
      <c r="D2145" t="s">
        <v>7</v>
      </c>
      <c r="E2145" t="str">
        <f>IF(june[[#This Row],[ShiftCounter]]&gt;0, "Running", "Down")</f>
        <v>Running</v>
      </c>
    </row>
    <row r="2146" spans="1:5" x14ac:dyDescent="0.25">
      <c r="A2146" s="8">
        <v>44731</v>
      </c>
      <c r="B2146" t="s">
        <v>28</v>
      </c>
      <c r="C2146">
        <v>2192</v>
      </c>
      <c r="D2146" t="s">
        <v>8</v>
      </c>
      <c r="E2146" t="str">
        <f>IF(june[[#This Row],[ShiftCounter]]&gt;0, "Running", "Down")</f>
        <v>Running</v>
      </c>
    </row>
    <row r="2147" spans="1:5" x14ac:dyDescent="0.25">
      <c r="A2147" s="8">
        <v>44731</v>
      </c>
      <c r="B2147" t="s">
        <v>29</v>
      </c>
      <c r="C2147">
        <v>1906</v>
      </c>
      <c r="D2147" t="s">
        <v>6</v>
      </c>
      <c r="E2147" t="str">
        <f>IF(june[[#This Row],[ShiftCounter]]&gt;0, "Running", "Down")</f>
        <v>Running</v>
      </c>
    </row>
    <row r="2148" spans="1:5" x14ac:dyDescent="0.25">
      <c r="A2148" s="8">
        <v>44731</v>
      </c>
      <c r="B2148" t="s">
        <v>29</v>
      </c>
      <c r="C2148">
        <v>2086</v>
      </c>
      <c r="D2148" t="s">
        <v>7</v>
      </c>
      <c r="E2148" t="str">
        <f>IF(june[[#This Row],[ShiftCounter]]&gt;0, "Running", "Down")</f>
        <v>Running</v>
      </c>
    </row>
    <row r="2149" spans="1:5" x14ac:dyDescent="0.25">
      <c r="A2149" s="8">
        <v>44731</v>
      </c>
      <c r="B2149" t="s">
        <v>29</v>
      </c>
      <c r="C2149">
        <v>2137</v>
      </c>
      <c r="D2149" t="s">
        <v>8</v>
      </c>
      <c r="E2149" t="str">
        <f>IF(june[[#This Row],[ShiftCounter]]&gt;0, "Running", "Down")</f>
        <v>Running</v>
      </c>
    </row>
    <row r="2150" spans="1:5" x14ac:dyDescent="0.25">
      <c r="A2150" s="8">
        <v>44731</v>
      </c>
      <c r="B2150" t="s">
        <v>30</v>
      </c>
      <c r="C2150">
        <v>2170</v>
      </c>
      <c r="D2150" t="s">
        <v>6</v>
      </c>
      <c r="E2150" t="str">
        <f>IF(june[[#This Row],[ShiftCounter]]&gt;0, "Running", "Down")</f>
        <v>Running</v>
      </c>
    </row>
    <row r="2151" spans="1:5" x14ac:dyDescent="0.25">
      <c r="A2151" s="8">
        <v>44731</v>
      </c>
      <c r="B2151" t="s">
        <v>30</v>
      </c>
      <c r="C2151">
        <v>2150</v>
      </c>
      <c r="D2151" t="s">
        <v>7</v>
      </c>
      <c r="E2151" t="str">
        <f>IF(june[[#This Row],[ShiftCounter]]&gt;0, "Running", "Down")</f>
        <v>Running</v>
      </c>
    </row>
    <row r="2152" spans="1:5" x14ac:dyDescent="0.25">
      <c r="A2152" s="8">
        <v>44731</v>
      </c>
      <c r="B2152" t="s">
        <v>30</v>
      </c>
      <c r="C2152">
        <v>2197</v>
      </c>
      <c r="D2152" t="s">
        <v>8</v>
      </c>
      <c r="E2152" t="str">
        <f>IF(june[[#This Row],[ShiftCounter]]&gt;0, "Running", "Down")</f>
        <v>Running</v>
      </c>
    </row>
    <row r="2153" spans="1:5" x14ac:dyDescent="0.25">
      <c r="A2153" s="8">
        <v>44731</v>
      </c>
      <c r="B2153" t="s">
        <v>31</v>
      </c>
      <c r="C2153">
        <v>1831</v>
      </c>
      <c r="D2153" t="s">
        <v>6</v>
      </c>
      <c r="E2153" t="str">
        <f>IF(june[[#This Row],[ShiftCounter]]&gt;0, "Running", "Down")</f>
        <v>Running</v>
      </c>
    </row>
    <row r="2154" spans="1:5" x14ac:dyDescent="0.25">
      <c r="A2154" s="8">
        <v>44731</v>
      </c>
      <c r="B2154" t="s">
        <v>31</v>
      </c>
      <c r="C2154">
        <v>1999</v>
      </c>
      <c r="D2154" t="s">
        <v>7</v>
      </c>
      <c r="E2154" t="str">
        <f>IF(june[[#This Row],[ShiftCounter]]&gt;0, "Running", "Down")</f>
        <v>Running</v>
      </c>
    </row>
    <row r="2155" spans="1:5" x14ac:dyDescent="0.25">
      <c r="A2155" s="8">
        <v>44731</v>
      </c>
      <c r="B2155" t="s">
        <v>31</v>
      </c>
      <c r="C2155">
        <v>2009</v>
      </c>
      <c r="D2155" t="s">
        <v>8</v>
      </c>
      <c r="E2155" t="str">
        <f>IF(june[[#This Row],[ShiftCounter]]&gt;0, "Running", "Down")</f>
        <v>Running</v>
      </c>
    </row>
    <row r="2156" spans="1:5" x14ac:dyDescent="0.25">
      <c r="A2156" s="8">
        <v>44731</v>
      </c>
      <c r="B2156" t="s">
        <v>32</v>
      </c>
      <c r="C2156">
        <v>2185</v>
      </c>
      <c r="D2156" t="s">
        <v>6</v>
      </c>
      <c r="E2156" t="str">
        <f>IF(june[[#This Row],[ShiftCounter]]&gt;0, "Running", "Down")</f>
        <v>Running</v>
      </c>
    </row>
    <row r="2157" spans="1:5" x14ac:dyDescent="0.25">
      <c r="A2157" s="8">
        <v>44731</v>
      </c>
      <c r="B2157" t="s">
        <v>32</v>
      </c>
      <c r="C2157">
        <v>2409</v>
      </c>
      <c r="D2157" t="s">
        <v>7</v>
      </c>
      <c r="E2157" t="str">
        <f>IF(june[[#This Row],[ShiftCounter]]&gt;0, "Running", "Down")</f>
        <v>Running</v>
      </c>
    </row>
    <row r="2158" spans="1:5" x14ac:dyDescent="0.25">
      <c r="A2158" s="8">
        <v>44731</v>
      </c>
      <c r="B2158" t="s">
        <v>32</v>
      </c>
      <c r="C2158">
        <v>2462</v>
      </c>
      <c r="D2158" t="s">
        <v>8</v>
      </c>
      <c r="E2158" t="str">
        <f>IF(june[[#This Row],[ShiftCounter]]&gt;0, "Running", "Down")</f>
        <v>Running</v>
      </c>
    </row>
    <row r="2159" spans="1:5" x14ac:dyDescent="0.25">
      <c r="A2159" s="8">
        <v>44731</v>
      </c>
      <c r="B2159" t="s">
        <v>67</v>
      </c>
      <c r="C2159">
        <v>2016</v>
      </c>
      <c r="D2159" t="s">
        <v>6</v>
      </c>
      <c r="E2159" t="str">
        <f>IF(june[[#This Row],[ShiftCounter]]&gt;0, "Running", "Down")</f>
        <v>Running</v>
      </c>
    </row>
    <row r="2160" spans="1:5" x14ac:dyDescent="0.25">
      <c r="A2160" s="8">
        <v>44731</v>
      </c>
      <c r="B2160" t="s">
        <v>67</v>
      </c>
      <c r="C2160">
        <v>2048</v>
      </c>
      <c r="D2160" t="s">
        <v>7</v>
      </c>
      <c r="E2160" t="str">
        <f>IF(june[[#This Row],[ShiftCounter]]&gt;0, "Running", "Down")</f>
        <v>Running</v>
      </c>
    </row>
    <row r="2161" spans="1:5" x14ac:dyDescent="0.25">
      <c r="A2161" s="8">
        <v>44731</v>
      </c>
      <c r="B2161" t="s">
        <v>67</v>
      </c>
      <c r="C2161">
        <v>2072</v>
      </c>
      <c r="D2161" t="s">
        <v>8</v>
      </c>
      <c r="E2161" t="str">
        <f>IF(june[[#This Row],[ShiftCounter]]&gt;0, "Running", "Down")</f>
        <v>Running</v>
      </c>
    </row>
    <row r="2162" spans="1:5" x14ac:dyDescent="0.25">
      <c r="A2162" s="8">
        <v>44731</v>
      </c>
      <c r="B2162" t="s">
        <v>33</v>
      </c>
      <c r="C2162">
        <v>2374</v>
      </c>
      <c r="D2162" t="s">
        <v>6</v>
      </c>
      <c r="E2162" t="str">
        <f>IF(june[[#This Row],[ShiftCounter]]&gt;0, "Running", "Down")</f>
        <v>Running</v>
      </c>
    </row>
    <row r="2163" spans="1:5" x14ac:dyDescent="0.25">
      <c r="A2163" s="8">
        <v>44731</v>
      </c>
      <c r="B2163" t="s">
        <v>33</v>
      </c>
      <c r="C2163">
        <v>2354</v>
      </c>
      <c r="D2163" t="s">
        <v>7</v>
      </c>
      <c r="E2163" t="str">
        <f>IF(june[[#This Row],[ShiftCounter]]&gt;0, "Running", "Down")</f>
        <v>Running</v>
      </c>
    </row>
    <row r="2164" spans="1:5" x14ac:dyDescent="0.25">
      <c r="A2164" s="8">
        <v>44731</v>
      </c>
      <c r="B2164" t="s">
        <v>33</v>
      </c>
      <c r="C2164">
        <v>2404</v>
      </c>
      <c r="D2164" t="s">
        <v>8</v>
      </c>
      <c r="E2164" t="str">
        <f>IF(june[[#This Row],[ShiftCounter]]&gt;0, "Running", "Down")</f>
        <v>Running</v>
      </c>
    </row>
    <row r="2165" spans="1:5" x14ac:dyDescent="0.25">
      <c r="A2165" s="8">
        <v>44731</v>
      </c>
      <c r="B2165" t="s">
        <v>34</v>
      </c>
      <c r="C2165">
        <v>1908</v>
      </c>
      <c r="D2165" t="s">
        <v>6</v>
      </c>
      <c r="E2165" t="str">
        <f>IF(june[[#This Row],[ShiftCounter]]&gt;0, "Running", "Down")</f>
        <v>Running</v>
      </c>
    </row>
    <row r="2166" spans="1:5" x14ac:dyDescent="0.25">
      <c r="A2166" s="8">
        <v>44731</v>
      </c>
      <c r="B2166" t="s">
        <v>34</v>
      </c>
      <c r="C2166">
        <v>1916</v>
      </c>
      <c r="D2166" t="s">
        <v>7</v>
      </c>
      <c r="E2166" t="str">
        <f>IF(june[[#This Row],[ShiftCounter]]&gt;0, "Running", "Down")</f>
        <v>Running</v>
      </c>
    </row>
    <row r="2167" spans="1:5" x14ac:dyDescent="0.25">
      <c r="A2167" s="8">
        <v>44731</v>
      </c>
      <c r="B2167" t="s">
        <v>34</v>
      </c>
      <c r="C2167">
        <v>1957</v>
      </c>
      <c r="D2167" t="s">
        <v>8</v>
      </c>
      <c r="E2167" t="str">
        <f>IF(june[[#This Row],[ShiftCounter]]&gt;0, "Running", "Down")</f>
        <v>Running</v>
      </c>
    </row>
    <row r="2168" spans="1:5" x14ac:dyDescent="0.25">
      <c r="A2168" s="8">
        <v>44731</v>
      </c>
      <c r="B2168" t="s">
        <v>37</v>
      </c>
      <c r="C2168">
        <v>2386</v>
      </c>
      <c r="D2168" t="s">
        <v>6</v>
      </c>
      <c r="E2168" t="str">
        <f>IF(june[[#This Row],[ShiftCounter]]&gt;0, "Running", "Down")</f>
        <v>Running</v>
      </c>
    </row>
    <row r="2169" spans="1:5" x14ac:dyDescent="0.25">
      <c r="A2169" s="8">
        <v>44731</v>
      </c>
      <c r="B2169" t="s">
        <v>37</v>
      </c>
      <c r="C2169">
        <v>1994</v>
      </c>
      <c r="D2169" t="s">
        <v>7</v>
      </c>
      <c r="E2169" t="str">
        <f>IF(june[[#This Row],[ShiftCounter]]&gt;0, "Running", "Down")</f>
        <v>Running</v>
      </c>
    </row>
    <row r="2170" spans="1:5" x14ac:dyDescent="0.25">
      <c r="A2170" s="8">
        <v>44731</v>
      </c>
      <c r="B2170" t="s">
        <v>37</v>
      </c>
      <c r="C2170">
        <v>1884</v>
      </c>
      <c r="D2170" t="s">
        <v>8</v>
      </c>
      <c r="E2170" t="str">
        <f>IF(june[[#This Row],[ShiftCounter]]&gt;0, "Running", "Down")</f>
        <v>Running</v>
      </c>
    </row>
    <row r="2171" spans="1:5" x14ac:dyDescent="0.25">
      <c r="A2171" s="14">
        <v>44732</v>
      </c>
      <c r="B2171" s="13" t="s">
        <v>136</v>
      </c>
      <c r="C2171" s="13">
        <v>0</v>
      </c>
      <c r="D2171" s="13" t="s">
        <v>6</v>
      </c>
      <c r="E2171" s="12" t="str">
        <f>IF(june[[#This Row],[ShiftCounter]]&gt;0, "Running", "Down")</f>
        <v>Down</v>
      </c>
    </row>
    <row r="2172" spans="1:5" x14ac:dyDescent="0.25">
      <c r="A2172" s="14">
        <v>44732</v>
      </c>
      <c r="B2172" s="13" t="s">
        <v>136</v>
      </c>
      <c r="C2172" s="13">
        <v>0</v>
      </c>
      <c r="D2172" s="13" t="s">
        <v>7</v>
      </c>
      <c r="E2172" s="12" t="str">
        <f>IF(june[[#This Row],[ShiftCounter]]&gt;0, "Running", "Down")</f>
        <v>Down</v>
      </c>
    </row>
    <row r="2173" spans="1:5" x14ac:dyDescent="0.25">
      <c r="A2173" s="14">
        <v>44732</v>
      </c>
      <c r="B2173" s="13" t="s">
        <v>136</v>
      </c>
      <c r="C2173" s="13">
        <v>0</v>
      </c>
      <c r="D2173" s="13" t="s">
        <v>8</v>
      </c>
      <c r="E2173" s="12" t="str">
        <f>IF(june[[#This Row],[ShiftCounter]]&gt;0, "Running", "Down")</f>
        <v>Down</v>
      </c>
    </row>
    <row r="2174" spans="1:5" x14ac:dyDescent="0.25">
      <c r="A2174" s="14">
        <v>44732</v>
      </c>
      <c r="B2174" s="13" t="s">
        <v>135</v>
      </c>
      <c r="C2174" s="13">
        <v>2124</v>
      </c>
      <c r="D2174" s="13" t="s">
        <v>6</v>
      </c>
      <c r="E2174" s="12" t="str">
        <f>IF(june[[#This Row],[ShiftCounter]]&gt;0, "Running", "Down")</f>
        <v>Running</v>
      </c>
    </row>
    <row r="2175" spans="1:5" x14ac:dyDescent="0.25">
      <c r="A2175" s="14">
        <v>44732</v>
      </c>
      <c r="B2175" s="13" t="s">
        <v>135</v>
      </c>
      <c r="C2175" s="13">
        <v>2307</v>
      </c>
      <c r="D2175" s="13" t="s">
        <v>7</v>
      </c>
      <c r="E2175" s="12" t="str">
        <f>IF(june[[#This Row],[ShiftCounter]]&gt;0, "Running", "Down")</f>
        <v>Running</v>
      </c>
    </row>
    <row r="2176" spans="1:5" x14ac:dyDescent="0.25">
      <c r="A2176" s="14">
        <v>44732</v>
      </c>
      <c r="B2176" s="13" t="s">
        <v>135</v>
      </c>
      <c r="C2176" s="13">
        <v>2017</v>
      </c>
      <c r="D2176" s="13" t="s">
        <v>8</v>
      </c>
      <c r="E2176" s="12" t="str">
        <f>IF(june[[#This Row],[ShiftCounter]]&gt;0, "Running", "Down")</f>
        <v>Running</v>
      </c>
    </row>
    <row r="2177" spans="1:5" x14ac:dyDescent="0.25">
      <c r="A2177" s="14">
        <v>44732</v>
      </c>
      <c r="B2177" s="13" t="s">
        <v>134</v>
      </c>
      <c r="C2177" s="13">
        <v>0</v>
      </c>
      <c r="D2177" s="13" t="s">
        <v>6</v>
      </c>
      <c r="E2177" s="12" t="str">
        <f>IF(june[[#This Row],[ShiftCounter]]&gt;0, "Running", "Down")</f>
        <v>Down</v>
      </c>
    </row>
    <row r="2178" spans="1:5" x14ac:dyDescent="0.25">
      <c r="A2178" s="14">
        <v>44732</v>
      </c>
      <c r="B2178" s="13" t="s">
        <v>134</v>
      </c>
      <c r="C2178" s="13">
        <v>0</v>
      </c>
      <c r="D2178" s="13" t="s">
        <v>7</v>
      </c>
      <c r="E2178" s="12" t="str">
        <f>IF(june[[#This Row],[ShiftCounter]]&gt;0, "Running", "Down")</f>
        <v>Down</v>
      </c>
    </row>
    <row r="2179" spans="1:5" x14ac:dyDescent="0.25">
      <c r="A2179" s="14">
        <v>44732</v>
      </c>
      <c r="B2179" s="13" t="s">
        <v>134</v>
      </c>
      <c r="C2179" s="13">
        <v>0</v>
      </c>
      <c r="D2179" s="13" t="s">
        <v>8</v>
      </c>
      <c r="E2179" s="12" t="str">
        <f>IF(june[[#This Row],[ShiftCounter]]&gt;0, "Running", "Down")</f>
        <v>Down</v>
      </c>
    </row>
    <row r="2180" spans="1:5" x14ac:dyDescent="0.25">
      <c r="A2180" s="14">
        <v>44732</v>
      </c>
      <c r="B2180" s="13" t="s">
        <v>132</v>
      </c>
      <c r="C2180" s="13">
        <v>0</v>
      </c>
      <c r="D2180" s="13" t="s">
        <v>6</v>
      </c>
      <c r="E2180" s="12" t="str">
        <f>IF(june[[#This Row],[ShiftCounter]]&gt;0, "Running", "Down")</f>
        <v>Down</v>
      </c>
    </row>
    <row r="2181" spans="1:5" x14ac:dyDescent="0.25">
      <c r="A2181" s="14">
        <v>44732</v>
      </c>
      <c r="B2181" s="13" t="s">
        <v>132</v>
      </c>
      <c r="C2181" s="13">
        <v>0</v>
      </c>
      <c r="D2181" s="13" t="s">
        <v>7</v>
      </c>
      <c r="E2181" s="12" t="str">
        <f>IF(june[[#This Row],[ShiftCounter]]&gt;0, "Running", "Down")</f>
        <v>Down</v>
      </c>
    </row>
    <row r="2182" spans="1:5" x14ac:dyDescent="0.25">
      <c r="A2182" s="14">
        <v>44732</v>
      </c>
      <c r="B2182" s="13" t="s">
        <v>132</v>
      </c>
      <c r="C2182" s="13">
        <v>0</v>
      </c>
      <c r="D2182" s="13" t="s">
        <v>8</v>
      </c>
      <c r="E2182" s="12" t="str">
        <f>IF(june[[#This Row],[ShiftCounter]]&gt;0, "Running", "Down")</f>
        <v>Down</v>
      </c>
    </row>
    <row r="2183" spans="1:5" x14ac:dyDescent="0.25">
      <c r="A2183" s="14">
        <v>44732</v>
      </c>
      <c r="B2183" s="13" t="s">
        <v>131</v>
      </c>
      <c r="C2183" s="13">
        <v>0</v>
      </c>
      <c r="D2183" s="13" t="s">
        <v>6</v>
      </c>
      <c r="E2183" s="12" t="str">
        <f>IF(june[[#This Row],[ShiftCounter]]&gt;0, "Running", "Down")</f>
        <v>Down</v>
      </c>
    </row>
    <row r="2184" spans="1:5" x14ac:dyDescent="0.25">
      <c r="A2184" s="14">
        <v>44732</v>
      </c>
      <c r="B2184" s="13" t="s">
        <v>131</v>
      </c>
      <c r="C2184" s="13">
        <v>0</v>
      </c>
      <c r="D2184" s="13" t="s">
        <v>7</v>
      </c>
      <c r="E2184" s="12" t="str">
        <f>IF(june[[#This Row],[ShiftCounter]]&gt;0, "Running", "Down")</f>
        <v>Down</v>
      </c>
    </row>
    <row r="2185" spans="1:5" x14ac:dyDescent="0.25">
      <c r="A2185" s="14">
        <v>44732</v>
      </c>
      <c r="B2185" s="13" t="s">
        <v>131</v>
      </c>
      <c r="C2185" s="13">
        <v>0</v>
      </c>
      <c r="D2185" s="13" t="s">
        <v>8</v>
      </c>
      <c r="E2185" s="12" t="str">
        <f>IF(june[[#This Row],[ShiftCounter]]&gt;0, "Running", "Down")</f>
        <v>Down</v>
      </c>
    </row>
    <row r="2186" spans="1:5" x14ac:dyDescent="0.25">
      <c r="A2186" s="14">
        <v>44732</v>
      </c>
      <c r="B2186" s="13" t="s">
        <v>130</v>
      </c>
      <c r="C2186" s="13">
        <v>0</v>
      </c>
      <c r="D2186" s="13" t="s">
        <v>6</v>
      </c>
      <c r="E2186" s="12" t="str">
        <f>IF(june[[#This Row],[ShiftCounter]]&gt;0, "Running", "Down")</f>
        <v>Down</v>
      </c>
    </row>
    <row r="2187" spans="1:5" x14ac:dyDescent="0.25">
      <c r="A2187" s="14">
        <v>44732</v>
      </c>
      <c r="B2187" s="13" t="s">
        <v>130</v>
      </c>
      <c r="C2187" s="13">
        <v>0</v>
      </c>
      <c r="D2187" s="13" t="s">
        <v>7</v>
      </c>
      <c r="E2187" s="12" t="str">
        <f>IF(june[[#This Row],[ShiftCounter]]&gt;0, "Running", "Down")</f>
        <v>Down</v>
      </c>
    </row>
    <row r="2188" spans="1:5" x14ac:dyDescent="0.25">
      <c r="A2188" s="14">
        <v>44732</v>
      </c>
      <c r="B2188" s="13" t="s">
        <v>130</v>
      </c>
      <c r="C2188" s="13">
        <v>0</v>
      </c>
      <c r="D2188" s="13" t="s">
        <v>8</v>
      </c>
      <c r="E2188" s="12" t="str">
        <f>IF(june[[#This Row],[ShiftCounter]]&gt;0, "Running", "Down")</f>
        <v>Down</v>
      </c>
    </row>
    <row r="2189" spans="1:5" x14ac:dyDescent="0.25">
      <c r="A2189" s="14">
        <v>44732</v>
      </c>
      <c r="B2189" s="13" t="s">
        <v>128</v>
      </c>
      <c r="C2189" s="13">
        <v>0</v>
      </c>
      <c r="D2189" s="13" t="s">
        <v>6</v>
      </c>
      <c r="E2189" s="12" t="str">
        <f>IF(june[[#This Row],[ShiftCounter]]&gt;0, "Running", "Down")</f>
        <v>Down</v>
      </c>
    </row>
    <row r="2190" spans="1:5" x14ac:dyDescent="0.25">
      <c r="A2190" s="14">
        <v>44732</v>
      </c>
      <c r="B2190" s="13" t="s">
        <v>128</v>
      </c>
      <c r="C2190" s="13">
        <v>0</v>
      </c>
      <c r="D2190" s="13" t="s">
        <v>7</v>
      </c>
      <c r="E2190" s="12" t="str">
        <f>IF(june[[#This Row],[ShiftCounter]]&gt;0, "Running", "Down")</f>
        <v>Down</v>
      </c>
    </row>
    <row r="2191" spans="1:5" x14ac:dyDescent="0.25">
      <c r="A2191" s="14">
        <v>44732</v>
      </c>
      <c r="B2191" s="13" t="s">
        <v>128</v>
      </c>
      <c r="C2191" s="13">
        <v>0</v>
      </c>
      <c r="D2191" s="13" t="s">
        <v>8</v>
      </c>
      <c r="E2191" s="12" t="str">
        <f>IF(june[[#This Row],[ShiftCounter]]&gt;0, "Running", "Down")</f>
        <v>Down</v>
      </c>
    </row>
    <row r="2192" spans="1:5" x14ac:dyDescent="0.25">
      <c r="A2192" s="14">
        <v>44732</v>
      </c>
      <c r="B2192" s="13" t="s">
        <v>40</v>
      </c>
      <c r="C2192" s="13">
        <v>2188</v>
      </c>
      <c r="D2192" s="13" t="s">
        <v>6</v>
      </c>
      <c r="E2192" s="12" t="str">
        <f>IF(june[[#This Row],[ShiftCounter]]&gt;0, "Running", "Down")</f>
        <v>Running</v>
      </c>
    </row>
    <row r="2193" spans="1:5" x14ac:dyDescent="0.25">
      <c r="A2193" s="14">
        <v>44732</v>
      </c>
      <c r="B2193" s="13" t="s">
        <v>40</v>
      </c>
      <c r="C2193" s="13">
        <v>2359</v>
      </c>
      <c r="D2193" s="13" t="s">
        <v>7</v>
      </c>
      <c r="E2193" s="12" t="str">
        <f>IF(june[[#This Row],[ShiftCounter]]&gt;0, "Running", "Down")</f>
        <v>Running</v>
      </c>
    </row>
    <row r="2194" spans="1:5" x14ac:dyDescent="0.25">
      <c r="A2194" s="14">
        <v>44732</v>
      </c>
      <c r="B2194" s="13" t="s">
        <v>40</v>
      </c>
      <c r="C2194" s="13">
        <v>2077</v>
      </c>
      <c r="D2194" s="13" t="s">
        <v>8</v>
      </c>
      <c r="E2194" s="12" t="str">
        <f>IF(june[[#This Row],[ShiftCounter]]&gt;0, "Running", "Down")</f>
        <v>Running</v>
      </c>
    </row>
    <row r="2195" spans="1:5" x14ac:dyDescent="0.25">
      <c r="A2195" s="14">
        <v>44732</v>
      </c>
      <c r="B2195" s="13" t="s">
        <v>127</v>
      </c>
      <c r="C2195" s="13">
        <v>0</v>
      </c>
      <c r="D2195" s="13" t="s">
        <v>6</v>
      </c>
      <c r="E2195" s="12" t="str">
        <f>IF(june[[#This Row],[ShiftCounter]]&gt;0, "Running", "Down")</f>
        <v>Down</v>
      </c>
    </row>
    <row r="2196" spans="1:5" x14ac:dyDescent="0.25">
      <c r="A2196" s="14">
        <v>44732</v>
      </c>
      <c r="B2196" s="13" t="s">
        <v>127</v>
      </c>
      <c r="C2196" s="13">
        <v>0</v>
      </c>
      <c r="D2196" s="13" t="s">
        <v>7</v>
      </c>
      <c r="E2196" s="12" t="str">
        <f>IF(june[[#This Row],[ShiftCounter]]&gt;0, "Running", "Down")</f>
        <v>Down</v>
      </c>
    </row>
    <row r="2197" spans="1:5" x14ac:dyDescent="0.25">
      <c r="A2197" s="14">
        <v>44732</v>
      </c>
      <c r="B2197" s="13" t="s">
        <v>127</v>
      </c>
      <c r="C2197" s="13">
        <v>0</v>
      </c>
      <c r="D2197" s="13" t="s">
        <v>8</v>
      </c>
      <c r="E2197" s="12" t="str">
        <f>IF(june[[#This Row],[ShiftCounter]]&gt;0, "Running", "Down")</f>
        <v>Down</v>
      </c>
    </row>
    <row r="2198" spans="1:5" x14ac:dyDescent="0.25">
      <c r="A2198" s="14">
        <v>44732</v>
      </c>
      <c r="B2198" s="13" t="s">
        <v>124</v>
      </c>
      <c r="C2198" s="13">
        <v>0</v>
      </c>
      <c r="D2198" s="13" t="s">
        <v>6</v>
      </c>
      <c r="E2198" s="12" t="str">
        <f>IF(june[[#This Row],[ShiftCounter]]&gt;0, "Running", "Down")</f>
        <v>Down</v>
      </c>
    </row>
    <row r="2199" spans="1:5" x14ac:dyDescent="0.25">
      <c r="A2199" s="14">
        <v>44732</v>
      </c>
      <c r="B2199" s="13" t="s">
        <v>124</v>
      </c>
      <c r="C2199" s="13">
        <v>0</v>
      </c>
      <c r="D2199" s="13" t="s">
        <v>7</v>
      </c>
      <c r="E2199" s="12" t="str">
        <f>IF(june[[#This Row],[ShiftCounter]]&gt;0, "Running", "Down")</f>
        <v>Down</v>
      </c>
    </row>
    <row r="2200" spans="1:5" x14ac:dyDescent="0.25">
      <c r="A2200" s="14">
        <v>44732</v>
      </c>
      <c r="B2200" s="13" t="s">
        <v>124</v>
      </c>
      <c r="C2200" s="13">
        <v>0</v>
      </c>
      <c r="D2200" s="13" t="s">
        <v>8</v>
      </c>
      <c r="E2200" s="12" t="str">
        <f>IF(june[[#This Row],[ShiftCounter]]&gt;0, "Running", "Down")</f>
        <v>Down</v>
      </c>
    </row>
    <row r="2201" spans="1:5" x14ac:dyDescent="0.25">
      <c r="A2201" s="14">
        <v>44732</v>
      </c>
      <c r="B2201" s="13" t="s">
        <v>122</v>
      </c>
      <c r="C2201" s="13">
        <v>0</v>
      </c>
      <c r="D2201" s="13" t="s">
        <v>6</v>
      </c>
      <c r="E2201" s="12" t="str">
        <f>IF(june[[#This Row],[ShiftCounter]]&gt;0, "Running", "Down")</f>
        <v>Down</v>
      </c>
    </row>
    <row r="2202" spans="1:5" x14ac:dyDescent="0.25">
      <c r="A2202" s="14">
        <v>44732</v>
      </c>
      <c r="B2202" s="13" t="s">
        <v>122</v>
      </c>
      <c r="C2202" s="13">
        <v>0</v>
      </c>
      <c r="D2202" s="13" t="s">
        <v>7</v>
      </c>
      <c r="E2202" s="12" t="str">
        <f>IF(june[[#This Row],[ShiftCounter]]&gt;0, "Running", "Down")</f>
        <v>Down</v>
      </c>
    </row>
    <row r="2203" spans="1:5" x14ac:dyDescent="0.25">
      <c r="A2203" s="14">
        <v>44732</v>
      </c>
      <c r="B2203" s="13" t="s">
        <v>122</v>
      </c>
      <c r="C2203" s="13">
        <v>0</v>
      </c>
      <c r="D2203" s="13" t="s">
        <v>8</v>
      </c>
      <c r="E2203" s="12" t="str">
        <f>IF(june[[#This Row],[ShiftCounter]]&gt;0, "Running", "Down")</f>
        <v>Down</v>
      </c>
    </row>
    <row r="2204" spans="1:5" x14ac:dyDescent="0.25">
      <c r="A2204" s="14">
        <v>44732</v>
      </c>
      <c r="B2204" s="13" t="s">
        <v>120</v>
      </c>
      <c r="C2204" s="13">
        <v>0</v>
      </c>
      <c r="D2204" s="13" t="s">
        <v>6</v>
      </c>
      <c r="E2204" s="12" t="str">
        <f>IF(june[[#This Row],[ShiftCounter]]&gt;0, "Running", "Down")</f>
        <v>Down</v>
      </c>
    </row>
    <row r="2205" spans="1:5" x14ac:dyDescent="0.25">
      <c r="A2205" s="14">
        <v>44732</v>
      </c>
      <c r="B2205" s="13" t="s">
        <v>120</v>
      </c>
      <c r="C2205" s="13">
        <v>0</v>
      </c>
      <c r="D2205" s="13" t="s">
        <v>7</v>
      </c>
      <c r="E2205" s="12" t="str">
        <f>IF(june[[#This Row],[ShiftCounter]]&gt;0, "Running", "Down")</f>
        <v>Down</v>
      </c>
    </row>
    <row r="2206" spans="1:5" x14ac:dyDescent="0.25">
      <c r="A2206" s="14">
        <v>44732</v>
      </c>
      <c r="B2206" s="13" t="s">
        <v>120</v>
      </c>
      <c r="C2206" s="13">
        <v>0</v>
      </c>
      <c r="D2206" s="13" t="s">
        <v>8</v>
      </c>
      <c r="E2206" s="12" t="str">
        <f>IF(june[[#This Row],[ShiftCounter]]&gt;0, "Running", "Down")</f>
        <v>Down</v>
      </c>
    </row>
    <row r="2207" spans="1:5" x14ac:dyDescent="0.25">
      <c r="A2207" s="14">
        <v>44732</v>
      </c>
      <c r="B2207" s="13" t="s">
        <v>119</v>
      </c>
      <c r="C2207" s="13">
        <v>0</v>
      </c>
      <c r="D2207" s="13" t="s">
        <v>6</v>
      </c>
      <c r="E2207" s="12" t="str">
        <f>IF(june[[#This Row],[ShiftCounter]]&gt;0, "Running", "Down")</f>
        <v>Down</v>
      </c>
    </row>
    <row r="2208" spans="1:5" x14ac:dyDescent="0.25">
      <c r="A2208" s="14">
        <v>44732</v>
      </c>
      <c r="B2208" s="13" t="s">
        <v>119</v>
      </c>
      <c r="C2208" s="13">
        <v>0</v>
      </c>
      <c r="D2208" s="13" t="s">
        <v>7</v>
      </c>
      <c r="E2208" s="12" t="str">
        <f>IF(june[[#This Row],[ShiftCounter]]&gt;0, "Running", "Down")</f>
        <v>Down</v>
      </c>
    </row>
    <row r="2209" spans="1:5" x14ac:dyDescent="0.25">
      <c r="A2209" s="14">
        <v>44732</v>
      </c>
      <c r="B2209" s="13" t="s">
        <v>119</v>
      </c>
      <c r="C2209" s="13">
        <v>0</v>
      </c>
      <c r="D2209" s="13" t="s">
        <v>8</v>
      </c>
      <c r="E2209" s="12" t="str">
        <f>IF(june[[#This Row],[ShiftCounter]]&gt;0, "Running", "Down")</f>
        <v>Down</v>
      </c>
    </row>
    <row r="2210" spans="1:5" x14ac:dyDescent="0.25">
      <c r="A2210" s="14">
        <v>44732</v>
      </c>
      <c r="B2210" s="13" t="s">
        <v>117</v>
      </c>
      <c r="C2210" s="13">
        <v>0</v>
      </c>
      <c r="D2210" s="13" t="s">
        <v>6</v>
      </c>
      <c r="E2210" s="12" t="str">
        <f>IF(june[[#This Row],[ShiftCounter]]&gt;0, "Running", "Down")</f>
        <v>Down</v>
      </c>
    </row>
    <row r="2211" spans="1:5" x14ac:dyDescent="0.25">
      <c r="A2211" s="14">
        <v>44732</v>
      </c>
      <c r="B2211" s="13" t="s">
        <v>117</v>
      </c>
      <c r="C2211" s="13">
        <v>0</v>
      </c>
      <c r="D2211" s="13" t="s">
        <v>7</v>
      </c>
      <c r="E2211" s="12" t="str">
        <f>IF(june[[#This Row],[ShiftCounter]]&gt;0, "Running", "Down")</f>
        <v>Down</v>
      </c>
    </row>
    <row r="2212" spans="1:5" x14ac:dyDescent="0.25">
      <c r="A2212" s="14">
        <v>44732</v>
      </c>
      <c r="B2212" s="13" t="s">
        <v>117</v>
      </c>
      <c r="C2212" s="13">
        <v>0</v>
      </c>
      <c r="D2212" s="13" t="s">
        <v>8</v>
      </c>
      <c r="E2212" s="12" t="str">
        <f>IF(june[[#This Row],[ShiftCounter]]&gt;0, "Running", "Down")</f>
        <v>Down</v>
      </c>
    </row>
    <row r="2213" spans="1:5" x14ac:dyDescent="0.25">
      <c r="A2213" s="14">
        <v>44732</v>
      </c>
      <c r="B2213" s="13" t="s">
        <v>39</v>
      </c>
      <c r="C2213" s="13">
        <v>1746</v>
      </c>
      <c r="D2213" s="13" t="s">
        <v>6</v>
      </c>
      <c r="E2213" s="12" t="str">
        <f>IF(june[[#This Row],[ShiftCounter]]&gt;0, "Running", "Down")</f>
        <v>Running</v>
      </c>
    </row>
    <row r="2214" spans="1:5" x14ac:dyDescent="0.25">
      <c r="A2214" s="14">
        <v>44732</v>
      </c>
      <c r="B2214" s="13" t="s">
        <v>39</v>
      </c>
      <c r="C2214" s="13">
        <v>2134</v>
      </c>
      <c r="D2214" s="13" t="s">
        <v>7</v>
      </c>
      <c r="E2214" s="12" t="str">
        <f>IF(june[[#This Row],[ShiftCounter]]&gt;0, "Running", "Down")</f>
        <v>Running</v>
      </c>
    </row>
    <row r="2215" spans="1:5" x14ac:dyDescent="0.25">
      <c r="A2215" s="14">
        <v>44732</v>
      </c>
      <c r="B2215" s="13" t="s">
        <v>39</v>
      </c>
      <c r="C2215" s="13">
        <v>2155</v>
      </c>
      <c r="D2215" s="13" t="s">
        <v>8</v>
      </c>
      <c r="E2215" s="12" t="str">
        <f>IF(june[[#This Row],[ShiftCounter]]&gt;0, "Running", "Down")</f>
        <v>Running</v>
      </c>
    </row>
    <row r="2216" spans="1:5" x14ac:dyDescent="0.25">
      <c r="A2216" s="14">
        <v>44732</v>
      </c>
      <c r="B2216" s="13" t="s">
        <v>113</v>
      </c>
      <c r="C2216" s="13">
        <v>0</v>
      </c>
      <c r="D2216" s="13" t="s">
        <v>6</v>
      </c>
      <c r="E2216" s="12" t="str">
        <f>IF(june[[#This Row],[ShiftCounter]]&gt;0, "Running", "Down")</f>
        <v>Down</v>
      </c>
    </row>
    <row r="2217" spans="1:5" x14ac:dyDescent="0.25">
      <c r="A2217" s="14">
        <v>44732</v>
      </c>
      <c r="B2217" s="13" t="s">
        <v>113</v>
      </c>
      <c r="C2217" s="13">
        <v>0</v>
      </c>
      <c r="D2217" s="13" t="s">
        <v>7</v>
      </c>
      <c r="E2217" s="12" t="str">
        <f>IF(june[[#This Row],[ShiftCounter]]&gt;0, "Running", "Down")</f>
        <v>Down</v>
      </c>
    </row>
    <row r="2218" spans="1:5" x14ac:dyDescent="0.25">
      <c r="A2218" s="14">
        <v>44732</v>
      </c>
      <c r="B2218" s="13" t="s">
        <v>113</v>
      </c>
      <c r="C2218" s="13">
        <v>0</v>
      </c>
      <c r="D2218" s="13" t="s">
        <v>8</v>
      </c>
      <c r="E2218" s="12" t="str">
        <f>IF(june[[#This Row],[ShiftCounter]]&gt;0, "Running", "Down")</f>
        <v>Down</v>
      </c>
    </row>
    <row r="2219" spans="1:5" x14ac:dyDescent="0.25">
      <c r="A2219" s="14">
        <v>44732</v>
      </c>
      <c r="B2219" s="13" t="s">
        <v>111</v>
      </c>
      <c r="C2219" s="13">
        <v>0</v>
      </c>
      <c r="D2219" s="13" t="s">
        <v>6</v>
      </c>
      <c r="E2219" s="12" t="str">
        <f>IF(june[[#This Row],[ShiftCounter]]&gt;0, "Running", "Down")</f>
        <v>Down</v>
      </c>
    </row>
    <row r="2220" spans="1:5" x14ac:dyDescent="0.25">
      <c r="A2220" s="14">
        <v>44732</v>
      </c>
      <c r="B2220" s="13" t="s">
        <v>111</v>
      </c>
      <c r="C2220" s="13">
        <v>0</v>
      </c>
      <c r="D2220" s="13" t="s">
        <v>7</v>
      </c>
      <c r="E2220" s="12" t="str">
        <f>IF(june[[#This Row],[ShiftCounter]]&gt;0, "Running", "Down")</f>
        <v>Down</v>
      </c>
    </row>
    <row r="2221" spans="1:5" x14ac:dyDescent="0.25">
      <c r="A2221" s="14">
        <v>44732</v>
      </c>
      <c r="B2221" s="13" t="s">
        <v>111</v>
      </c>
      <c r="C2221" s="13">
        <v>0</v>
      </c>
      <c r="D2221" s="13" t="s">
        <v>8</v>
      </c>
      <c r="E2221" s="12" t="str">
        <f>IF(june[[#This Row],[ShiftCounter]]&gt;0, "Running", "Down")</f>
        <v>Down</v>
      </c>
    </row>
    <row r="2222" spans="1:5" x14ac:dyDescent="0.25">
      <c r="A2222" s="14">
        <v>44732</v>
      </c>
      <c r="B2222" s="13" t="s">
        <v>109</v>
      </c>
      <c r="C2222" s="13">
        <v>0</v>
      </c>
      <c r="D2222" s="13" t="s">
        <v>6</v>
      </c>
      <c r="E2222" s="12" t="str">
        <f>IF(june[[#This Row],[ShiftCounter]]&gt;0, "Running", "Down")</f>
        <v>Down</v>
      </c>
    </row>
    <row r="2223" spans="1:5" x14ac:dyDescent="0.25">
      <c r="A2223" s="14">
        <v>44732</v>
      </c>
      <c r="B2223" s="13" t="s">
        <v>109</v>
      </c>
      <c r="C2223" s="13">
        <v>0</v>
      </c>
      <c r="D2223" s="13" t="s">
        <v>7</v>
      </c>
      <c r="E2223" s="12" t="str">
        <f>IF(june[[#This Row],[ShiftCounter]]&gt;0, "Running", "Down")</f>
        <v>Down</v>
      </c>
    </row>
    <row r="2224" spans="1:5" x14ac:dyDescent="0.25">
      <c r="A2224" s="14">
        <v>44732</v>
      </c>
      <c r="B2224" s="13" t="s">
        <v>109</v>
      </c>
      <c r="C2224" s="13">
        <v>0</v>
      </c>
      <c r="D2224" s="13" t="s">
        <v>8</v>
      </c>
      <c r="E2224" s="12" t="str">
        <f>IF(june[[#This Row],[ShiftCounter]]&gt;0, "Running", "Down")</f>
        <v>Down</v>
      </c>
    </row>
    <row r="2225" spans="1:5" x14ac:dyDescent="0.25">
      <c r="A2225" s="14">
        <v>44732</v>
      </c>
      <c r="B2225" s="13" t="s">
        <v>107</v>
      </c>
      <c r="C2225" s="13">
        <v>0</v>
      </c>
      <c r="D2225" s="13" t="s">
        <v>6</v>
      </c>
      <c r="E2225" s="12" t="str">
        <f>IF(june[[#This Row],[ShiftCounter]]&gt;0, "Running", "Down")</f>
        <v>Down</v>
      </c>
    </row>
    <row r="2226" spans="1:5" x14ac:dyDescent="0.25">
      <c r="A2226" s="14">
        <v>44732</v>
      </c>
      <c r="B2226" s="13" t="s">
        <v>107</v>
      </c>
      <c r="C2226" s="13">
        <v>0</v>
      </c>
      <c r="D2226" s="13" t="s">
        <v>7</v>
      </c>
      <c r="E2226" s="12" t="str">
        <f>IF(june[[#This Row],[ShiftCounter]]&gt;0, "Running", "Down")</f>
        <v>Down</v>
      </c>
    </row>
    <row r="2227" spans="1:5" x14ac:dyDescent="0.25">
      <c r="A2227" s="14">
        <v>44732</v>
      </c>
      <c r="B2227" s="13" t="s">
        <v>107</v>
      </c>
      <c r="C2227" s="13">
        <v>0</v>
      </c>
      <c r="D2227" s="13" t="s">
        <v>8</v>
      </c>
      <c r="E2227" s="12" t="str">
        <f>IF(june[[#This Row],[ShiftCounter]]&gt;0, "Running", "Down")</f>
        <v>Down</v>
      </c>
    </row>
    <row r="2228" spans="1:5" x14ac:dyDescent="0.25">
      <c r="A2228" s="14">
        <v>44732</v>
      </c>
      <c r="B2228" s="13" t="s">
        <v>41</v>
      </c>
      <c r="C2228" s="13">
        <v>2356</v>
      </c>
      <c r="D2228" s="13" t="s">
        <v>6</v>
      </c>
      <c r="E2228" s="12" t="str">
        <f>IF(june[[#This Row],[ShiftCounter]]&gt;0, "Running", "Down")</f>
        <v>Running</v>
      </c>
    </row>
    <row r="2229" spans="1:5" x14ac:dyDescent="0.25">
      <c r="A2229" s="14">
        <v>44732</v>
      </c>
      <c r="B2229" s="13" t="s">
        <v>41</v>
      </c>
      <c r="C2229" s="13">
        <v>2293</v>
      </c>
      <c r="D2229" s="13" t="s">
        <v>7</v>
      </c>
      <c r="E2229" s="12" t="str">
        <f>IF(june[[#This Row],[ShiftCounter]]&gt;0, "Running", "Down")</f>
        <v>Running</v>
      </c>
    </row>
    <row r="2230" spans="1:5" x14ac:dyDescent="0.25">
      <c r="A2230" s="14">
        <v>44732</v>
      </c>
      <c r="B2230" s="13" t="s">
        <v>41</v>
      </c>
      <c r="C2230" s="13">
        <v>2202</v>
      </c>
      <c r="D2230" s="13" t="s">
        <v>8</v>
      </c>
      <c r="E2230" s="12" t="str">
        <f>IF(june[[#This Row],[ShiftCounter]]&gt;0, "Running", "Down")</f>
        <v>Running</v>
      </c>
    </row>
    <row r="2231" spans="1:5" x14ac:dyDescent="0.25">
      <c r="A2231" s="14">
        <v>44732</v>
      </c>
      <c r="B2231" s="13" t="s">
        <v>43</v>
      </c>
      <c r="C2231" s="13">
        <v>0</v>
      </c>
      <c r="D2231" s="13" t="s">
        <v>6</v>
      </c>
      <c r="E2231" s="12" t="str">
        <f>IF(june[[#This Row],[ShiftCounter]]&gt;0, "Running", "Down")</f>
        <v>Down</v>
      </c>
    </row>
    <row r="2232" spans="1:5" x14ac:dyDescent="0.25">
      <c r="A2232" s="14">
        <v>44732</v>
      </c>
      <c r="B2232" s="13" t="s">
        <v>43</v>
      </c>
      <c r="C2232" s="13">
        <v>0</v>
      </c>
      <c r="D2232" s="13" t="s">
        <v>7</v>
      </c>
      <c r="E2232" s="12" t="str">
        <f>IF(june[[#This Row],[ShiftCounter]]&gt;0, "Running", "Down")</f>
        <v>Down</v>
      </c>
    </row>
    <row r="2233" spans="1:5" x14ac:dyDescent="0.25">
      <c r="A2233" s="14">
        <v>44732</v>
      </c>
      <c r="B2233" s="13" t="s">
        <v>43</v>
      </c>
      <c r="C2233" s="13">
        <v>0</v>
      </c>
      <c r="D2233" s="13" t="s">
        <v>8</v>
      </c>
      <c r="E2233" s="12" t="str">
        <f>IF(june[[#This Row],[ShiftCounter]]&gt;0, "Running", "Down")</f>
        <v>Down</v>
      </c>
    </row>
    <row r="2234" spans="1:5" x14ac:dyDescent="0.25">
      <c r="A2234" s="14">
        <v>44732</v>
      </c>
      <c r="B2234" s="13" t="s">
        <v>5</v>
      </c>
      <c r="C2234" s="13">
        <v>2032</v>
      </c>
      <c r="D2234" s="13" t="s">
        <v>6</v>
      </c>
      <c r="E2234" s="12" t="str">
        <f>IF(june[[#This Row],[ShiftCounter]]&gt;0, "Running", "Down")</f>
        <v>Running</v>
      </c>
    </row>
    <row r="2235" spans="1:5" x14ac:dyDescent="0.25">
      <c r="A2235" s="14">
        <v>44732</v>
      </c>
      <c r="B2235" s="13" t="s">
        <v>5</v>
      </c>
      <c r="C2235" s="13">
        <v>2159</v>
      </c>
      <c r="D2235" s="13" t="s">
        <v>7</v>
      </c>
      <c r="E2235" s="12" t="str">
        <f>IF(june[[#This Row],[ShiftCounter]]&gt;0, "Running", "Down")</f>
        <v>Running</v>
      </c>
    </row>
    <row r="2236" spans="1:5" x14ac:dyDescent="0.25">
      <c r="A2236" s="14">
        <v>44732</v>
      </c>
      <c r="B2236" s="13" t="s">
        <v>5</v>
      </c>
      <c r="C2236" s="13">
        <v>2151</v>
      </c>
      <c r="D2236" s="13" t="s">
        <v>8</v>
      </c>
      <c r="E2236" s="12" t="str">
        <f>IF(june[[#This Row],[ShiftCounter]]&gt;0, "Running", "Down")</f>
        <v>Running</v>
      </c>
    </row>
    <row r="2237" spans="1:5" x14ac:dyDescent="0.25">
      <c r="A2237" s="14">
        <v>44732</v>
      </c>
      <c r="B2237" s="13" t="s">
        <v>9</v>
      </c>
      <c r="C2237" s="13">
        <v>1770</v>
      </c>
      <c r="D2237" s="13" t="s">
        <v>6</v>
      </c>
      <c r="E2237" s="12" t="str">
        <f>IF(june[[#This Row],[ShiftCounter]]&gt;0, "Running", "Down")</f>
        <v>Running</v>
      </c>
    </row>
    <row r="2238" spans="1:5" x14ac:dyDescent="0.25">
      <c r="A2238" s="14">
        <v>44732</v>
      </c>
      <c r="B2238" s="13" t="s">
        <v>9</v>
      </c>
      <c r="C2238" s="13">
        <v>2058</v>
      </c>
      <c r="D2238" s="13" t="s">
        <v>7</v>
      </c>
      <c r="E2238" s="12" t="str">
        <f>IF(june[[#This Row],[ShiftCounter]]&gt;0, "Running", "Down")</f>
        <v>Running</v>
      </c>
    </row>
    <row r="2239" spans="1:5" x14ac:dyDescent="0.25">
      <c r="A2239" s="14">
        <v>44732</v>
      </c>
      <c r="B2239" s="13" t="s">
        <v>9</v>
      </c>
      <c r="C2239" s="13">
        <v>1868</v>
      </c>
      <c r="D2239" s="13" t="s">
        <v>8</v>
      </c>
      <c r="E2239" s="12" t="str">
        <f>IF(june[[#This Row],[ShiftCounter]]&gt;0, "Running", "Down")</f>
        <v>Running</v>
      </c>
    </row>
    <row r="2240" spans="1:5" x14ac:dyDescent="0.25">
      <c r="A2240" s="14">
        <v>44732</v>
      </c>
      <c r="B2240" s="13" t="s">
        <v>10</v>
      </c>
      <c r="C2240" s="13">
        <v>1464</v>
      </c>
      <c r="D2240" s="13" t="s">
        <v>6</v>
      </c>
      <c r="E2240" s="12" t="str">
        <f>IF(june[[#This Row],[ShiftCounter]]&gt;0, "Running", "Down")</f>
        <v>Running</v>
      </c>
    </row>
    <row r="2241" spans="1:5" x14ac:dyDescent="0.25">
      <c r="A2241" s="14">
        <v>44732</v>
      </c>
      <c r="B2241" s="13" t="s">
        <v>10</v>
      </c>
      <c r="C2241" s="13">
        <v>2348</v>
      </c>
      <c r="D2241" s="13" t="s">
        <v>7</v>
      </c>
      <c r="E2241" s="12" t="str">
        <f>IF(june[[#This Row],[ShiftCounter]]&gt;0, "Running", "Down")</f>
        <v>Running</v>
      </c>
    </row>
    <row r="2242" spans="1:5" x14ac:dyDescent="0.25">
      <c r="A2242" s="14">
        <v>44732</v>
      </c>
      <c r="B2242" s="13" t="s">
        <v>10</v>
      </c>
      <c r="C2242" s="13">
        <v>2347</v>
      </c>
      <c r="D2242" s="13" t="s">
        <v>8</v>
      </c>
      <c r="E2242" s="12" t="str">
        <f>IF(june[[#This Row],[ShiftCounter]]&gt;0, "Running", "Down")</f>
        <v>Running</v>
      </c>
    </row>
    <row r="2243" spans="1:5" x14ac:dyDescent="0.25">
      <c r="A2243" s="14">
        <v>44732</v>
      </c>
      <c r="B2243" s="13" t="s">
        <v>11</v>
      </c>
      <c r="C2243" s="13">
        <v>2097</v>
      </c>
      <c r="D2243" s="13" t="s">
        <v>6</v>
      </c>
      <c r="E2243" s="12" t="str">
        <f>IF(june[[#This Row],[ShiftCounter]]&gt;0, "Running", "Down")</f>
        <v>Running</v>
      </c>
    </row>
    <row r="2244" spans="1:5" x14ac:dyDescent="0.25">
      <c r="A2244" s="14">
        <v>44732</v>
      </c>
      <c r="B2244" s="13" t="s">
        <v>11</v>
      </c>
      <c r="C2244" s="13">
        <v>253</v>
      </c>
      <c r="D2244" s="13" t="s">
        <v>7</v>
      </c>
      <c r="E2244" s="12" t="str">
        <f>IF(june[[#This Row],[ShiftCounter]]&gt;0, "Running", "Down")</f>
        <v>Running</v>
      </c>
    </row>
    <row r="2245" spans="1:5" x14ac:dyDescent="0.25">
      <c r="A2245" s="14">
        <v>44732</v>
      </c>
      <c r="B2245" s="13" t="s">
        <v>11</v>
      </c>
      <c r="C2245" s="13">
        <v>2235</v>
      </c>
      <c r="D2245" s="13" t="s">
        <v>8</v>
      </c>
      <c r="E2245" s="12" t="str">
        <f>IF(june[[#This Row],[ShiftCounter]]&gt;0, "Running", "Down")</f>
        <v>Running</v>
      </c>
    </row>
    <row r="2246" spans="1:5" x14ac:dyDescent="0.25">
      <c r="A2246" s="14">
        <v>44732</v>
      </c>
      <c r="B2246" s="13" t="s">
        <v>12</v>
      </c>
      <c r="C2246" s="13">
        <v>2122</v>
      </c>
      <c r="D2246" s="13" t="s">
        <v>6</v>
      </c>
      <c r="E2246" s="12" t="str">
        <f>IF(june[[#This Row],[ShiftCounter]]&gt;0, "Running", "Down")</f>
        <v>Running</v>
      </c>
    </row>
    <row r="2247" spans="1:5" x14ac:dyDescent="0.25">
      <c r="A2247" s="14">
        <v>44732</v>
      </c>
      <c r="B2247" s="13" t="s">
        <v>12</v>
      </c>
      <c r="C2247" s="13">
        <v>2200</v>
      </c>
      <c r="D2247" s="13" t="s">
        <v>7</v>
      </c>
      <c r="E2247" s="12" t="str">
        <f>IF(june[[#This Row],[ShiftCounter]]&gt;0, "Running", "Down")</f>
        <v>Running</v>
      </c>
    </row>
    <row r="2248" spans="1:5" x14ac:dyDescent="0.25">
      <c r="A2248" s="14">
        <v>44732</v>
      </c>
      <c r="B2248" s="13" t="s">
        <v>12</v>
      </c>
      <c r="C2248" s="13">
        <v>2191</v>
      </c>
      <c r="D2248" s="13" t="s">
        <v>8</v>
      </c>
      <c r="E2248" s="12" t="str">
        <f>IF(june[[#This Row],[ShiftCounter]]&gt;0, "Running", "Down")</f>
        <v>Running</v>
      </c>
    </row>
    <row r="2249" spans="1:5" x14ac:dyDescent="0.25">
      <c r="A2249" s="14">
        <v>44732</v>
      </c>
      <c r="B2249" s="13" t="s">
        <v>105</v>
      </c>
      <c r="C2249" s="13">
        <v>0</v>
      </c>
      <c r="D2249" s="13" t="s">
        <v>6</v>
      </c>
      <c r="E2249" s="12" t="str">
        <f>IF(june[[#This Row],[ShiftCounter]]&gt;0, "Running", "Down")</f>
        <v>Down</v>
      </c>
    </row>
    <row r="2250" spans="1:5" x14ac:dyDescent="0.25">
      <c r="A2250" s="14">
        <v>44732</v>
      </c>
      <c r="B2250" s="13" t="s">
        <v>105</v>
      </c>
      <c r="C2250" s="13">
        <v>2585</v>
      </c>
      <c r="D2250" s="13" t="s">
        <v>7</v>
      </c>
      <c r="E2250" s="12" t="str">
        <f>IF(june[[#This Row],[ShiftCounter]]&gt;0, "Running", "Down")</f>
        <v>Running</v>
      </c>
    </row>
    <row r="2251" spans="1:5" x14ac:dyDescent="0.25">
      <c r="A2251" s="14">
        <v>44732</v>
      </c>
      <c r="B2251" s="13" t="s">
        <v>105</v>
      </c>
      <c r="C2251" s="13">
        <v>2008</v>
      </c>
      <c r="D2251" s="13" t="s">
        <v>8</v>
      </c>
      <c r="E2251" s="12" t="str">
        <f>IF(june[[#This Row],[ShiftCounter]]&gt;0, "Running", "Down")</f>
        <v>Running</v>
      </c>
    </row>
    <row r="2252" spans="1:5" x14ac:dyDescent="0.25">
      <c r="A2252" s="14">
        <v>44732</v>
      </c>
      <c r="B2252" s="13" t="s">
        <v>104</v>
      </c>
      <c r="C2252" s="13">
        <v>0</v>
      </c>
      <c r="D2252" s="13" t="s">
        <v>6</v>
      </c>
      <c r="E2252" s="12" t="str">
        <f>IF(june[[#This Row],[ShiftCounter]]&gt;0, "Running", "Down")</f>
        <v>Down</v>
      </c>
    </row>
    <row r="2253" spans="1:5" x14ac:dyDescent="0.25">
      <c r="A2253" s="14">
        <v>44732</v>
      </c>
      <c r="B2253" s="13" t="s">
        <v>104</v>
      </c>
      <c r="C2253" s="13">
        <v>0</v>
      </c>
      <c r="D2253" s="13" t="s">
        <v>7</v>
      </c>
      <c r="E2253" s="12" t="str">
        <f>IF(june[[#This Row],[ShiftCounter]]&gt;0, "Running", "Down")</f>
        <v>Down</v>
      </c>
    </row>
    <row r="2254" spans="1:5" x14ac:dyDescent="0.25">
      <c r="A2254" s="14">
        <v>44732</v>
      </c>
      <c r="B2254" s="13" t="s">
        <v>104</v>
      </c>
      <c r="C2254" s="13">
        <v>0</v>
      </c>
      <c r="D2254" s="13" t="s">
        <v>8</v>
      </c>
      <c r="E2254" s="12" t="str">
        <f>IF(june[[#This Row],[ShiftCounter]]&gt;0, "Running", "Down")</f>
        <v>Down</v>
      </c>
    </row>
    <row r="2255" spans="1:5" x14ac:dyDescent="0.25">
      <c r="A2255" s="14">
        <v>44732</v>
      </c>
      <c r="B2255" s="13" t="s">
        <v>13</v>
      </c>
      <c r="C2255" s="13">
        <v>1909</v>
      </c>
      <c r="D2255" s="13" t="s">
        <v>6</v>
      </c>
      <c r="E2255" s="12" t="str">
        <f>IF(june[[#This Row],[ShiftCounter]]&gt;0, "Running", "Down")</f>
        <v>Running</v>
      </c>
    </row>
    <row r="2256" spans="1:5" x14ac:dyDescent="0.25">
      <c r="A2256" s="14">
        <v>44732</v>
      </c>
      <c r="B2256" s="13" t="s">
        <v>13</v>
      </c>
      <c r="C2256" s="13">
        <v>2050</v>
      </c>
      <c r="D2256" s="13" t="s">
        <v>7</v>
      </c>
      <c r="E2256" s="12" t="str">
        <f>IF(june[[#This Row],[ShiftCounter]]&gt;0, "Running", "Down")</f>
        <v>Running</v>
      </c>
    </row>
    <row r="2257" spans="1:5" x14ac:dyDescent="0.25">
      <c r="A2257" s="14">
        <v>44732</v>
      </c>
      <c r="B2257" s="13" t="s">
        <v>13</v>
      </c>
      <c r="C2257" s="13">
        <v>2035</v>
      </c>
      <c r="D2257" s="13" t="s">
        <v>8</v>
      </c>
      <c r="E2257" s="12" t="str">
        <f>IF(june[[#This Row],[ShiftCounter]]&gt;0, "Running", "Down")</f>
        <v>Running</v>
      </c>
    </row>
    <row r="2258" spans="1:5" x14ac:dyDescent="0.25">
      <c r="A2258" s="14">
        <v>44732</v>
      </c>
      <c r="B2258" s="13" t="s">
        <v>103</v>
      </c>
      <c r="C2258" s="13">
        <v>0</v>
      </c>
      <c r="D2258" s="13" t="s">
        <v>6</v>
      </c>
      <c r="E2258" s="12" t="str">
        <f>IF(june[[#This Row],[ShiftCounter]]&gt;0, "Running", "Down")</f>
        <v>Down</v>
      </c>
    </row>
    <row r="2259" spans="1:5" x14ac:dyDescent="0.25">
      <c r="A2259" s="14">
        <v>44732</v>
      </c>
      <c r="B2259" s="13" t="s">
        <v>103</v>
      </c>
      <c r="C2259" s="13">
        <v>0</v>
      </c>
      <c r="D2259" s="13" t="s">
        <v>7</v>
      </c>
      <c r="E2259" s="12" t="str">
        <f>IF(june[[#This Row],[ShiftCounter]]&gt;0, "Running", "Down")</f>
        <v>Down</v>
      </c>
    </row>
    <row r="2260" spans="1:5" x14ac:dyDescent="0.25">
      <c r="A2260" s="14">
        <v>44732</v>
      </c>
      <c r="B2260" s="13" t="s">
        <v>103</v>
      </c>
      <c r="C2260" s="13">
        <v>0</v>
      </c>
      <c r="D2260" s="13" t="s">
        <v>8</v>
      </c>
      <c r="E2260" s="12" t="str">
        <f>IF(june[[#This Row],[ShiftCounter]]&gt;0, "Running", "Down")</f>
        <v>Down</v>
      </c>
    </row>
    <row r="2261" spans="1:5" x14ac:dyDescent="0.25">
      <c r="A2261" s="14">
        <v>44732</v>
      </c>
      <c r="B2261" s="13" t="s">
        <v>101</v>
      </c>
      <c r="C2261" s="13">
        <v>1885</v>
      </c>
      <c r="D2261" s="13" t="s">
        <v>6</v>
      </c>
      <c r="E2261" s="12" t="str">
        <f>IF(june[[#This Row],[ShiftCounter]]&gt;0, "Running", "Down")</f>
        <v>Running</v>
      </c>
    </row>
    <row r="2262" spans="1:5" x14ac:dyDescent="0.25">
      <c r="A2262" s="14">
        <v>44732</v>
      </c>
      <c r="B2262" s="13" t="s">
        <v>101</v>
      </c>
      <c r="C2262" s="13">
        <v>1952</v>
      </c>
      <c r="D2262" s="13" t="s">
        <v>7</v>
      </c>
      <c r="E2262" s="12" t="str">
        <f>IF(june[[#This Row],[ShiftCounter]]&gt;0, "Running", "Down")</f>
        <v>Running</v>
      </c>
    </row>
    <row r="2263" spans="1:5" x14ac:dyDescent="0.25">
      <c r="A2263" s="14">
        <v>44732</v>
      </c>
      <c r="B2263" s="13" t="s">
        <v>101</v>
      </c>
      <c r="C2263" s="13">
        <v>1988</v>
      </c>
      <c r="D2263" s="13" t="s">
        <v>8</v>
      </c>
      <c r="E2263" s="12" t="str">
        <f>IF(june[[#This Row],[ShiftCounter]]&gt;0, "Running", "Down")</f>
        <v>Running</v>
      </c>
    </row>
    <row r="2264" spans="1:5" x14ac:dyDescent="0.25">
      <c r="A2264" s="14">
        <v>44732</v>
      </c>
      <c r="B2264" s="13" t="s">
        <v>99</v>
      </c>
      <c r="C2264" s="13">
        <v>0</v>
      </c>
      <c r="D2264" s="13" t="s">
        <v>6</v>
      </c>
      <c r="E2264" s="12" t="str">
        <f>IF(june[[#This Row],[ShiftCounter]]&gt;0, "Running", "Down")</f>
        <v>Down</v>
      </c>
    </row>
    <row r="2265" spans="1:5" x14ac:dyDescent="0.25">
      <c r="A2265" s="14">
        <v>44732</v>
      </c>
      <c r="B2265" s="13" t="s">
        <v>99</v>
      </c>
      <c r="C2265" s="13">
        <v>0</v>
      </c>
      <c r="D2265" s="13" t="s">
        <v>7</v>
      </c>
      <c r="E2265" s="12" t="str">
        <f>IF(june[[#This Row],[ShiftCounter]]&gt;0, "Running", "Down")</f>
        <v>Down</v>
      </c>
    </row>
    <row r="2266" spans="1:5" x14ac:dyDescent="0.25">
      <c r="A2266" s="14">
        <v>44732</v>
      </c>
      <c r="B2266" s="13" t="s">
        <v>99</v>
      </c>
      <c r="C2266" s="13">
        <v>0</v>
      </c>
      <c r="D2266" s="13" t="s">
        <v>8</v>
      </c>
      <c r="E2266" s="12" t="str">
        <f>IF(june[[#This Row],[ShiftCounter]]&gt;0, "Running", "Down")</f>
        <v>Down</v>
      </c>
    </row>
    <row r="2267" spans="1:5" x14ac:dyDescent="0.25">
      <c r="A2267" s="14">
        <v>44732</v>
      </c>
      <c r="B2267" s="13" t="s">
        <v>97</v>
      </c>
      <c r="C2267" s="13">
        <v>0</v>
      </c>
      <c r="D2267" s="13" t="s">
        <v>6</v>
      </c>
      <c r="E2267" s="12" t="str">
        <f>IF(june[[#This Row],[ShiftCounter]]&gt;0, "Running", "Down")</f>
        <v>Down</v>
      </c>
    </row>
    <row r="2268" spans="1:5" x14ac:dyDescent="0.25">
      <c r="A2268" s="14">
        <v>44732</v>
      </c>
      <c r="B2268" s="13" t="s">
        <v>97</v>
      </c>
      <c r="C2268" s="13">
        <v>0</v>
      </c>
      <c r="D2268" s="13" t="s">
        <v>7</v>
      </c>
      <c r="E2268" s="12" t="str">
        <f>IF(june[[#This Row],[ShiftCounter]]&gt;0, "Running", "Down")</f>
        <v>Down</v>
      </c>
    </row>
    <row r="2269" spans="1:5" x14ac:dyDescent="0.25">
      <c r="A2269" s="14">
        <v>44732</v>
      </c>
      <c r="B2269" s="13" t="s">
        <v>97</v>
      </c>
      <c r="C2269" s="13">
        <v>0</v>
      </c>
      <c r="D2269" s="13" t="s">
        <v>8</v>
      </c>
      <c r="E2269" s="12" t="str">
        <f>IF(june[[#This Row],[ShiftCounter]]&gt;0, "Running", "Down")</f>
        <v>Down</v>
      </c>
    </row>
    <row r="2270" spans="1:5" x14ac:dyDescent="0.25">
      <c r="A2270" s="14">
        <v>44732</v>
      </c>
      <c r="B2270" s="13" t="s">
        <v>95</v>
      </c>
      <c r="C2270" s="13">
        <v>0</v>
      </c>
      <c r="D2270" s="13" t="s">
        <v>6</v>
      </c>
      <c r="E2270" s="12" t="str">
        <f>IF(june[[#This Row],[ShiftCounter]]&gt;0, "Running", "Down")</f>
        <v>Down</v>
      </c>
    </row>
    <row r="2271" spans="1:5" x14ac:dyDescent="0.25">
      <c r="A2271" s="14">
        <v>44732</v>
      </c>
      <c r="B2271" s="13" t="s">
        <v>95</v>
      </c>
      <c r="C2271" s="13">
        <v>0</v>
      </c>
      <c r="D2271" s="13" t="s">
        <v>7</v>
      </c>
      <c r="E2271" s="12" t="str">
        <f>IF(june[[#This Row],[ShiftCounter]]&gt;0, "Running", "Down")</f>
        <v>Down</v>
      </c>
    </row>
    <row r="2272" spans="1:5" x14ac:dyDescent="0.25">
      <c r="A2272" s="14">
        <v>44732</v>
      </c>
      <c r="B2272" s="13" t="s">
        <v>95</v>
      </c>
      <c r="C2272" s="13">
        <v>0</v>
      </c>
      <c r="D2272" s="13" t="s">
        <v>8</v>
      </c>
      <c r="E2272" s="12" t="str">
        <f>IF(june[[#This Row],[ShiftCounter]]&gt;0, "Running", "Down")</f>
        <v>Down</v>
      </c>
    </row>
    <row r="2273" spans="1:5" x14ac:dyDescent="0.25">
      <c r="A2273" s="14">
        <v>44732</v>
      </c>
      <c r="B2273" s="13" t="s">
        <v>14</v>
      </c>
      <c r="C2273" s="13">
        <v>2107</v>
      </c>
      <c r="D2273" s="13" t="s">
        <v>6</v>
      </c>
      <c r="E2273" s="12" t="str">
        <f>IF(june[[#This Row],[ShiftCounter]]&gt;0, "Running", "Down")</f>
        <v>Running</v>
      </c>
    </row>
    <row r="2274" spans="1:5" x14ac:dyDescent="0.25">
      <c r="A2274" s="14">
        <v>44732</v>
      </c>
      <c r="B2274" s="13" t="s">
        <v>14</v>
      </c>
      <c r="C2274" s="13">
        <v>2101</v>
      </c>
      <c r="D2274" s="13" t="s">
        <v>7</v>
      </c>
      <c r="E2274" s="12" t="str">
        <f>IF(june[[#This Row],[ShiftCounter]]&gt;0, "Running", "Down")</f>
        <v>Running</v>
      </c>
    </row>
    <row r="2275" spans="1:5" x14ac:dyDescent="0.25">
      <c r="A2275" s="14">
        <v>44732</v>
      </c>
      <c r="B2275" s="13" t="s">
        <v>14</v>
      </c>
      <c r="C2275" s="13">
        <v>2140</v>
      </c>
      <c r="D2275" s="13" t="s">
        <v>8</v>
      </c>
      <c r="E2275" s="12" t="str">
        <f>IF(june[[#This Row],[ShiftCounter]]&gt;0, "Running", "Down")</f>
        <v>Running</v>
      </c>
    </row>
    <row r="2276" spans="1:5" x14ac:dyDescent="0.25">
      <c r="A2276" s="14">
        <v>44732</v>
      </c>
      <c r="B2276" s="13" t="s">
        <v>91</v>
      </c>
      <c r="C2276" s="13">
        <v>0</v>
      </c>
      <c r="D2276" s="13" t="s">
        <v>6</v>
      </c>
      <c r="E2276" s="12" t="str">
        <f>IF(june[[#This Row],[ShiftCounter]]&gt;0, "Running", "Down")</f>
        <v>Down</v>
      </c>
    </row>
    <row r="2277" spans="1:5" x14ac:dyDescent="0.25">
      <c r="A2277" s="14">
        <v>44732</v>
      </c>
      <c r="B2277" s="13" t="s">
        <v>91</v>
      </c>
      <c r="C2277" s="13">
        <v>0</v>
      </c>
      <c r="D2277" s="13" t="s">
        <v>7</v>
      </c>
      <c r="E2277" s="12" t="str">
        <f>IF(june[[#This Row],[ShiftCounter]]&gt;0, "Running", "Down")</f>
        <v>Down</v>
      </c>
    </row>
    <row r="2278" spans="1:5" x14ac:dyDescent="0.25">
      <c r="A2278" s="14">
        <v>44732</v>
      </c>
      <c r="B2278" s="13" t="s">
        <v>91</v>
      </c>
      <c r="C2278" s="13">
        <v>0</v>
      </c>
      <c r="D2278" s="13" t="s">
        <v>8</v>
      </c>
      <c r="E2278" s="12" t="str">
        <f>IF(june[[#This Row],[ShiftCounter]]&gt;0, "Running", "Down")</f>
        <v>Down</v>
      </c>
    </row>
    <row r="2279" spans="1:5" x14ac:dyDescent="0.25">
      <c r="A2279" s="14">
        <v>44732</v>
      </c>
      <c r="B2279" s="13" t="s">
        <v>15</v>
      </c>
      <c r="C2279" s="13">
        <v>1382</v>
      </c>
      <c r="D2279" s="13" t="s">
        <v>6</v>
      </c>
      <c r="E2279" s="12" t="str">
        <f>IF(june[[#This Row],[ShiftCounter]]&gt;0, "Running", "Down")</f>
        <v>Running</v>
      </c>
    </row>
    <row r="2280" spans="1:5" x14ac:dyDescent="0.25">
      <c r="A2280" s="14">
        <v>44732</v>
      </c>
      <c r="B2280" s="13" t="s">
        <v>15</v>
      </c>
      <c r="C2280" s="13">
        <v>2250</v>
      </c>
      <c r="D2280" s="13" t="s">
        <v>7</v>
      </c>
      <c r="E2280" s="12" t="str">
        <f>IF(june[[#This Row],[ShiftCounter]]&gt;0, "Running", "Down")</f>
        <v>Running</v>
      </c>
    </row>
    <row r="2281" spans="1:5" x14ac:dyDescent="0.25">
      <c r="A2281" s="14">
        <v>44732</v>
      </c>
      <c r="B2281" s="13" t="s">
        <v>15</v>
      </c>
      <c r="C2281" s="13">
        <v>1978</v>
      </c>
      <c r="D2281" s="13" t="s">
        <v>8</v>
      </c>
      <c r="E2281" s="12" t="str">
        <f>IF(june[[#This Row],[ShiftCounter]]&gt;0, "Running", "Down")</f>
        <v>Running</v>
      </c>
    </row>
    <row r="2282" spans="1:5" x14ac:dyDescent="0.25">
      <c r="A2282" s="14">
        <v>44732</v>
      </c>
      <c r="B2282" s="13" t="s">
        <v>89</v>
      </c>
      <c r="C2282" s="13">
        <v>0</v>
      </c>
      <c r="D2282" s="13" t="s">
        <v>6</v>
      </c>
      <c r="E2282" s="12" t="str">
        <f>IF(june[[#This Row],[ShiftCounter]]&gt;0, "Running", "Down")</f>
        <v>Down</v>
      </c>
    </row>
    <row r="2283" spans="1:5" x14ac:dyDescent="0.25">
      <c r="A2283" s="14">
        <v>44732</v>
      </c>
      <c r="B2283" s="13" t="s">
        <v>89</v>
      </c>
      <c r="C2283" s="13">
        <v>0</v>
      </c>
      <c r="D2283" s="13" t="s">
        <v>7</v>
      </c>
      <c r="E2283" s="12" t="str">
        <f>IF(june[[#This Row],[ShiftCounter]]&gt;0, "Running", "Down")</f>
        <v>Down</v>
      </c>
    </row>
    <row r="2284" spans="1:5" x14ac:dyDescent="0.25">
      <c r="A2284" s="14">
        <v>44732</v>
      </c>
      <c r="B2284" s="13" t="s">
        <v>89</v>
      </c>
      <c r="C2284" s="13">
        <v>0</v>
      </c>
      <c r="D2284" s="13" t="s">
        <v>8</v>
      </c>
      <c r="E2284" s="12" t="str">
        <f>IF(june[[#This Row],[ShiftCounter]]&gt;0, "Running", "Down")</f>
        <v>Down</v>
      </c>
    </row>
    <row r="2285" spans="1:5" x14ac:dyDescent="0.25">
      <c r="A2285" s="14">
        <v>44732</v>
      </c>
      <c r="B2285" s="13" t="s">
        <v>16</v>
      </c>
      <c r="C2285" s="13">
        <v>2055</v>
      </c>
      <c r="D2285" s="13" t="s">
        <v>6</v>
      </c>
      <c r="E2285" s="12" t="str">
        <f>IF(june[[#This Row],[ShiftCounter]]&gt;0, "Running", "Down")</f>
        <v>Running</v>
      </c>
    </row>
    <row r="2286" spans="1:5" x14ac:dyDescent="0.25">
      <c r="A2286" s="14">
        <v>44732</v>
      </c>
      <c r="B2286" s="13" t="s">
        <v>16</v>
      </c>
      <c r="C2286" s="13">
        <v>2111</v>
      </c>
      <c r="D2286" s="13" t="s">
        <v>7</v>
      </c>
      <c r="E2286" s="12" t="str">
        <f>IF(june[[#This Row],[ShiftCounter]]&gt;0, "Running", "Down")</f>
        <v>Running</v>
      </c>
    </row>
    <row r="2287" spans="1:5" x14ac:dyDescent="0.25">
      <c r="A2287" s="14">
        <v>44732</v>
      </c>
      <c r="B2287" s="13" t="s">
        <v>16</v>
      </c>
      <c r="C2287" s="13">
        <v>2141</v>
      </c>
      <c r="D2287" s="13" t="s">
        <v>8</v>
      </c>
      <c r="E2287" s="12" t="str">
        <f>IF(june[[#This Row],[ShiftCounter]]&gt;0, "Running", "Down")</f>
        <v>Running</v>
      </c>
    </row>
    <row r="2288" spans="1:5" x14ac:dyDescent="0.25">
      <c r="A2288" s="14">
        <v>44732</v>
      </c>
      <c r="B2288" s="13" t="s">
        <v>88</v>
      </c>
      <c r="C2288" s="13">
        <v>0</v>
      </c>
      <c r="D2288" s="13" t="s">
        <v>6</v>
      </c>
      <c r="E2288" s="12" t="str">
        <f>IF(june[[#This Row],[ShiftCounter]]&gt;0, "Running", "Down")</f>
        <v>Down</v>
      </c>
    </row>
    <row r="2289" spans="1:5" x14ac:dyDescent="0.25">
      <c r="A2289" s="14">
        <v>44732</v>
      </c>
      <c r="B2289" s="13" t="s">
        <v>88</v>
      </c>
      <c r="C2289" s="13">
        <v>0</v>
      </c>
      <c r="D2289" s="13" t="s">
        <v>7</v>
      </c>
      <c r="E2289" s="12" t="str">
        <f>IF(june[[#This Row],[ShiftCounter]]&gt;0, "Running", "Down")</f>
        <v>Down</v>
      </c>
    </row>
    <row r="2290" spans="1:5" x14ac:dyDescent="0.25">
      <c r="A2290" s="14">
        <v>44732</v>
      </c>
      <c r="B2290" s="13" t="s">
        <v>88</v>
      </c>
      <c r="C2290" s="13">
        <v>0</v>
      </c>
      <c r="D2290" s="13" t="s">
        <v>8</v>
      </c>
      <c r="E2290" s="12" t="str">
        <f>IF(june[[#This Row],[ShiftCounter]]&gt;0, "Running", "Down")</f>
        <v>Down</v>
      </c>
    </row>
    <row r="2291" spans="1:5" x14ac:dyDescent="0.25">
      <c r="A2291" s="14">
        <v>44732</v>
      </c>
      <c r="B2291" s="13" t="s">
        <v>17</v>
      </c>
      <c r="C2291" s="13">
        <v>1592</v>
      </c>
      <c r="D2291" s="13" t="s">
        <v>6</v>
      </c>
      <c r="E2291" s="12" t="str">
        <f>IF(june[[#This Row],[ShiftCounter]]&gt;0, "Running", "Down")</f>
        <v>Running</v>
      </c>
    </row>
    <row r="2292" spans="1:5" x14ac:dyDescent="0.25">
      <c r="A2292" s="14">
        <v>44732</v>
      </c>
      <c r="B2292" s="13" t="s">
        <v>17</v>
      </c>
      <c r="C2292" s="13">
        <v>2229</v>
      </c>
      <c r="D2292" s="13" t="s">
        <v>7</v>
      </c>
      <c r="E2292" s="12" t="str">
        <f>IF(june[[#This Row],[ShiftCounter]]&gt;0, "Running", "Down")</f>
        <v>Running</v>
      </c>
    </row>
    <row r="2293" spans="1:5" x14ac:dyDescent="0.25">
      <c r="A2293" s="14">
        <v>44732</v>
      </c>
      <c r="B2293" s="13" t="s">
        <v>17</v>
      </c>
      <c r="C2293" s="13">
        <v>2269</v>
      </c>
      <c r="D2293" s="13" t="s">
        <v>8</v>
      </c>
      <c r="E2293" s="12" t="str">
        <f>IF(june[[#This Row],[ShiftCounter]]&gt;0, "Running", "Down")</f>
        <v>Running</v>
      </c>
    </row>
    <row r="2294" spans="1:5" x14ac:dyDescent="0.25">
      <c r="A2294" s="14">
        <v>44732</v>
      </c>
      <c r="B2294" s="13" t="s">
        <v>19</v>
      </c>
      <c r="C2294" s="13">
        <v>0</v>
      </c>
      <c r="D2294" s="13" t="s">
        <v>6</v>
      </c>
      <c r="E2294" s="12" t="str">
        <f>IF(june[[#This Row],[ShiftCounter]]&gt;0, "Running", "Down")</f>
        <v>Down</v>
      </c>
    </row>
    <row r="2295" spans="1:5" x14ac:dyDescent="0.25">
      <c r="A2295" s="14">
        <v>44732</v>
      </c>
      <c r="B2295" s="13" t="s">
        <v>19</v>
      </c>
      <c r="C2295" s="13">
        <v>0</v>
      </c>
      <c r="D2295" s="13" t="s">
        <v>7</v>
      </c>
      <c r="E2295" s="12" t="str">
        <f>IF(june[[#This Row],[ShiftCounter]]&gt;0, "Running", "Down")</f>
        <v>Down</v>
      </c>
    </row>
    <row r="2296" spans="1:5" x14ac:dyDescent="0.25">
      <c r="A2296" s="14">
        <v>44732</v>
      </c>
      <c r="B2296" s="13" t="s">
        <v>19</v>
      </c>
      <c r="C2296" s="13">
        <v>0</v>
      </c>
      <c r="D2296" s="13" t="s">
        <v>8</v>
      </c>
      <c r="E2296" s="12" t="str">
        <f>IF(june[[#This Row],[ShiftCounter]]&gt;0, "Running", "Down")</f>
        <v>Down</v>
      </c>
    </row>
    <row r="2297" spans="1:5" x14ac:dyDescent="0.25">
      <c r="A2297" s="14">
        <v>44732</v>
      </c>
      <c r="B2297" s="13" t="s">
        <v>18</v>
      </c>
      <c r="C2297" s="13">
        <v>2297</v>
      </c>
      <c r="D2297" s="13" t="s">
        <v>6</v>
      </c>
      <c r="E2297" s="12" t="str">
        <f>IF(june[[#This Row],[ShiftCounter]]&gt;0, "Running", "Down")</f>
        <v>Running</v>
      </c>
    </row>
    <row r="2298" spans="1:5" x14ac:dyDescent="0.25">
      <c r="A2298" s="14">
        <v>44732</v>
      </c>
      <c r="B2298" s="13" t="s">
        <v>18</v>
      </c>
      <c r="C2298" s="13">
        <v>2284</v>
      </c>
      <c r="D2298" s="13" t="s">
        <v>7</v>
      </c>
      <c r="E2298" s="12" t="str">
        <f>IF(june[[#This Row],[ShiftCounter]]&gt;0, "Running", "Down")</f>
        <v>Running</v>
      </c>
    </row>
    <row r="2299" spans="1:5" x14ac:dyDescent="0.25">
      <c r="A2299" s="14">
        <v>44732</v>
      </c>
      <c r="B2299" s="13" t="s">
        <v>18</v>
      </c>
      <c r="C2299" s="13">
        <v>2302</v>
      </c>
      <c r="D2299" s="13" t="s">
        <v>8</v>
      </c>
      <c r="E2299" s="12" t="str">
        <f>IF(june[[#This Row],[ShiftCounter]]&gt;0, "Running", "Down")</f>
        <v>Running</v>
      </c>
    </row>
    <row r="2300" spans="1:5" x14ac:dyDescent="0.25">
      <c r="A2300" s="14">
        <v>44732</v>
      </c>
      <c r="B2300" s="13" t="s">
        <v>87</v>
      </c>
      <c r="C2300" s="13">
        <v>0</v>
      </c>
      <c r="D2300" s="13" t="s">
        <v>6</v>
      </c>
      <c r="E2300" s="12" t="str">
        <f>IF(june[[#This Row],[ShiftCounter]]&gt;0, "Running", "Down")</f>
        <v>Down</v>
      </c>
    </row>
    <row r="2301" spans="1:5" x14ac:dyDescent="0.25">
      <c r="A2301" s="14">
        <v>44732</v>
      </c>
      <c r="B2301" s="13" t="s">
        <v>87</v>
      </c>
      <c r="C2301" s="13">
        <v>0</v>
      </c>
      <c r="D2301" s="13" t="s">
        <v>7</v>
      </c>
      <c r="E2301" s="12" t="str">
        <f>IF(june[[#This Row],[ShiftCounter]]&gt;0, "Running", "Down")</f>
        <v>Down</v>
      </c>
    </row>
    <row r="2302" spans="1:5" x14ac:dyDescent="0.25">
      <c r="A2302" s="14">
        <v>44732</v>
      </c>
      <c r="B2302" s="13" t="s">
        <v>87</v>
      </c>
      <c r="C2302" s="13">
        <v>0</v>
      </c>
      <c r="D2302" s="13" t="s">
        <v>8</v>
      </c>
      <c r="E2302" s="12" t="str">
        <f>IF(june[[#This Row],[ShiftCounter]]&gt;0, "Running", "Down")</f>
        <v>Down</v>
      </c>
    </row>
    <row r="2303" spans="1:5" x14ac:dyDescent="0.25">
      <c r="A2303" s="14">
        <v>44732</v>
      </c>
      <c r="B2303" s="13" t="s">
        <v>42</v>
      </c>
      <c r="C2303" s="13">
        <v>0</v>
      </c>
      <c r="D2303" s="13" t="s">
        <v>6</v>
      </c>
      <c r="E2303" s="12" t="str">
        <f>IF(june[[#This Row],[ShiftCounter]]&gt;0, "Running", "Down")</f>
        <v>Down</v>
      </c>
    </row>
    <row r="2304" spans="1:5" x14ac:dyDescent="0.25">
      <c r="A2304" s="14">
        <v>44732</v>
      </c>
      <c r="B2304" s="13" t="s">
        <v>42</v>
      </c>
      <c r="C2304" s="13">
        <v>0</v>
      </c>
      <c r="D2304" s="13" t="s">
        <v>7</v>
      </c>
      <c r="E2304" s="12" t="str">
        <f>IF(june[[#This Row],[ShiftCounter]]&gt;0, "Running", "Down")</f>
        <v>Down</v>
      </c>
    </row>
    <row r="2305" spans="1:5" x14ac:dyDescent="0.25">
      <c r="A2305" s="14">
        <v>44732</v>
      </c>
      <c r="B2305" s="13" t="s">
        <v>42</v>
      </c>
      <c r="C2305" s="13">
        <v>0</v>
      </c>
      <c r="D2305" s="13" t="s">
        <v>8</v>
      </c>
      <c r="E2305" s="12" t="str">
        <f>IF(june[[#This Row],[ShiftCounter]]&gt;0, "Running", "Down")</f>
        <v>Down</v>
      </c>
    </row>
    <row r="2306" spans="1:5" x14ac:dyDescent="0.25">
      <c r="A2306" s="14">
        <v>44732</v>
      </c>
      <c r="B2306" s="13" t="s">
        <v>86</v>
      </c>
      <c r="C2306" s="13">
        <v>0</v>
      </c>
      <c r="D2306" s="13" t="s">
        <v>6</v>
      </c>
      <c r="E2306" s="12" t="str">
        <f>IF(june[[#This Row],[ShiftCounter]]&gt;0, "Running", "Down")</f>
        <v>Down</v>
      </c>
    </row>
    <row r="2307" spans="1:5" x14ac:dyDescent="0.25">
      <c r="A2307" s="14">
        <v>44732</v>
      </c>
      <c r="B2307" s="13" t="s">
        <v>86</v>
      </c>
      <c r="C2307" s="13">
        <v>0</v>
      </c>
      <c r="D2307" s="13" t="s">
        <v>7</v>
      </c>
      <c r="E2307" s="12" t="str">
        <f>IF(june[[#This Row],[ShiftCounter]]&gt;0, "Running", "Down")</f>
        <v>Down</v>
      </c>
    </row>
    <row r="2308" spans="1:5" x14ac:dyDescent="0.25">
      <c r="A2308" s="14">
        <v>44732</v>
      </c>
      <c r="B2308" s="13" t="s">
        <v>86</v>
      </c>
      <c r="C2308" s="13">
        <v>0</v>
      </c>
      <c r="D2308" s="13" t="s">
        <v>8</v>
      </c>
      <c r="E2308" s="12" t="str">
        <f>IF(june[[#This Row],[ShiftCounter]]&gt;0, "Running", "Down")</f>
        <v>Down</v>
      </c>
    </row>
    <row r="2309" spans="1:5" x14ac:dyDescent="0.25">
      <c r="A2309" s="14">
        <v>44732</v>
      </c>
      <c r="B2309" s="13" t="s">
        <v>38</v>
      </c>
      <c r="C2309" s="13">
        <v>1892</v>
      </c>
      <c r="D2309" s="13" t="s">
        <v>6</v>
      </c>
      <c r="E2309" s="12" t="str">
        <f>IF(june[[#This Row],[ShiftCounter]]&gt;0, "Running", "Down")</f>
        <v>Running</v>
      </c>
    </row>
    <row r="2310" spans="1:5" x14ac:dyDescent="0.25">
      <c r="A2310" s="14">
        <v>44732</v>
      </c>
      <c r="B2310" s="13" t="s">
        <v>38</v>
      </c>
      <c r="C2310" s="13">
        <v>2253</v>
      </c>
      <c r="D2310" s="13" t="s">
        <v>7</v>
      </c>
      <c r="E2310" s="12" t="str">
        <f>IF(june[[#This Row],[ShiftCounter]]&gt;0, "Running", "Down")</f>
        <v>Running</v>
      </c>
    </row>
    <row r="2311" spans="1:5" x14ac:dyDescent="0.25">
      <c r="A2311" s="14">
        <v>44732</v>
      </c>
      <c r="B2311" s="13" t="s">
        <v>38</v>
      </c>
      <c r="C2311" s="13">
        <v>2300</v>
      </c>
      <c r="D2311" s="13" t="s">
        <v>8</v>
      </c>
      <c r="E2311" s="12" t="str">
        <f>IF(june[[#This Row],[ShiftCounter]]&gt;0, "Running", "Down")</f>
        <v>Running</v>
      </c>
    </row>
    <row r="2312" spans="1:5" x14ac:dyDescent="0.25">
      <c r="A2312" s="14">
        <v>44732</v>
      </c>
      <c r="B2312" s="13" t="s">
        <v>83</v>
      </c>
      <c r="C2312" s="13">
        <v>0</v>
      </c>
      <c r="D2312" s="13" t="s">
        <v>6</v>
      </c>
      <c r="E2312" s="12" t="str">
        <f>IF(june[[#This Row],[ShiftCounter]]&gt;0, "Running", "Down")</f>
        <v>Down</v>
      </c>
    </row>
    <row r="2313" spans="1:5" x14ac:dyDescent="0.25">
      <c r="A2313" s="14">
        <v>44732</v>
      </c>
      <c r="B2313" s="13" t="s">
        <v>83</v>
      </c>
      <c r="C2313" s="13">
        <v>0</v>
      </c>
      <c r="D2313" s="13" t="s">
        <v>7</v>
      </c>
      <c r="E2313" s="12" t="str">
        <f>IF(june[[#This Row],[ShiftCounter]]&gt;0, "Running", "Down")</f>
        <v>Down</v>
      </c>
    </row>
    <row r="2314" spans="1:5" x14ac:dyDescent="0.25">
      <c r="A2314" s="14">
        <v>44732</v>
      </c>
      <c r="B2314" s="13" t="s">
        <v>83</v>
      </c>
      <c r="C2314" s="13">
        <v>0</v>
      </c>
      <c r="D2314" s="13" t="s">
        <v>8</v>
      </c>
      <c r="E2314" s="12" t="str">
        <f>IF(june[[#This Row],[ShiftCounter]]&gt;0, "Running", "Down")</f>
        <v>Down</v>
      </c>
    </row>
    <row r="2315" spans="1:5" x14ac:dyDescent="0.25">
      <c r="A2315" s="14">
        <v>44732</v>
      </c>
      <c r="B2315" s="13" t="s">
        <v>20</v>
      </c>
      <c r="C2315" s="13">
        <v>1339</v>
      </c>
      <c r="D2315" s="13" t="s">
        <v>6</v>
      </c>
      <c r="E2315" s="12" t="str">
        <f>IF(june[[#This Row],[ShiftCounter]]&gt;0, "Running", "Down")</f>
        <v>Running</v>
      </c>
    </row>
    <row r="2316" spans="1:5" x14ac:dyDescent="0.25">
      <c r="A2316" s="14">
        <v>44732</v>
      </c>
      <c r="B2316" s="13" t="s">
        <v>20</v>
      </c>
      <c r="C2316" s="13">
        <v>2253</v>
      </c>
      <c r="D2316" s="13" t="s">
        <v>7</v>
      </c>
      <c r="E2316" s="12" t="str">
        <f>IF(june[[#This Row],[ShiftCounter]]&gt;0, "Running", "Down")</f>
        <v>Running</v>
      </c>
    </row>
    <row r="2317" spans="1:5" x14ac:dyDescent="0.25">
      <c r="A2317" s="14">
        <v>44732</v>
      </c>
      <c r="B2317" s="13" t="s">
        <v>20</v>
      </c>
      <c r="C2317" s="13">
        <v>1899</v>
      </c>
      <c r="D2317" s="13" t="s">
        <v>8</v>
      </c>
      <c r="E2317" s="12" t="str">
        <f>IF(june[[#This Row],[ShiftCounter]]&gt;0, "Running", "Down")</f>
        <v>Running</v>
      </c>
    </row>
    <row r="2318" spans="1:5" x14ac:dyDescent="0.25">
      <c r="A2318" s="14">
        <v>44732</v>
      </c>
      <c r="B2318" s="13" t="s">
        <v>21</v>
      </c>
      <c r="C2318" s="13">
        <v>1969</v>
      </c>
      <c r="D2318" s="13" t="s">
        <v>6</v>
      </c>
      <c r="E2318" s="12" t="str">
        <f>IF(june[[#This Row],[ShiftCounter]]&gt;0, "Running", "Down")</f>
        <v>Running</v>
      </c>
    </row>
    <row r="2319" spans="1:5" x14ac:dyDescent="0.25">
      <c r="A2319" s="14">
        <v>44732</v>
      </c>
      <c r="B2319" s="13" t="s">
        <v>21</v>
      </c>
      <c r="C2319" s="13">
        <v>1960</v>
      </c>
      <c r="D2319" s="13" t="s">
        <v>7</v>
      </c>
      <c r="E2319" s="12" t="str">
        <f>IF(june[[#This Row],[ShiftCounter]]&gt;0, "Running", "Down")</f>
        <v>Running</v>
      </c>
    </row>
    <row r="2320" spans="1:5" x14ac:dyDescent="0.25">
      <c r="A2320" s="14">
        <v>44732</v>
      </c>
      <c r="B2320" s="13" t="s">
        <v>21</v>
      </c>
      <c r="C2320" s="13">
        <v>2003</v>
      </c>
      <c r="D2320" s="13" t="s">
        <v>8</v>
      </c>
      <c r="E2320" s="12" t="str">
        <f>IF(june[[#This Row],[ShiftCounter]]&gt;0, "Running", "Down")</f>
        <v>Running</v>
      </c>
    </row>
    <row r="2321" spans="1:5" x14ac:dyDescent="0.25">
      <c r="A2321" s="14">
        <v>44732</v>
      </c>
      <c r="B2321" s="13" t="s">
        <v>22</v>
      </c>
      <c r="C2321" s="13">
        <v>2423</v>
      </c>
      <c r="D2321" s="13" t="s">
        <v>6</v>
      </c>
      <c r="E2321" s="12" t="str">
        <f>IF(june[[#This Row],[ShiftCounter]]&gt;0, "Running", "Down")</f>
        <v>Running</v>
      </c>
    </row>
    <row r="2322" spans="1:5" x14ac:dyDescent="0.25">
      <c r="A2322" s="14">
        <v>44732</v>
      </c>
      <c r="B2322" s="13" t="s">
        <v>22</v>
      </c>
      <c r="C2322" s="13">
        <v>2375</v>
      </c>
      <c r="D2322" s="13" t="s">
        <v>7</v>
      </c>
      <c r="E2322" s="12" t="str">
        <f>IF(june[[#This Row],[ShiftCounter]]&gt;0, "Running", "Down")</f>
        <v>Running</v>
      </c>
    </row>
    <row r="2323" spans="1:5" x14ac:dyDescent="0.25">
      <c r="A2323" s="14">
        <v>44732</v>
      </c>
      <c r="B2323" s="13" t="s">
        <v>22</v>
      </c>
      <c r="C2323" s="13">
        <v>2110</v>
      </c>
      <c r="D2323" s="13" t="s">
        <v>8</v>
      </c>
      <c r="E2323" s="12" t="str">
        <f>IF(june[[#This Row],[ShiftCounter]]&gt;0, "Running", "Down")</f>
        <v>Running</v>
      </c>
    </row>
    <row r="2324" spans="1:5" x14ac:dyDescent="0.25">
      <c r="A2324" s="14">
        <v>44732</v>
      </c>
      <c r="B2324" s="13" t="s">
        <v>77</v>
      </c>
      <c r="C2324" s="13">
        <v>0</v>
      </c>
      <c r="D2324" s="13" t="s">
        <v>6</v>
      </c>
      <c r="E2324" s="12" t="str">
        <f>IF(june[[#This Row],[ShiftCounter]]&gt;0, "Running", "Down")</f>
        <v>Down</v>
      </c>
    </row>
    <row r="2325" spans="1:5" x14ac:dyDescent="0.25">
      <c r="A2325" s="14">
        <v>44732</v>
      </c>
      <c r="B2325" s="13" t="s">
        <v>77</v>
      </c>
      <c r="C2325" s="13">
        <v>0</v>
      </c>
      <c r="D2325" s="13" t="s">
        <v>7</v>
      </c>
      <c r="E2325" s="12" t="str">
        <f>IF(june[[#This Row],[ShiftCounter]]&gt;0, "Running", "Down")</f>
        <v>Down</v>
      </c>
    </row>
    <row r="2326" spans="1:5" x14ac:dyDescent="0.25">
      <c r="A2326" s="14">
        <v>44732</v>
      </c>
      <c r="B2326" s="13" t="s">
        <v>77</v>
      </c>
      <c r="C2326" s="13">
        <v>0</v>
      </c>
      <c r="D2326" s="13" t="s">
        <v>8</v>
      </c>
      <c r="E2326" s="12" t="str">
        <f>IF(june[[#This Row],[ShiftCounter]]&gt;0, "Running", "Down")</f>
        <v>Down</v>
      </c>
    </row>
    <row r="2327" spans="1:5" x14ac:dyDescent="0.25">
      <c r="A2327" s="14">
        <v>44732</v>
      </c>
      <c r="B2327" s="13" t="s">
        <v>23</v>
      </c>
      <c r="C2327" s="13">
        <v>1536</v>
      </c>
      <c r="D2327" s="13" t="s">
        <v>6</v>
      </c>
      <c r="E2327" s="12" t="str">
        <f>IF(june[[#This Row],[ShiftCounter]]&gt;0, "Running", "Down")</f>
        <v>Running</v>
      </c>
    </row>
    <row r="2328" spans="1:5" x14ac:dyDescent="0.25">
      <c r="A2328" s="14">
        <v>44732</v>
      </c>
      <c r="B2328" s="13" t="s">
        <v>23</v>
      </c>
      <c r="C2328" s="13">
        <v>2324</v>
      </c>
      <c r="D2328" s="13" t="s">
        <v>7</v>
      </c>
      <c r="E2328" s="12" t="str">
        <f>IF(june[[#This Row],[ShiftCounter]]&gt;0, "Running", "Down")</f>
        <v>Running</v>
      </c>
    </row>
    <row r="2329" spans="1:5" x14ac:dyDescent="0.25">
      <c r="A2329" s="14">
        <v>44732</v>
      </c>
      <c r="B2329" s="13" t="s">
        <v>23</v>
      </c>
      <c r="C2329" s="13">
        <v>2202</v>
      </c>
      <c r="D2329" s="13" t="s">
        <v>8</v>
      </c>
      <c r="E2329" s="12" t="str">
        <f>IF(june[[#This Row],[ShiftCounter]]&gt;0, "Running", "Down")</f>
        <v>Running</v>
      </c>
    </row>
    <row r="2330" spans="1:5" x14ac:dyDescent="0.25">
      <c r="A2330" s="14">
        <v>44732</v>
      </c>
      <c r="B2330" s="13" t="s">
        <v>24</v>
      </c>
      <c r="C2330" s="13">
        <v>2022</v>
      </c>
      <c r="D2330" s="13" t="s">
        <v>6</v>
      </c>
      <c r="E2330" s="12" t="str">
        <f>IF(june[[#This Row],[ShiftCounter]]&gt;0, "Running", "Down")</f>
        <v>Running</v>
      </c>
    </row>
    <row r="2331" spans="1:5" x14ac:dyDescent="0.25">
      <c r="A2331" s="14">
        <v>44732</v>
      </c>
      <c r="B2331" s="13" t="s">
        <v>24</v>
      </c>
      <c r="C2331" s="13">
        <v>1983</v>
      </c>
      <c r="D2331" s="13" t="s">
        <v>7</v>
      </c>
      <c r="E2331" s="12" t="str">
        <f>IF(june[[#This Row],[ShiftCounter]]&gt;0, "Running", "Down")</f>
        <v>Running</v>
      </c>
    </row>
    <row r="2332" spans="1:5" x14ac:dyDescent="0.25">
      <c r="A2332" s="14">
        <v>44732</v>
      </c>
      <c r="B2332" s="13" t="s">
        <v>24</v>
      </c>
      <c r="C2332" s="13">
        <v>2031</v>
      </c>
      <c r="D2332" s="13" t="s">
        <v>8</v>
      </c>
      <c r="E2332" s="12" t="str">
        <f>IF(june[[#This Row],[ShiftCounter]]&gt;0, "Running", "Down")</f>
        <v>Running</v>
      </c>
    </row>
    <row r="2333" spans="1:5" x14ac:dyDescent="0.25">
      <c r="A2333" s="14">
        <v>44732</v>
      </c>
      <c r="B2333" s="13" t="s">
        <v>75</v>
      </c>
      <c r="C2333" s="13">
        <v>0</v>
      </c>
      <c r="D2333" s="13" t="s">
        <v>6</v>
      </c>
      <c r="E2333" s="12" t="str">
        <f>IF(june[[#This Row],[ShiftCounter]]&gt;0, "Running", "Down")</f>
        <v>Down</v>
      </c>
    </row>
    <row r="2334" spans="1:5" x14ac:dyDescent="0.25">
      <c r="A2334" s="14">
        <v>44732</v>
      </c>
      <c r="B2334" s="13" t="s">
        <v>75</v>
      </c>
      <c r="C2334" s="13">
        <v>0</v>
      </c>
      <c r="D2334" s="13" t="s">
        <v>7</v>
      </c>
      <c r="E2334" s="12" t="str">
        <f>IF(june[[#This Row],[ShiftCounter]]&gt;0, "Running", "Down")</f>
        <v>Down</v>
      </c>
    </row>
    <row r="2335" spans="1:5" x14ac:dyDescent="0.25">
      <c r="A2335" s="14">
        <v>44732</v>
      </c>
      <c r="B2335" s="13" t="s">
        <v>75</v>
      </c>
      <c r="C2335" s="13">
        <v>0</v>
      </c>
      <c r="D2335" s="13" t="s">
        <v>8</v>
      </c>
      <c r="E2335" s="12" t="str">
        <f>IF(june[[#This Row],[ShiftCounter]]&gt;0, "Running", "Down")</f>
        <v>Down</v>
      </c>
    </row>
    <row r="2336" spans="1:5" x14ac:dyDescent="0.25">
      <c r="A2336" s="14">
        <v>44732</v>
      </c>
      <c r="B2336" s="13" t="s">
        <v>25</v>
      </c>
      <c r="C2336" s="13">
        <v>1944</v>
      </c>
      <c r="D2336" s="13" t="s">
        <v>6</v>
      </c>
      <c r="E2336" s="12" t="str">
        <f>IF(june[[#This Row],[ShiftCounter]]&gt;0, "Running", "Down")</f>
        <v>Running</v>
      </c>
    </row>
    <row r="2337" spans="1:5" x14ac:dyDescent="0.25">
      <c r="A2337" s="14">
        <v>44732</v>
      </c>
      <c r="B2337" s="13" t="s">
        <v>25</v>
      </c>
      <c r="C2337" s="13">
        <v>2146</v>
      </c>
      <c r="D2337" s="13" t="s">
        <v>7</v>
      </c>
      <c r="E2337" s="12" t="str">
        <f>IF(june[[#This Row],[ShiftCounter]]&gt;0, "Running", "Down")</f>
        <v>Running</v>
      </c>
    </row>
    <row r="2338" spans="1:5" x14ac:dyDescent="0.25">
      <c r="A2338" s="14">
        <v>44732</v>
      </c>
      <c r="B2338" s="13" t="s">
        <v>25</v>
      </c>
      <c r="C2338" s="13">
        <v>2186</v>
      </c>
      <c r="D2338" s="13" t="s">
        <v>8</v>
      </c>
      <c r="E2338" s="12" t="str">
        <f>IF(june[[#This Row],[ShiftCounter]]&gt;0, "Running", "Down")</f>
        <v>Running</v>
      </c>
    </row>
    <row r="2339" spans="1:5" x14ac:dyDescent="0.25">
      <c r="A2339" s="14">
        <v>44732</v>
      </c>
      <c r="B2339" s="13" t="s">
        <v>74</v>
      </c>
      <c r="C2339" s="13">
        <v>1086</v>
      </c>
      <c r="D2339" s="13" t="s">
        <v>6</v>
      </c>
      <c r="E2339" s="12" t="str">
        <f>IF(june[[#This Row],[ShiftCounter]]&gt;0, "Running", "Down")</f>
        <v>Running</v>
      </c>
    </row>
    <row r="2340" spans="1:5" x14ac:dyDescent="0.25">
      <c r="A2340" s="14">
        <v>44732</v>
      </c>
      <c r="B2340" s="13" t="s">
        <v>74</v>
      </c>
      <c r="C2340" s="13">
        <v>1905</v>
      </c>
      <c r="D2340" s="13" t="s">
        <v>7</v>
      </c>
      <c r="E2340" s="12" t="str">
        <f>IF(june[[#This Row],[ShiftCounter]]&gt;0, "Running", "Down")</f>
        <v>Running</v>
      </c>
    </row>
    <row r="2341" spans="1:5" x14ac:dyDescent="0.25">
      <c r="A2341" s="14">
        <v>44732</v>
      </c>
      <c r="B2341" s="13" t="s">
        <v>74</v>
      </c>
      <c r="C2341" s="13">
        <v>1932</v>
      </c>
      <c r="D2341" s="13" t="s">
        <v>8</v>
      </c>
      <c r="E2341" s="12" t="str">
        <f>IF(june[[#This Row],[ShiftCounter]]&gt;0, "Running", "Down")</f>
        <v>Running</v>
      </c>
    </row>
    <row r="2342" spans="1:5" x14ac:dyDescent="0.25">
      <c r="A2342" s="14">
        <v>44732</v>
      </c>
      <c r="B2342" s="13" t="s">
        <v>26</v>
      </c>
      <c r="C2342" s="13">
        <v>1976</v>
      </c>
      <c r="D2342" s="13" t="s">
        <v>6</v>
      </c>
      <c r="E2342" s="12" t="str">
        <f>IF(june[[#This Row],[ShiftCounter]]&gt;0, "Running", "Down")</f>
        <v>Running</v>
      </c>
    </row>
    <row r="2343" spans="1:5" x14ac:dyDescent="0.25">
      <c r="A2343" s="14">
        <v>44732</v>
      </c>
      <c r="B2343" s="13" t="s">
        <v>26</v>
      </c>
      <c r="C2343" s="13">
        <v>1965</v>
      </c>
      <c r="D2343" s="13" t="s">
        <v>7</v>
      </c>
      <c r="E2343" s="12" t="str">
        <f>IF(june[[#This Row],[ShiftCounter]]&gt;0, "Running", "Down")</f>
        <v>Running</v>
      </c>
    </row>
    <row r="2344" spans="1:5" x14ac:dyDescent="0.25">
      <c r="A2344" s="14">
        <v>44732</v>
      </c>
      <c r="B2344" s="13" t="s">
        <v>26</v>
      </c>
      <c r="C2344" s="13">
        <v>2002</v>
      </c>
      <c r="D2344" s="13" t="s">
        <v>8</v>
      </c>
      <c r="E2344" s="12" t="str">
        <f>IF(june[[#This Row],[ShiftCounter]]&gt;0, "Running", "Down")</f>
        <v>Running</v>
      </c>
    </row>
    <row r="2345" spans="1:5" x14ac:dyDescent="0.25">
      <c r="A2345" s="14">
        <v>44732</v>
      </c>
      <c r="B2345" s="13" t="s">
        <v>27</v>
      </c>
      <c r="C2345" s="13">
        <v>2281</v>
      </c>
      <c r="D2345" s="13" t="s">
        <v>6</v>
      </c>
      <c r="E2345" s="12" t="str">
        <f>IF(june[[#This Row],[ShiftCounter]]&gt;0, "Running", "Down")</f>
        <v>Running</v>
      </c>
    </row>
    <row r="2346" spans="1:5" x14ac:dyDescent="0.25">
      <c r="A2346" s="14">
        <v>44732</v>
      </c>
      <c r="B2346" s="13" t="s">
        <v>27</v>
      </c>
      <c r="C2346" s="13">
        <v>2262</v>
      </c>
      <c r="D2346" s="13" t="s">
        <v>7</v>
      </c>
      <c r="E2346" s="12" t="str">
        <f>IF(june[[#This Row],[ShiftCounter]]&gt;0, "Running", "Down")</f>
        <v>Running</v>
      </c>
    </row>
    <row r="2347" spans="1:5" x14ac:dyDescent="0.25">
      <c r="A2347" s="14">
        <v>44732</v>
      </c>
      <c r="B2347" s="13" t="s">
        <v>27</v>
      </c>
      <c r="C2347" s="13">
        <v>2311</v>
      </c>
      <c r="D2347" s="13" t="s">
        <v>8</v>
      </c>
      <c r="E2347" s="12" t="str">
        <f>IF(june[[#This Row],[ShiftCounter]]&gt;0, "Running", "Down")</f>
        <v>Running</v>
      </c>
    </row>
    <row r="2348" spans="1:5" x14ac:dyDescent="0.25">
      <c r="A2348" s="14">
        <v>44732</v>
      </c>
      <c r="B2348" s="13" t="s">
        <v>28</v>
      </c>
      <c r="C2348" s="13">
        <v>2088</v>
      </c>
      <c r="D2348" s="13" t="s">
        <v>6</v>
      </c>
      <c r="E2348" s="12" t="str">
        <f>IF(june[[#This Row],[ShiftCounter]]&gt;0, "Running", "Down")</f>
        <v>Running</v>
      </c>
    </row>
    <row r="2349" spans="1:5" x14ac:dyDescent="0.25">
      <c r="A2349" s="14">
        <v>44732</v>
      </c>
      <c r="B2349" s="13" t="s">
        <v>28</v>
      </c>
      <c r="C2349" s="13">
        <v>2134</v>
      </c>
      <c r="D2349" s="13" t="s">
        <v>7</v>
      </c>
      <c r="E2349" s="12" t="str">
        <f>IF(june[[#This Row],[ShiftCounter]]&gt;0, "Running", "Down")</f>
        <v>Running</v>
      </c>
    </row>
    <row r="2350" spans="1:5" x14ac:dyDescent="0.25">
      <c r="A2350" s="14">
        <v>44732</v>
      </c>
      <c r="B2350" s="13" t="s">
        <v>28</v>
      </c>
      <c r="C2350" s="13">
        <v>1977</v>
      </c>
      <c r="D2350" s="13" t="s">
        <v>8</v>
      </c>
      <c r="E2350" s="12" t="str">
        <f>IF(june[[#This Row],[ShiftCounter]]&gt;0, "Running", "Down")</f>
        <v>Running</v>
      </c>
    </row>
    <row r="2351" spans="1:5" x14ac:dyDescent="0.25">
      <c r="A2351" s="14">
        <v>44732</v>
      </c>
      <c r="B2351" s="13" t="s">
        <v>72</v>
      </c>
      <c r="C2351" s="13">
        <v>0</v>
      </c>
      <c r="D2351" s="13" t="s">
        <v>6</v>
      </c>
      <c r="E2351" s="12" t="str">
        <f>IF(june[[#This Row],[ShiftCounter]]&gt;0, "Running", "Down")</f>
        <v>Down</v>
      </c>
    </row>
    <row r="2352" spans="1:5" x14ac:dyDescent="0.25">
      <c r="A2352" s="14">
        <v>44732</v>
      </c>
      <c r="B2352" s="13" t="s">
        <v>72</v>
      </c>
      <c r="C2352" s="13">
        <v>0</v>
      </c>
      <c r="D2352" s="13" t="s">
        <v>7</v>
      </c>
      <c r="E2352" s="12" t="str">
        <f>IF(june[[#This Row],[ShiftCounter]]&gt;0, "Running", "Down")</f>
        <v>Down</v>
      </c>
    </row>
    <row r="2353" spans="1:5" x14ac:dyDescent="0.25">
      <c r="A2353" s="14">
        <v>44732</v>
      </c>
      <c r="B2353" s="13" t="s">
        <v>72</v>
      </c>
      <c r="C2353" s="13">
        <v>0</v>
      </c>
      <c r="D2353" s="13" t="s">
        <v>8</v>
      </c>
      <c r="E2353" s="12" t="str">
        <f>IF(june[[#This Row],[ShiftCounter]]&gt;0, "Running", "Down")</f>
        <v>Down</v>
      </c>
    </row>
    <row r="2354" spans="1:5" x14ac:dyDescent="0.25">
      <c r="A2354" s="14">
        <v>44732</v>
      </c>
      <c r="B2354" s="13" t="s">
        <v>29</v>
      </c>
      <c r="C2354" s="13">
        <v>2110</v>
      </c>
      <c r="D2354" s="13" t="s">
        <v>6</v>
      </c>
      <c r="E2354" s="12" t="str">
        <f>IF(june[[#This Row],[ShiftCounter]]&gt;0, "Running", "Down")</f>
        <v>Running</v>
      </c>
    </row>
    <row r="2355" spans="1:5" x14ac:dyDescent="0.25">
      <c r="A2355" s="14">
        <v>44732</v>
      </c>
      <c r="B2355" s="13" t="s">
        <v>29</v>
      </c>
      <c r="C2355" s="13">
        <v>2129</v>
      </c>
      <c r="D2355" s="13" t="s">
        <v>7</v>
      </c>
      <c r="E2355" s="12" t="str">
        <f>IF(june[[#This Row],[ShiftCounter]]&gt;0, "Running", "Down")</f>
        <v>Running</v>
      </c>
    </row>
    <row r="2356" spans="1:5" x14ac:dyDescent="0.25">
      <c r="A2356" s="14">
        <v>44732</v>
      </c>
      <c r="B2356" s="13" t="s">
        <v>29</v>
      </c>
      <c r="C2356" s="13">
        <v>2116</v>
      </c>
      <c r="D2356" s="13" t="s">
        <v>8</v>
      </c>
      <c r="E2356" s="12" t="str">
        <f>IF(june[[#This Row],[ShiftCounter]]&gt;0, "Running", "Down")</f>
        <v>Running</v>
      </c>
    </row>
    <row r="2357" spans="1:5" x14ac:dyDescent="0.25">
      <c r="A2357" s="14">
        <v>44732</v>
      </c>
      <c r="B2357" s="13" t="s">
        <v>30</v>
      </c>
      <c r="C2357" s="13">
        <v>2170</v>
      </c>
      <c r="D2357" s="13" t="s">
        <v>6</v>
      </c>
      <c r="E2357" s="12" t="str">
        <f>IF(june[[#This Row],[ShiftCounter]]&gt;0, "Running", "Down")</f>
        <v>Running</v>
      </c>
    </row>
    <row r="2358" spans="1:5" x14ac:dyDescent="0.25">
      <c r="A2358" s="14">
        <v>44732</v>
      </c>
      <c r="B2358" s="13" t="s">
        <v>30</v>
      </c>
      <c r="C2358" s="13">
        <v>2156</v>
      </c>
      <c r="D2358" s="13" t="s">
        <v>7</v>
      </c>
      <c r="E2358" s="12" t="str">
        <f>IF(june[[#This Row],[ShiftCounter]]&gt;0, "Running", "Down")</f>
        <v>Running</v>
      </c>
    </row>
    <row r="2359" spans="1:5" x14ac:dyDescent="0.25">
      <c r="A2359" s="14">
        <v>44732</v>
      </c>
      <c r="B2359" s="13" t="s">
        <v>30</v>
      </c>
      <c r="C2359" s="13">
        <v>2173</v>
      </c>
      <c r="D2359" s="13" t="s">
        <v>8</v>
      </c>
      <c r="E2359" s="12" t="str">
        <f>IF(june[[#This Row],[ShiftCounter]]&gt;0, "Running", "Down")</f>
        <v>Running</v>
      </c>
    </row>
    <row r="2360" spans="1:5" x14ac:dyDescent="0.25">
      <c r="A2360" s="14">
        <v>44732</v>
      </c>
      <c r="B2360" s="13" t="s">
        <v>31</v>
      </c>
      <c r="C2360" s="13">
        <v>758</v>
      </c>
      <c r="D2360" s="13" t="s">
        <v>6</v>
      </c>
      <c r="E2360" s="12" t="str">
        <f>IF(june[[#This Row],[ShiftCounter]]&gt;0, "Running", "Down")</f>
        <v>Running</v>
      </c>
    </row>
    <row r="2361" spans="1:5" x14ac:dyDescent="0.25">
      <c r="A2361" s="14">
        <v>44732</v>
      </c>
      <c r="B2361" s="13" t="s">
        <v>31</v>
      </c>
      <c r="C2361" s="13">
        <v>1939</v>
      </c>
      <c r="D2361" s="13" t="s">
        <v>7</v>
      </c>
      <c r="E2361" s="12" t="str">
        <f>IF(june[[#This Row],[ShiftCounter]]&gt;0, "Running", "Down")</f>
        <v>Running</v>
      </c>
    </row>
    <row r="2362" spans="1:5" x14ac:dyDescent="0.25">
      <c r="A2362" s="14">
        <v>44732</v>
      </c>
      <c r="B2362" s="13" t="s">
        <v>31</v>
      </c>
      <c r="C2362" s="13">
        <v>1994</v>
      </c>
      <c r="D2362" s="13" t="s">
        <v>8</v>
      </c>
      <c r="E2362" s="12" t="str">
        <f>IF(june[[#This Row],[ShiftCounter]]&gt;0, "Running", "Down")</f>
        <v>Running</v>
      </c>
    </row>
    <row r="2363" spans="1:5" x14ac:dyDescent="0.25">
      <c r="A2363" s="14">
        <v>44732</v>
      </c>
      <c r="B2363" s="13" t="s">
        <v>32</v>
      </c>
      <c r="C2363" s="13">
        <v>2379</v>
      </c>
      <c r="D2363" s="13" t="s">
        <v>6</v>
      </c>
      <c r="E2363" s="12" t="str">
        <f>IF(june[[#This Row],[ShiftCounter]]&gt;0, "Running", "Down")</f>
        <v>Running</v>
      </c>
    </row>
    <row r="2364" spans="1:5" x14ac:dyDescent="0.25">
      <c r="A2364" s="14">
        <v>44732</v>
      </c>
      <c r="B2364" s="13" t="s">
        <v>32</v>
      </c>
      <c r="C2364" s="13">
        <v>2417</v>
      </c>
      <c r="D2364" s="13" t="s">
        <v>7</v>
      </c>
      <c r="E2364" s="12" t="str">
        <f>IF(june[[#This Row],[ShiftCounter]]&gt;0, "Running", "Down")</f>
        <v>Running</v>
      </c>
    </row>
    <row r="2365" spans="1:5" x14ac:dyDescent="0.25">
      <c r="A2365" s="14">
        <v>44732</v>
      </c>
      <c r="B2365" s="13" t="s">
        <v>32</v>
      </c>
      <c r="C2365" s="13">
        <v>2463</v>
      </c>
      <c r="D2365" s="13" t="s">
        <v>8</v>
      </c>
      <c r="E2365" s="12" t="str">
        <f>IF(june[[#This Row],[ShiftCounter]]&gt;0, "Running", "Down")</f>
        <v>Running</v>
      </c>
    </row>
    <row r="2366" spans="1:5" x14ac:dyDescent="0.25">
      <c r="A2366" s="14">
        <v>44732</v>
      </c>
      <c r="B2366" s="13" t="s">
        <v>67</v>
      </c>
      <c r="C2366" s="13">
        <v>2004</v>
      </c>
      <c r="D2366" s="13" t="s">
        <v>6</v>
      </c>
      <c r="E2366" s="12" t="str">
        <f>IF(june[[#This Row],[ShiftCounter]]&gt;0, "Running", "Down")</f>
        <v>Running</v>
      </c>
    </row>
    <row r="2367" spans="1:5" x14ac:dyDescent="0.25">
      <c r="A2367" s="14">
        <v>44732</v>
      </c>
      <c r="B2367" s="13" t="s">
        <v>67</v>
      </c>
      <c r="C2367" s="13">
        <v>2064</v>
      </c>
      <c r="D2367" s="13" t="s">
        <v>7</v>
      </c>
      <c r="E2367" s="12" t="str">
        <f>IF(june[[#This Row],[ShiftCounter]]&gt;0, "Running", "Down")</f>
        <v>Running</v>
      </c>
    </row>
    <row r="2368" spans="1:5" x14ac:dyDescent="0.25">
      <c r="A2368" s="14">
        <v>44732</v>
      </c>
      <c r="B2368" s="13" t="s">
        <v>67</v>
      </c>
      <c r="C2368" s="13">
        <v>2047</v>
      </c>
      <c r="D2368" s="13" t="s">
        <v>8</v>
      </c>
      <c r="E2368" s="12" t="str">
        <f>IF(june[[#This Row],[ShiftCounter]]&gt;0, "Running", "Down")</f>
        <v>Running</v>
      </c>
    </row>
    <row r="2369" spans="1:5" x14ac:dyDescent="0.25">
      <c r="A2369" s="14">
        <v>44732</v>
      </c>
      <c r="B2369" s="13" t="s">
        <v>33</v>
      </c>
      <c r="C2369" s="13">
        <v>2373</v>
      </c>
      <c r="D2369" s="13" t="s">
        <v>6</v>
      </c>
      <c r="E2369" s="12" t="str">
        <f>IF(june[[#This Row],[ShiftCounter]]&gt;0, "Running", "Down")</f>
        <v>Running</v>
      </c>
    </row>
    <row r="2370" spans="1:5" x14ac:dyDescent="0.25">
      <c r="A2370" s="14">
        <v>44732</v>
      </c>
      <c r="B2370" s="13" t="s">
        <v>33</v>
      </c>
      <c r="C2370" s="13">
        <v>2348</v>
      </c>
      <c r="D2370" s="13" t="s">
        <v>7</v>
      </c>
      <c r="E2370" s="12" t="str">
        <f>IF(june[[#This Row],[ShiftCounter]]&gt;0, "Running", "Down")</f>
        <v>Running</v>
      </c>
    </row>
    <row r="2371" spans="1:5" x14ac:dyDescent="0.25">
      <c r="A2371" s="14">
        <v>44732</v>
      </c>
      <c r="B2371" s="13" t="s">
        <v>33</v>
      </c>
      <c r="C2371" s="13">
        <v>2404</v>
      </c>
      <c r="D2371" s="13" t="s">
        <v>8</v>
      </c>
      <c r="E2371" s="12" t="str">
        <f>IF(june[[#This Row],[ShiftCounter]]&gt;0, "Running", "Down")</f>
        <v>Running</v>
      </c>
    </row>
    <row r="2372" spans="1:5" x14ac:dyDescent="0.25">
      <c r="A2372" s="14">
        <v>44732</v>
      </c>
      <c r="B2372" s="13" t="s">
        <v>34</v>
      </c>
      <c r="C2372" s="13">
        <v>1896</v>
      </c>
      <c r="D2372" s="13" t="s">
        <v>6</v>
      </c>
      <c r="E2372" s="12" t="str">
        <f>IF(june[[#This Row],[ShiftCounter]]&gt;0, "Running", "Down")</f>
        <v>Running</v>
      </c>
    </row>
    <row r="2373" spans="1:5" x14ac:dyDescent="0.25">
      <c r="A2373" s="14">
        <v>44732</v>
      </c>
      <c r="B2373" s="13" t="s">
        <v>34</v>
      </c>
      <c r="C2373" s="13">
        <v>1922</v>
      </c>
      <c r="D2373" s="13" t="s">
        <v>7</v>
      </c>
      <c r="E2373" s="12" t="str">
        <f>IF(june[[#This Row],[ShiftCounter]]&gt;0, "Running", "Down")</f>
        <v>Running</v>
      </c>
    </row>
    <row r="2374" spans="1:5" x14ac:dyDescent="0.25">
      <c r="A2374" s="14">
        <v>44732</v>
      </c>
      <c r="B2374" s="13" t="s">
        <v>34</v>
      </c>
      <c r="C2374" s="13">
        <v>1960</v>
      </c>
      <c r="D2374" s="13" t="s">
        <v>8</v>
      </c>
      <c r="E2374" s="12" t="str">
        <f>IF(june[[#This Row],[ShiftCounter]]&gt;0, "Running", "Down")</f>
        <v>Running</v>
      </c>
    </row>
    <row r="2375" spans="1:5" x14ac:dyDescent="0.25">
      <c r="A2375" s="14">
        <v>44732</v>
      </c>
      <c r="B2375" s="13" t="s">
        <v>35</v>
      </c>
      <c r="C2375" s="13">
        <v>0</v>
      </c>
      <c r="D2375" s="13" t="s">
        <v>6</v>
      </c>
      <c r="E2375" s="12" t="str">
        <f>IF(june[[#This Row],[ShiftCounter]]&gt;0, "Running", "Down")</f>
        <v>Down</v>
      </c>
    </row>
    <row r="2376" spans="1:5" x14ac:dyDescent="0.25">
      <c r="A2376" s="14">
        <v>44732</v>
      </c>
      <c r="B2376" s="13" t="s">
        <v>35</v>
      </c>
      <c r="C2376" s="13">
        <v>0</v>
      </c>
      <c r="D2376" s="13" t="s">
        <v>7</v>
      </c>
      <c r="E2376" s="12" t="str">
        <f>IF(june[[#This Row],[ShiftCounter]]&gt;0, "Running", "Down")</f>
        <v>Down</v>
      </c>
    </row>
    <row r="2377" spans="1:5" x14ac:dyDescent="0.25">
      <c r="A2377" s="14">
        <v>44732</v>
      </c>
      <c r="B2377" s="13" t="s">
        <v>35</v>
      </c>
      <c r="C2377" s="13">
        <v>0</v>
      </c>
      <c r="D2377" s="13" t="s">
        <v>8</v>
      </c>
      <c r="E2377" s="12" t="str">
        <f>IF(june[[#This Row],[ShiftCounter]]&gt;0, "Running", "Down")</f>
        <v>Down</v>
      </c>
    </row>
    <row r="2378" spans="1:5" x14ac:dyDescent="0.25">
      <c r="A2378" s="14">
        <v>44732</v>
      </c>
      <c r="B2378" s="13" t="s">
        <v>63</v>
      </c>
      <c r="C2378" s="13">
        <v>0</v>
      </c>
      <c r="D2378" s="13" t="s">
        <v>6</v>
      </c>
      <c r="E2378" s="12" t="str">
        <f>IF(june[[#This Row],[ShiftCounter]]&gt;0, "Running", "Down")</f>
        <v>Down</v>
      </c>
    </row>
    <row r="2379" spans="1:5" x14ac:dyDescent="0.25">
      <c r="A2379" s="14">
        <v>44732</v>
      </c>
      <c r="B2379" s="13" t="s">
        <v>63</v>
      </c>
      <c r="C2379" s="13">
        <v>0</v>
      </c>
      <c r="D2379" s="13" t="s">
        <v>7</v>
      </c>
      <c r="E2379" s="12" t="str">
        <f>IF(june[[#This Row],[ShiftCounter]]&gt;0, "Running", "Down")</f>
        <v>Down</v>
      </c>
    </row>
    <row r="2380" spans="1:5" x14ac:dyDescent="0.25">
      <c r="A2380" s="14">
        <v>44732</v>
      </c>
      <c r="B2380" s="13" t="s">
        <v>63</v>
      </c>
      <c r="C2380" s="13">
        <v>0</v>
      </c>
      <c r="D2380" s="13" t="s">
        <v>8</v>
      </c>
      <c r="E2380" s="12" t="str">
        <f>IF(june[[#This Row],[ShiftCounter]]&gt;0, "Running", "Down")</f>
        <v>Down</v>
      </c>
    </row>
    <row r="2381" spans="1:5" x14ac:dyDescent="0.25">
      <c r="A2381" s="14">
        <v>44732</v>
      </c>
      <c r="B2381" s="13" t="s">
        <v>36</v>
      </c>
      <c r="C2381" s="13">
        <v>0</v>
      </c>
      <c r="D2381" s="13" t="s">
        <v>6</v>
      </c>
      <c r="E2381" s="12" t="str">
        <f>IF(june[[#This Row],[ShiftCounter]]&gt;0, "Running", "Down")</f>
        <v>Down</v>
      </c>
    </row>
    <row r="2382" spans="1:5" x14ac:dyDescent="0.25">
      <c r="A2382" s="14">
        <v>44732</v>
      </c>
      <c r="B2382" s="13" t="s">
        <v>36</v>
      </c>
      <c r="C2382" s="13">
        <v>0</v>
      </c>
      <c r="D2382" s="13" t="s">
        <v>7</v>
      </c>
      <c r="E2382" s="12" t="str">
        <f>IF(june[[#This Row],[ShiftCounter]]&gt;0, "Running", "Down")</f>
        <v>Down</v>
      </c>
    </row>
    <row r="2383" spans="1:5" x14ac:dyDescent="0.25">
      <c r="A2383" s="14">
        <v>44732</v>
      </c>
      <c r="B2383" s="13" t="s">
        <v>36</v>
      </c>
      <c r="C2383" s="13">
        <v>0</v>
      </c>
      <c r="D2383" s="13" t="s">
        <v>8</v>
      </c>
      <c r="E2383" s="12" t="str">
        <f>IF(june[[#This Row],[ShiftCounter]]&gt;0, "Running", "Down")</f>
        <v>Down</v>
      </c>
    </row>
    <row r="2384" spans="1:5" x14ac:dyDescent="0.25">
      <c r="A2384" s="14">
        <v>44732</v>
      </c>
      <c r="B2384" s="13" t="s">
        <v>62</v>
      </c>
      <c r="C2384" s="13">
        <v>0</v>
      </c>
      <c r="D2384" s="13" t="s">
        <v>6</v>
      </c>
      <c r="E2384" s="12" t="str">
        <f>IF(june[[#This Row],[ShiftCounter]]&gt;0, "Running", "Down")</f>
        <v>Down</v>
      </c>
    </row>
    <row r="2385" spans="1:5" x14ac:dyDescent="0.25">
      <c r="A2385" s="14">
        <v>44732</v>
      </c>
      <c r="B2385" s="13" t="s">
        <v>62</v>
      </c>
      <c r="C2385" s="13">
        <v>0</v>
      </c>
      <c r="D2385" s="13" t="s">
        <v>7</v>
      </c>
      <c r="E2385" s="12" t="str">
        <f>IF(june[[#This Row],[ShiftCounter]]&gt;0, "Running", "Down")</f>
        <v>Down</v>
      </c>
    </row>
    <row r="2386" spans="1:5" x14ac:dyDescent="0.25">
      <c r="A2386" s="14">
        <v>44732</v>
      </c>
      <c r="B2386" s="13" t="s">
        <v>62</v>
      </c>
      <c r="C2386" s="13">
        <v>0</v>
      </c>
      <c r="D2386" s="13" t="s">
        <v>8</v>
      </c>
      <c r="E2386" s="12" t="str">
        <f>IF(june[[#This Row],[ShiftCounter]]&gt;0, "Running", "Down")</f>
        <v>Down</v>
      </c>
    </row>
    <row r="2387" spans="1:5" x14ac:dyDescent="0.25">
      <c r="A2387" s="14">
        <v>44732</v>
      </c>
      <c r="B2387" s="13" t="s">
        <v>37</v>
      </c>
      <c r="C2387" s="13">
        <v>2027</v>
      </c>
      <c r="D2387" s="13" t="s">
        <v>6</v>
      </c>
      <c r="E2387" s="12" t="str">
        <f>IF(june[[#This Row],[ShiftCounter]]&gt;0, "Running", "Down")</f>
        <v>Running</v>
      </c>
    </row>
    <row r="2388" spans="1:5" x14ac:dyDescent="0.25">
      <c r="A2388" s="14">
        <v>44732</v>
      </c>
      <c r="B2388" s="13" t="s">
        <v>37</v>
      </c>
      <c r="C2388" s="13">
        <v>2124</v>
      </c>
      <c r="D2388" s="13" t="s">
        <v>7</v>
      </c>
      <c r="E2388" s="12" t="str">
        <f>IF(june[[#This Row],[ShiftCounter]]&gt;0, "Running", "Down")</f>
        <v>Running</v>
      </c>
    </row>
    <row r="2389" spans="1:5" x14ac:dyDescent="0.25">
      <c r="A2389" s="14">
        <v>44732</v>
      </c>
      <c r="B2389" s="13" t="s">
        <v>37</v>
      </c>
      <c r="C2389" s="13">
        <v>2078</v>
      </c>
      <c r="D2389" s="13" t="s">
        <v>8</v>
      </c>
      <c r="E2389" s="12" t="str">
        <f>IF(june[[#This Row],[ShiftCounter]]&gt;0, "Running", "Down")</f>
        <v>Running</v>
      </c>
    </row>
    <row r="2390" spans="1:5" x14ac:dyDescent="0.25">
      <c r="A2390" s="14">
        <v>44732</v>
      </c>
      <c r="B2390" s="13" t="s">
        <v>61</v>
      </c>
      <c r="C2390" s="13">
        <v>0</v>
      </c>
      <c r="D2390" s="13" t="s">
        <v>6</v>
      </c>
      <c r="E2390" s="12" t="str">
        <f>IF(june[[#This Row],[ShiftCounter]]&gt;0, "Running", "Down")</f>
        <v>Down</v>
      </c>
    </row>
    <row r="2391" spans="1:5" x14ac:dyDescent="0.25">
      <c r="A2391" s="14">
        <v>44732</v>
      </c>
      <c r="B2391" s="13" t="s">
        <v>61</v>
      </c>
      <c r="C2391" s="13">
        <v>0</v>
      </c>
      <c r="D2391" s="13" t="s">
        <v>7</v>
      </c>
      <c r="E2391" s="12" t="str">
        <f>IF(june[[#This Row],[ShiftCounter]]&gt;0, "Running", "Down")</f>
        <v>Down</v>
      </c>
    </row>
    <row r="2392" spans="1:5" x14ac:dyDescent="0.25">
      <c r="A2392" s="14">
        <v>44732</v>
      </c>
      <c r="B2392" s="13" t="s">
        <v>61</v>
      </c>
      <c r="C2392" s="13">
        <v>0</v>
      </c>
      <c r="D2392" s="13" t="s">
        <v>8</v>
      </c>
      <c r="E2392" s="12" t="str">
        <f>IF(june[[#This Row],[ShiftCounter]]&gt;0, "Running", "Down")</f>
        <v>Down</v>
      </c>
    </row>
    <row r="2393" spans="1:5" x14ac:dyDescent="0.25">
      <c r="A2393" s="14">
        <v>44732</v>
      </c>
      <c r="B2393" s="13" t="s">
        <v>59</v>
      </c>
      <c r="C2393" s="13">
        <v>0</v>
      </c>
      <c r="D2393" s="13" t="s">
        <v>6</v>
      </c>
      <c r="E2393" s="12" t="str">
        <f>IF(june[[#This Row],[ShiftCounter]]&gt;0, "Running", "Down")</f>
        <v>Down</v>
      </c>
    </row>
    <row r="2394" spans="1:5" x14ac:dyDescent="0.25">
      <c r="A2394" s="14">
        <v>44732</v>
      </c>
      <c r="B2394" s="13" t="s">
        <v>59</v>
      </c>
      <c r="C2394" s="13">
        <v>0</v>
      </c>
      <c r="D2394" s="13" t="s">
        <v>7</v>
      </c>
      <c r="E2394" s="12" t="str">
        <f>IF(june[[#This Row],[ShiftCounter]]&gt;0, "Running", "Down")</f>
        <v>Down</v>
      </c>
    </row>
    <row r="2395" spans="1:5" x14ac:dyDescent="0.25">
      <c r="A2395" s="14">
        <v>44732</v>
      </c>
      <c r="B2395" s="13" t="s">
        <v>59</v>
      </c>
      <c r="C2395" s="13">
        <v>0</v>
      </c>
      <c r="D2395" s="13" t="s">
        <v>8</v>
      </c>
      <c r="E2395" s="12" t="str">
        <f>IF(june[[#This Row],[ShiftCounter]]&gt;0, "Running", "Down")</f>
        <v>Down</v>
      </c>
    </row>
    <row r="2396" spans="1:5" x14ac:dyDescent="0.25">
      <c r="A2396" s="14">
        <v>44732</v>
      </c>
      <c r="B2396" s="13" t="s">
        <v>54</v>
      </c>
      <c r="C2396" s="13">
        <v>0</v>
      </c>
      <c r="D2396" s="13" t="s">
        <v>6</v>
      </c>
      <c r="E2396" s="12" t="str">
        <f>IF(june[[#This Row],[ShiftCounter]]&gt;0, "Running", "Down")</f>
        <v>Down</v>
      </c>
    </row>
    <row r="2397" spans="1:5" x14ac:dyDescent="0.25">
      <c r="A2397" s="14">
        <v>44732</v>
      </c>
      <c r="B2397" s="13" t="s">
        <v>54</v>
      </c>
      <c r="C2397" s="13">
        <v>0</v>
      </c>
      <c r="D2397" s="13" t="s">
        <v>7</v>
      </c>
      <c r="E2397" s="12" t="str">
        <f>IF(june[[#This Row],[ShiftCounter]]&gt;0, "Running", "Down")</f>
        <v>Down</v>
      </c>
    </row>
    <row r="2398" spans="1:5" x14ac:dyDescent="0.25">
      <c r="A2398" s="14">
        <v>44732</v>
      </c>
      <c r="B2398" s="13" t="s">
        <v>54</v>
      </c>
      <c r="C2398" s="13">
        <v>0</v>
      </c>
      <c r="D2398" s="13" t="s">
        <v>8</v>
      </c>
      <c r="E2398" s="12" t="str">
        <f>IF(june[[#This Row],[ShiftCounter]]&gt;0, "Running", "Down")</f>
        <v>Down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38"/>
  <sheetViews>
    <sheetView zoomScaleNormal="100" workbookViewId="0">
      <pane xSplit="3" ySplit="1" topLeftCell="D65" activePane="bottomRight" state="frozen"/>
      <selection pane="topRight" activeCell="D1" sqref="D1"/>
      <selection pane="bottomLeft" activeCell="A2" sqref="A2"/>
      <selection pane="bottomRight" activeCell="H2" sqref="H2:I80"/>
    </sheetView>
  </sheetViews>
  <sheetFormatPr defaultRowHeight="15" x14ac:dyDescent="0.25"/>
  <cols>
    <col min="1" max="1" width="19.140625" customWidth="1"/>
    <col min="2" max="2" width="9.85546875" customWidth="1"/>
    <col min="3" max="3" width="10.42578125" customWidth="1"/>
    <col min="4" max="4" width="14.7109375" customWidth="1"/>
    <col min="5" max="5" width="12.85546875" customWidth="1"/>
    <col min="6" max="6" width="15.140625" customWidth="1"/>
    <col min="7" max="7" width="12" customWidth="1"/>
    <col min="8" max="8" width="16.7109375" customWidth="1"/>
    <col min="9" max="10" width="14.42578125" customWidth="1"/>
    <col min="11" max="11" width="14.28515625" customWidth="1"/>
    <col min="12" max="12" width="13.7109375" customWidth="1"/>
    <col min="13" max="13" width="15.7109375" customWidth="1"/>
    <col min="14" max="14" width="16.140625" customWidth="1"/>
    <col min="15" max="15" width="16.28515625" customWidth="1"/>
    <col min="16" max="16" width="12.140625" bestFit="1" customWidth="1"/>
  </cols>
  <sheetData>
    <row r="1" spans="1:16" x14ac:dyDescent="0.25">
      <c r="A1" t="s">
        <v>0</v>
      </c>
      <c r="B1" t="s">
        <v>1</v>
      </c>
      <c r="C1" t="s">
        <v>3</v>
      </c>
      <c r="D1" t="s">
        <v>44</v>
      </c>
      <c r="E1" t="s">
        <v>45</v>
      </c>
      <c r="F1" t="s">
        <v>46</v>
      </c>
      <c r="G1" t="s">
        <v>4</v>
      </c>
      <c r="H1" t="s">
        <v>47</v>
      </c>
      <c r="I1" t="s">
        <v>48</v>
      </c>
      <c r="J1" t="s">
        <v>2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146</v>
      </c>
    </row>
    <row r="2" spans="1:16" x14ac:dyDescent="0.25">
      <c r="A2" s="8">
        <v>45415</v>
      </c>
      <c r="B2" t="s">
        <v>136</v>
      </c>
      <c r="C2" t="s">
        <v>6</v>
      </c>
      <c r="D2" s="18" t="s">
        <v>174</v>
      </c>
      <c r="E2" s="18" t="s">
        <v>81</v>
      </c>
      <c r="F2" s="18" t="s">
        <v>90</v>
      </c>
      <c r="G2" t="str">
        <f>IF(Table5[[#This Row],[ShiftCounter]]&gt;0,"Running","Down")</f>
        <v>Down</v>
      </c>
      <c r="H2" s="9" t="s">
        <v>160</v>
      </c>
      <c r="I2" t="s">
        <v>58</v>
      </c>
      <c r="J2" s="15">
        <v>0</v>
      </c>
      <c r="K2">
        <v>0</v>
      </c>
      <c r="L2">
        <v>0</v>
      </c>
      <c r="M2">
        <v>0</v>
      </c>
      <c r="N2" s="18">
        <v>18.8</v>
      </c>
      <c r="P2" s="18" t="s">
        <v>153</v>
      </c>
    </row>
    <row r="3" spans="1:16" x14ac:dyDescent="0.25">
      <c r="A3" s="16">
        <f>$A$2</f>
        <v>45415</v>
      </c>
      <c r="B3" t="s">
        <v>135</v>
      </c>
      <c r="C3" s="12" t="s">
        <v>6</v>
      </c>
      <c r="D3" s="18" t="s">
        <v>332</v>
      </c>
      <c r="E3" s="18" t="s">
        <v>81</v>
      </c>
      <c r="F3" s="18" t="s">
        <v>90</v>
      </c>
      <c r="G3" s="18" t="str">
        <f>IF(Table5[[#This Row],[ShiftCounter]]&gt;0,"Running","Down")</f>
        <v>Down</v>
      </c>
      <c r="H3" s="9" t="s">
        <v>161</v>
      </c>
      <c r="I3" t="s">
        <v>58</v>
      </c>
      <c r="J3" s="15">
        <v>0</v>
      </c>
      <c r="K3" s="15">
        <v>0</v>
      </c>
      <c r="L3">
        <v>0</v>
      </c>
      <c r="M3">
        <v>0</v>
      </c>
      <c r="N3" s="18">
        <v>20.39</v>
      </c>
      <c r="P3" s="18" t="s">
        <v>148</v>
      </c>
    </row>
    <row r="4" spans="1:16" x14ac:dyDescent="0.25">
      <c r="A4" s="16">
        <f t="shared" ref="A4:A67" si="0">$A$2</f>
        <v>45415</v>
      </c>
      <c r="B4" t="s">
        <v>134</v>
      </c>
      <c r="C4" s="12" t="s">
        <v>6</v>
      </c>
      <c r="D4" s="18" t="s">
        <v>175</v>
      </c>
      <c r="E4" s="18" t="s">
        <v>81</v>
      </c>
      <c r="F4" s="18" t="s">
        <v>90</v>
      </c>
      <c r="G4" s="18" t="str">
        <f>IF(Table5[[#This Row],[ShiftCounter]]&gt;0,"Running","Down")</f>
        <v>Down</v>
      </c>
      <c r="H4" s="9" t="s">
        <v>206</v>
      </c>
      <c r="I4" t="s">
        <v>58</v>
      </c>
      <c r="J4" s="18">
        <v>0</v>
      </c>
      <c r="K4" s="15">
        <v>0</v>
      </c>
      <c r="L4">
        <v>0</v>
      </c>
      <c r="M4">
        <v>0</v>
      </c>
      <c r="N4" s="18">
        <v>0</v>
      </c>
      <c r="P4" s="18" t="s">
        <v>148</v>
      </c>
    </row>
    <row r="5" spans="1:16" x14ac:dyDescent="0.25">
      <c r="A5" s="16">
        <f t="shared" si="0"/>
        <v>45415</v>
      </c>
      <c r="B5" t="s">
        <v>132</v>
      </c>
      <c r="C5" s="12" t="s">
        <v>6</v>
      </c>
      <c r="D5" s="18" t="s">
        <v>133</v>
      </c>
      <c r="E5" s="18" t="s">
        <v>126</v>
      </c>
      <c r="F5" s="18" t="s">
        <v>199</v>
      </c>
      <c r="G5" s="18" t="str">
        <f>IF(Table5[[#This Row],[ShiftCounter]]&gt;0,"Running","Down")</f>
        <v>Down</v>
      </c>
      <c r="H5" s="9" t="s">
        <v>162</v>
      </c>
      <c r="I5" t="s">
        <v>58</v>
      </c>
      <c r="J5" s="18">
        <v>0</v>
      </c>
      <c r="K5" s="15">
        <v>0</v>
      </c>
      <c r="L5">
        <v>0</v>
      </c>
      <c r="M5">
        <v>0</v>
      </c>
      <c r="N5" s="18">
        <v>41.63</v>
      </c>
      <c r="P5" s="18" t="s">
        <v>149</v>
      </c>
    </row>
    <row r="6" spans="1:16" x14ac:dyDescent="0.25">
      <c r="A6" s="16">
        <f t="shared" si="0"/>
        <v>45415</v>
      </c>
      <c r="B6" t="s">
        <v>131</v>
      </c>
      <c r="C6" s="12" t="s">
        <v>6</v>
      </c>
      <c r="D6" s="18" t="s">
        <v>305</v>
      </c>
      <c r="E6" s="18" t="s">
        <v>342</v>
      </c>
      <c r="F6" s="18" t="s">
        <v>90</v>
      </c>
      <c r="G6" s="18" t="str">
        <f>IF(Table5[[#This Row],[ShiftCounter]]&gt;0,"Running","Down")</f>
        <v>Down</v>
      </c>
      <c r="H6" s="9" t="s">
        <v>163</v>
      </c>
      <c r="I6" t="s">
        <v>58</v>
      </c>
      <c r="J6" s="18">
        <v>0</v>
      </c>
      <c r="K6" s="15">
        <v>0</v>
      </c>
      <c r="L6">
        <v>0</v>
      </c>
      <c r="M6">
        <v>0</v>
      </c>
      <c r="N6" s="18">
        <v>23.93</v>
      </c>
      <c r="P6" s="18" t="s">
        <v>150</v>
      </c>
    </row>
    <row r="7" spans="1:16" x14ac:dyDescent="0.25">
      <c r="A7" s="16">
        <f t="shared" si="0"/>
        <v>45415</v>
      </c>
      <c r="B7" t="s">
        <v>130</v>
      </c>
      <c r="C7" s="12" t="s">
        <v>6</v>
      </c>
      <c r="D7" s="18" t="s">
        <v>191</v>
      </c>
      <c r="E7" s="18" t="s">
        <v>342</v>
      </c>
      <c r="F7" s="18" t="s">
        <v>90</v>
      </c>
      <c r="G7" s="18" t="str">
        <f>IF(Table5[[#This Row],[ShiftCounter]]&gt;0,"Running","Down")</f>
        <v>Down</v>
      </c>
      <c r="H7" s="9"/>
      <c r="I7" t="s">
        <v>58</v>
      </c>
      <c r="J7" s="18">
        <v>0</v>
      </c>
      <c r="K7" s="15">
        <v>0</v>
      </c>
      <c r="L7">
        <v>0</v>
      </c>
      <c r="M7">
        <v>0</v>
      </c>
      <c r="N7" s="18">
        <v>803</v>
      </c>
      <c r="P7" s="18" t="s">
        <v>148</v>
      </c>
    </row>
    <row r="8" spans="1:16" x14ac:dyDescent="0.25">
      <c r="A8" s="16">
        <f t="shared" si="0"/>
        <v>45415</v>
      </c>
      <c r="B8" t="s">
        <v>128</v>
      </c>
      <c r="C8" s="12" t="s">
        <v>6</v>
      </c>
      <c r="D8" s="18" t="s">
        <v>129</v>
      </c>
      <c r="E8" s="18" t="s">
        <v>190</v>
      </c>
      <c r="F8" s="18" t="s">
        <v>192</v>
      </c>
      <c r="G8" s="18" t="str">
        <f>IF(Table5[[#This Row],[ShiftCounter]]&gt;0,"Running","Down")</f>
        <v>Down</v>
      </c>
      <c r="H8" s="9" t="s">
        <v>164</v>
      </c>
      <c r="I8" t="s">
        <v>58</v>
      </c>
      <c r="J8" s="18">
        <v>0</v>
      </c>
      <c r="K8" s="15">
        <v>0</v>
      </c>
      <c r="L8">
        <v>0</v>
      </c>
      <c r="M8">
        <v>0</v>
      </c>
      <c r="N8" s="18">
        <v>41.85</v>
      </c>
      <c r="P8" s="18" t="s">
        <v>149</v>
      </c>
    </row>
    <row r="9" spans="1:16" x14ac:dyDescent="0.25">
      <c r="A9" s="16">
        <f t="shared" si="0"/>
        <v>45415</v>
      </c>
      <c r="B9" t="s">
        <v>40</v>
      </c>
      <c r="C9" s="12" t="s">
        <v>6</v>
      </c>
      <c r="D9" s="18" t="s">
        <v>123</v>
      </c>
      <c r="E9" s="18" t="s">
        <v>81</v>
      </c>
      <c r="F9" s="18" t="s">
        <v>285</v>
      </c>
      <c r="G9" s="18" t="str">
        <f>IF(Table5[[#This Row],[ShiftCounter]]&gt;0,"Running","Down")</f>
        <v>Down</v>
      </c>
      <c r="H9" s="9" t="s">
        <v>165</v>
      </c>
      <c r="I9" t="s">
        <v>58</v>
      </c>
      <c r="J9" s="18">
        <v>0</v>
      </c>
      <c r="K9" s="15">
        <v>0</v>
      </c>
      <c r="L9">
        <v>0</v>
      </c>
      <c r="M9">
        <v>0</v>
      </c>
      <c r="N9" s="18">
        <v>13.09</v>
      </c>
      <c r="P9" s="18" t="s">
        <v>152</v>
      </c>
    </row>
    <row r="10" spans="1:16" x14ac:dyDescent="0.25">
      <c r="A10" s="16">
        <f t="shared" si="0"/>
        <v>45415</v>
      </c>
      <c r="B10" t="s">
        <v>127</v>
      </c>
      <c r="C10" s="12" t="s">
        <v>6</v>
      </c>
      <c r="D10" s="18" t="s">
        <v>203</v>
      </c>
      <c r="E10" s="18" t="s">
        <v>342</v>
      </c>
      <c r="F10" s="18" t="s">
        <v>90</v>
      </c>
      <c r="G10" s="18" t="str">
        <f>IF(Table5[[#This Row],[ShiftCounter]]&gt;0,"Running","Down")</f>
        <v>Down</v>
      </c>
      <c r="H10" s="9" t="s">
        <v>207</v>
      </c>
      <c r="I10" t="s">
        <v>58</v>
      </c>
      <c r="J10" s="18">
        <v>0</v>
      </c>
      <c r="K10" s="15">
        <v>0</v>
      </c>
      <c r="L10">
        <v>0</v>
      </c>
      <c r="M10">
        <v>0</v>
      </c>
      <c r="N10" s="18">
        <v>19.54</v>
      </c>
      <c r="P10" s="18" t="s">
        <v>151</v>
      </c>
    </row>
    <row r="11" spans="1:16" x14ac:dyDescent="0.25">
      <c r="A11" s="16">
        <f t="shared" si="0"/>
        <v>45415</v>
      </c>
      <c r="B11" t="s">
        <v>124</v>
      </c>
      <c r="C11" s="12" t="s">
        <v>6</v>
      </c>
      <c r="D11" s="18" t="s">
        <v>340</v>
      </c>
      <c r="E11" s="18" t="s">
        <v>126</v>
      </c>
      <c r="F11" s="18" t="s">
        <v>199</v>
      </c>
      <c r="G11" s="18" t="str">
        <f>IF(Table5[[#This Row],[ShiftCounter]]&gt;0,"Running","Down")</f>
        <v>Down</v>
      </c>
      <c r="H11" s="9" t="s">
        <v>166</v>
      </c>
      <c r="I11" t="s">
        <v>58</v>
      </c>
      <c r="J11" s="18">
        <v>0</v>
      </c>
      <c r="K11" s="15">
        <v>0</v>
      </c>
      <c r="L11">
        <v>0</v>
      </c>
      <c r="M11">
        <v>0</v>
      </c>
      <c r="N11" s="18">
        <v>12.59</v>
      </c>
      <c r="P11" s="18" t="s">
        <v>149</v>
      </c>
    </row>
    <row r="12" spans="1:16" x14ac:dyDescent="0.25">
      <c r="A12" s="16">
        <f t="shared" si="0"/>
        <v>45415</v>
      </c>
      <c r="B12" t="s">
        <v>122</v>
      </c>
      <c r="C12" s="12" t="s">
        <v>6</v>
      </c>
      <c r="D12" s="18" t="s">
        <v>356</v>
      </c>
      <c r="E12" s="18" t="s">
        <v>374</v>
      </c>
      <c r="F12" s="18" t="s">
        <v>285</v>
      </c>
      <c r="G12" s="18" t="str">
        <f>IF(Table5[[#This Row],[ShiftCounter]]&gt;0,"Running","Down")</f>
        <v>Down</v>
      </c>
      <c r="H12" s="9" t="s">
        <v>167</v>
      </c>
      <c r="I12" t="s">
        <v>58</v>
      </c>
      <c r="J12" s="18">
        <v>0</v>
      </c>
      <c r="K12" s="15">
        <v>0</v>
      </c>
      <c r="L12">
        <v>0</v>
      </c>
      <c r="M12">
        <v>0</v>
      </c>
      <c r="N12" s="18">
        <v>21.28</v>
      </c>
      <c r="P12" s="18" t="s">
        <v>148</v>
      </c>
    </row>
    <row r="13" spans="1:16" x14ac:dyDescent="0.25">
      <c r="A13" s="16">
        <f t="shared" si="0"/>
        <v>45415</v>
      </c>
      <c r="B13" t="s">
        <v>120</v>
      </c>
      <c r="C13" s="12" t="s">
        <v>6</v>
      </c>
      <c r="D13" s="18" t="s">
        <v>333</v>
      </c>
      <c r="E13" s="18" t="s">
        <v>375</v>
      </c>
      <c r="F13" s="18" t="s">
        <v>285</v>
      </c>
      <c r="G13" s="18" t="str">
        <f>IF(Table5[[#This Row],[ShiftCounter]]&gt;0,"Running","Down")</f>
        <v>Down</v>
      </c>
      <c r="H13" s="9" t="s">
        <v>121</v>
      </c>
      <c r="I13" t="s">
        <v>58</v>
      </c>
      <c r="J13" s="18">
        <v>0</v>
      </c>
      <c r="K13" s="15">
        <v>0</v>
      </c>
      <c r="L13">
        <v>0</v>
      </c>
      <c r="M13">
        <v>0</v>
      </c>
      <c r="N13" s="18">
        <v>26.06</v>
      </c>
      <c r="P13" s="18" t="s">
        <v>151</v>
      </c>
    </row>
    <row r="14" spans="1:16" x14ac:dyDescent="0.25">
      <c r="A14" s="16">
        <f t="shared" si="0"/>
        <v>45415</v>
      </c>
      <c r="B14" t="s">
        <v>119</v>
      </c>
      <c r="C14" s="12" t="s">
        <v>6</v>
      </c>
      <c r="D14" s="18" t="s">
        <v>178</v>
      </c>
      <c r="E14" s="18" t="s">
        <v>376</v>
      </c>
      <c r="F14" s="18" t="s">
        <v>192</v>
      </c>
      <c r="G14" s="18" t="str">
        <f>IF(Table5[[#This Row],[ShiftCounter]]&gt;0,"Running","Down")</f>
        <v>Down</v>
      </c>
      <c r="H14" s="9" t="s">
        <v>168</v>
      </c>
      <c r="I14" t="s">
        <v>58</v>
      </c>
      <c r="J14" s="18">
        <v>0</v>
      </c>
      <c r="K14" s="15">
        <v>0</v>
      </c>
      <c r="L14">
        <v>0</v>
      </c>
      <c r="M14">
        <v>0</v>
      </c>
      <c r="N14" s="18">
        <v>41.86</v>
      </c>
      <c r="P14" s="18" t="s">
        <v>149</v>
      </c>
    </row>
    <row r="15" spans="1:16" x14ac:dyDescent="0.25">
      <c r="A15" s="16">
        <f t="shared" si="0"/>
        <v>45415</v>
      </c>
      <c r="B15" t="s">
        <v>117</v>
      </c>
      <c r="C15" s="12" t="s">
        <v>6</v>
      </c>
      <c r="D15" s="18" t="s">
        <v>349</v>
      </c>
      <c r="E15" s="18" t="s">
        <v>359</v>
      </c>
      <c r="F15" s="18" t="s">
        <v>90</v>
      </c>
      <c r="G15" s="18" t="str">
        <f>IF(Table5[[#This Row],[ShiftCounter]]&gt;0,"Running","Down")</f>
        <v>Down</v>
      </c>
      <c r="H15" s="9" t="s">
        <v>118</v>
      </c>
      <c r="I15" t="s">
        <v>58</v>
      </c>
      <c r="J15" s="18">
        <v>0</v>
      </c>
      <c r="K15" s="15">
        <v>0</v>
      </c>
      <c r="L15">
        <v>0</v>
      </c>
      <c r="M15">
        <v>0</v>
      </c>
      <c r="N15" s="18">
        <v>12.48</v>
      </c>
      <c r="P15" s="18" t="s">
        <v>151</v>
      </c>
    </row>
    <row r="16" spans="1:16" x14ac:dyDescent="0.25">
      <c r="A16" s="16">
        <f t="shared" si="0"/>
        <v>45415</v>
      </c>
      <c r="B16" t="s">
        <v>39</v>
      </c>
      <c r="C16" s="12" t="s">
        <v>6</v>
      </c>
      <c r="D16" s="18" t="s">
        <v>177</v>
      </c>
      <c r="E16" s="18" t="s">
        <v>377</v>
      </c>
      <c r="F16" s="18" t="s">
        <v>90</v>
      </c>
      <c r="G16" s="18" t="str">
        <f>IF(Table5[[#This Row],[ShiftCounter]]&gt;0,"Running","Down")</f>
        <v>Down</v>
      </c>
      <c r="H16" s="9" t="s">
        <v>116</v>
      </c>
      <c r="I16" t="s">
        <v>58</v>
      </c>
      <c r="J16" s="18">
        <v>0</v>
      </c>
      <c r="K16" s="15">
        <v>0</v>
      </c>
      <c r="L16">
        <v>0</v>
      </c>
      <c r="M16">
        <v>0</v>
      </c>
      <c r="N16" s="18">
        <v>16.8</v>
      </c>
      <c r="P16" s="18" t="s">
        <v>151</v>
      </c>
    </row>
    <row r="17" spans="1:16" x14ac:dyDescent="0.25">
      <c r="A17" s="16">
        <f t="shared" si="0"/>
        <v>45415</v>
      </c>
      <c r="B17" t="s">
        <v>113</v>
      </c>
      <c r="C17" s="12" t="s">
        <v>6</v>
      </c>
      <c r="D17" s="18" t="s">
        <v>188</v>
      </c>
      <c r="E17" s="18" t="s">
        <v>126</v>
      </c>
      <c r="F17" s="18" t="s">
        <v>199</v>
      </c>
      <c r="G17" s="18" t="str">
        <f>IF(Table5[[#This Row],[ShiftCounter]]&gt;0,"Running","Down")</f>
        <v>Down</v>
      </c>
      <c r="H17" s="9" t="s">
        <v>114</v>
      </c>
      <c r="I17" t="s">
        <v>58</v>
      </c>
      <c r="J17" s="18">
        <v>0</v>
      </c>
      <c r="K17" s="15">
        <v>0</v>
      </c>
      <c r="L17">
        <v>0</v>
      </c>
      <c r="M17">
        <v>0</v>
      </c>
      <c r="N17" s="18">
        <v>41.22</v>
      </c>
      <c r="P17" s="18" t="s">
        <v>149</v>
      </c>
    </row>
    <row r="18" spans="1:16" x14ac:dyDescent="0.25">
      <c r="A18" s="16">
        <f t="shared" si="0"/>
        <v>45415</v>
      </c>
      <c r="B18" t="s">
        <v>111</v>
      </c>
      <c r="C18" s="12" t="s">
        <v>6</v>
      </c>
      <c r="D18" s="18" t="s">
        <v>189</v>
      </c>
      <c r="E18" s="18" t="s">
        <v>81</v>
      </c>
      <c r="F18" s="18" t="s">
        <v>90</v>
      </c>
      <c r="G18" s="18" t="str">
        <f>IF(Table5[[#This Row],[ShiftCounter]]&gt;0,"Running","Down")</f>
        <v>Down</v>
      </c>
      <c r="H18" s="9" t="s">
        <v>112</v>
      </c>
      <c r="I18" t="s">
        <v>58</v>
      </c>
      <c r="J18" s="18">
        <v>0</v>
      </c>
      <c r="K18" s="15">
        <v>0</v>
      </c>
      <c r="L18">
        <v>0</v>
      </c>
      <c r="M18">
        <v>0</v>
      </c>
      <c r="N18" s="18">
        <v>17.59</v>
      </c>
      <c r="P18" s="18" t="s">
        <v>153</v>
      </c>
    </row>
    <row r="19" spans="1:16" x14ac:dyDescent="0.25">
      <c r="A19" s="16">
        <f t="shared" si="0"/>
        <v>45415</v>
      </c>
      <c r="B19" t="s">
        <v>109</v>
      </c>
      <c r="C19" s="12" t="s">
        <v>6</v>
      </c>
      <c r="D19" s="18" t="s">
        <v>142</v>
      </c>
      <c r="E19" s="18" t="s">
        <v>378</v>
      </c>
      <c r="F19" s="18" t="s">
        <v>192</v>
      </c>
      <c r="G19" s="18" t="str">
        <f>IF(Table5[[#This Row],[ShiftCounter]]&gt;0,"Running","Down")</f>
        <v>Down</v>
      </c>
      <c r="H19" s="9" t="s">
        <v>110</v>
      </c>
      <c r="I19" t="s">
        <v>58</v>
      </c>
      <c r="J19" s="18">
        <v>0</v>
      </c>
      <c r="K19" s="15">
        <v>0</v>
      </c>
      <c r="L19">
        <v>0</v>
      </c>
      <c r="M19">
        <v>0</v>
      </c>
      <c r="N19" s="18">
        <v>41.73</v>
      </c>
      <c r="P19" s="18" t="s">
        <v>149</v>
      </c>
    </row>
    <row r="20" spans="1:16" x14ac:dyDescent="0.25">
      <c r="A20" s="16">
        <f t="shared" si="0"/>
        <v>45415</v>
      </c>
      <c r="B20" t="s">
        <v>107</v>
      </c>
      <c r="C20" s="12" t="s">
        <v>6</v>
      </c>
      <c r="D20" s="18" t="s">
        <v>280</v>
      </c>
      <c r="E20" s="18" t="s">
        <v>60</v>
      </c>
      <c r="F20" s="18" t="s">
        <v>93</v>
      </c>
      <c r="G20" s="18" t="str">
        <f>IF(Table5[[#This Row],[ShiftCounter]]&gt;0,"Running","Down")</f>
        <v>Down</v>
      </c>
      <c r="H20" s="9" t="s">
        <v>108</v>
      </c>
      <c r="I20" t="s">
        <v>58</v>
      </c>
      <c r="J20" s="18">
        <v>0</v>
      </c>
      <c r="K20" s="15">
        <v>0</v>
      </c>
      <c r="L20">
        <v>0</v>
      </c>
      <c r="M20">
        <v>0</v>
      </c>
      <c r="N20" s="18">
        <v>11.48</v>
      </c>
      <c r="P20" s="18" t="s">
        <v>281</v>
      </c>
    </row>
    <row r="21" spans="1:16" x14ac:dyDescent="0.25">
      <c r="A21" s="16">
        <f t="shared" si="0"/>
        <v>45415</v>
      </c>
      <c r="B21" t="s">
        <v>41</v>
      </c>
      <c r="C21" s="12" t="s">
        <v>6</v>
      </c>
      <c r="D21" s="18" t="s">
        <v>311</v>
      </c>
      <c r="E21" s="18" t="s">
        <v>81</v>
      </c>
      <c r="F21" s="18" t="s">
        <v>90</v>
      </c>
      <c r="G21" s="18" t="str">
        <f>IF(Table5[[#This Row],[ShiftCounter]]&gt;0,"Running","Down")</f>
        <v>Down</v>
      </c>
      <c r="H21" s="9" t="s">
        <v>106</v>
      </c>
      <c r="I21" t="s">
        <v>58</v>
      </c>
      <c r="J21" s="18">
        <v>0</v>
      </c>
      <c r="K21" s="15">
        <v>0</v>
      </c>
      <c r="L21">
        <v>0</v>
      </c>
      <c r="M21">
        <v>0</v>
      </c>
      <c r="N21" s="18">
        <v>13.5</v>
      </c>
      <c r="P21" s="18" t="s">
        <v>154</v>
      </c>
    </row>
    <row r="22" spans="1:16" x14ac:dyDescent="0.25">
      <c r="A22" s="16">
        <f t="shared" si="0"/>
        <v>45415</v>
      </c>
      <c r="B22" t="s">
        <v>43</v>
      </c>
      <c r="C22" s="12" t="s">
        <v>6</v>
      </c>
      <c r="D22" s="18" t="s">
        <v>282</v>
      </c>
      <c r="E22" s="18" t="s">
        <v>81</v>
      </c>
      <c r="F22" s="18" t="s">
        <v>90</v>
      </c>
      <c r="G22" s="18" t="str">
        <f>IF(Table5[[#This Row],[ShiftCounter]]&gt;0,"Running","Down")</f>
        <v>Down</v>
      </c>
      <c r="H22" s="9" t="s">
        <v>208</v>
      </c>
      <c r="I22" t="s">
        <v>58</v>
      </c>
      <c r="J22" s="18">
        <v>0</v>
      </c>
      <c r="K22" s="15">
        <v>0</v>
      </c>
      <c r="L22">
        <v>0</v>
      </c>
      <c r="M22">
        <v>0</v>
      </c>
      <c r="N22" s="18">
        <v>10.64</v>
      </c>
      <c r="P22" s="18" t="s">
        <v>154</v>
      </c>
    </row>
    <row r="23" spans="1:16" x14ac:dyDescent="0.25">
      <c r="A23" s="16">
        <f t="shared" si="0"/>
        <v>45415</v>
      </c>
      <c r="B23" t="s">
        <v>5</v>
      </c>
      <c r="C23" s="12" t="s">
        <v>6</v>
      </c>
      <c r="D23" s="18" t="s">
        <v>283</v>
      </c>
      <c r="E23" s="18" t="s">
        <v>352</v>
      </c>
      <c r="F23" s="18" t="s">
        <v>285</v>
      </c>
      <c r="G23" s="18" t="str">
        <f>IF(Table5[[#This Row],[ShiftCounter]]&gt;0,"Running","Down")</f>
        <v>Down</v>
      </c>
      <c r="H23" s="9" t="s">
        <v>209</v>
      </c>
      <c r="I23" t="s">
        <v>58</v>
      </c>
      <c r="J23" s="18">
        <v>0</v>
      </c>
      <c r="K23" s="15">
        <v>0</v>
      </c>
      <c r="L23">
        <v>0</v>
      </c>
      <c r="M23">
        <v>0</v>
      </c>
      <c r="N23" s="18">
        <v>21.92</v>
      </c>
      <c r="P23" s="18" t="s">
        <v>153</v>
      </c>
    </row>
    <row r="24" spans="1:16" x14ac:dyDescent="0.25">
      <c r="A24" s="16">
        <f t="shared" si="0"/>
        <v>45415</v>
      </c>
      <c r="B24" t="s">
        <v>9</v>
      </c>
      <c r="C24" s="12" t="s">
        <v>6</v>
      </c>
      <c r="D24" s="18" t="s">
        <v>189</v>
      </c>
      <c r="E24" s="18" t="s">
        <v>360</v>
      </c>
      <c r="F24" s="18" t="s">
        <v>276</v>
      </c>
      <c r="G24" s="18" t="str">
        <f>IF(Table5[[#This Row],[ShiftCounter]]&gt;0,"Running","Down")</f>
        <v>Down</v>
      </c>
      <c r="H24" s="9" t="s">
        <v>210</v>
      </c>
      <c r="I24" t="s">
        <v>58</v>
      </c>
      <c r="J24" s="18">
        <v>0</v>
      </c>
      <c r="K24" s="15">
        <v>0</v>
      </c>
      <c r="L24">
        <v>0</v>
      </c>
      <c r="M24">
        <v>0</v>
      </c>
      <c r="N24" s="18">
        <v>23.85</v>
      </c>
      <c r="P24" s="18" t="s">
        <v>153</v>
      </c>
    </row>
    <row r="25" spans="1:16" x14ac:dyDescent="0.25">
      <c r="A25" s="16">
        <f t="shared" si="0"/>
        <v>45415</v>
      </c>
      <c r="B25" t="s">
        <v>10</v>
      </c>
      <c r="C25" s="12" t="s">
        <v>6</v>
      </c>
      <c r="D25" s="18" t="s">
        <v>263</v>
      </c>
      <c r="E25" s="18" t="s">
        <v>379</v>
      </c>
      <c r="F25" s="18" t="s">
        <v>285</v>
      </c>
      <c r="G25" s="18" t="str">
        <f>IF(Table5[[#This Row],[ShiftCounter]]&gt;0,"Running","Down")</f>
        <v>Down</v>
      </c>
      <c r="H25" s="9" t="s">
        <v>211</v>
      </c>
      <c r="I25" t="s">
        <v>58</v>
      </c>
      <c r="J25" s="18">
        <v>0</v>
      </c>
      <c r="K25" s="15">
        <v>0</v>
      </c>
      <c r="L25">
        <v>0</v>
      </c>
      <c r="M25">
        <v>0</v>
      </c>
      <c r="N25" s="18">
        <v>27.98</v>
      </c>
      <c r="P25" s="18" t="s">
        <v>151</v>
      </c>
    </row>
    <row r="26" spans="1:16" x14ac:dyDescent="0.25">
      <c r="A26" s="16">
        <f t="shared" si="0"/>
        <v>45415</v>
      </c>
      <c r="B26" t="s">
        <v>11</v>
      </c>
      <c r="C26" s="12" t="s">
        <v>6</v>
      </c>
      <c r="D26" s="18" t="s">
        <v>205</v>
      </c>
      <c r="E26" s="18" t="s">
        <v>60</v>
      </c>
      <c r="F26" s="18" t="s">
        <v>93</v>
      </c>
      <c r="G26" s="18" t="str">
        <f>IF(Table5[[#This Row],[ShiftCounter]]&gt;0,"Running","Down")</f>
        <v>Down</v>
      </c>
      <c r="H26" s="9" t="s">
        <v>212</v>
      </c>
      <c r="I26" t="s">
        <v>58</v>
      </c>
      <c r="J26" s="18">
        <v>0</v>
      </c>
      <c r="K26" s="15">
        <v>0</v>
      </c>
      <c r="L26">
        <v>0</v>
      </c>
      <c r="M26">
        <v>0</v>
      </c>
      <c r="N26" s="18">
        <v>12.79</v>
      </c>
      <c r="P26" s="18" t="s">
        <v>147</v>
      </c>
    </row>
    <row r="27" spans="1:16" x14ac:dyDescent="0.25">
      <c r="A27" s="16">
        <f t="shared" si="0"/>
        <v>45415</v>
      </c>
      <c r="B27" t="s">
        <v>12</v>
      </c>
      <c r="C27" s="12" t="s">
        <v>6</v>
      </c>
      <c r="D27" s="18" t="s">
        <v>286</v>
      </c>
      <c r="E27" s="18" t="s">
        <v>56</v>
      </c>
      <c r="F27" s="18" t="s">
        <v>285</v>
      </c>
      <c r="G27" s="18" t="str">
        <f>IF(Table5[[#This Row],[ShiftCounter]]&gt;0,"Running","Down")</f>
        <v>Down</v>
      </c>
      <c r="H27" s="9" t="s">
        <v>213</v>
      </c>
      <c r="I27" t="s">
        <v>58</v>
      </c>
      <c r="J27" s="18">
        <v>0</v>
      </c>
      <c r="K27" s="15">
        <v>0</v>
      </c>
      <c r="L27">
        <v>0</v>
      </c>
      <c r="M27">
        <v>0</v>
      </c>
      <c r="N27" s="18">
        <v>30.26</v>
      </c>
      <c r="P27" s="18" t="s">
        <v>154</v>
      </c>
    </row>
    <row r="28" spans="1:16" x14ac:dyDescent="0.25">
      <c r="A28" s="16">
        <f t="shared" si="0"/>
        <v>45415</v>
      </c>
      <c r="B28" t="s">
        <v>105</v>
      </c>
      <c r="C28" s="12" t="s">
        <v>6</v>
      </c>
      <c r="D28" s="18" t="s">
        <v>115</v>
      </c>
      <c r="E28" s="18" t="s">
        <v>60</v>
      </c>
      <c r="F28" s="18" t="s">
        <v>93</v>
      </c>
      <c r="G28" s="18" t="str">
        <f>IF(Table5[[#This Row],[ShiftCounter]]&gt;0,"Running","Down")</f>
        <v>Down</v>
      </c>
      <c r="H28" s="9" t="s">
        <v>214</v>
      </c>
      <c r="I28" t="s">
        <v>58</v>
      </c>
      <c r="J28" s="18">
        <v>0</v>
      </c>
      <c r="K28" s="15">
        <v>0</v>
      </c>
      <c r="L28">
        <v>0</v>
      </c>
      <c r="M28">
        <v>0</v>
      </c>
      <c r="N28" s="18">
        <v>12.39</v>
      </c>
      <c r="P28" s="18" t="s">
        <v>147</v>
      </c>
    </row>
    <row r="29" spans="1:16" x14ac:dyDescent="0.25">
      <c r="A29" s="16">
        <f t="shared" si="0"/>
        <v>45415</v>
      </c>
      <c r="B29" t="s">
        <v>104</v>
      </c>
      <c r="C29" s="12" t="s">
        <v>6</v>
      </c>
      <c r="D29" s="18" t="s">
        <v>143</v>
      </c>
      <c r="E29" s="18" t="s">
        <v>81</v>
      </c>
      <c r="F29" s="18" t="s">
        <v>90</v>
      </c>
      <c r="G29" s="18" t="str">
        <f>IF(Table5[[#This Row],[ShiftCounter]]&gt;0,"Running","Down")</f>
        <v>Down</v>
      </c>
      <c r="H29" s="9" t="s">
        <v>215</v>
      </c>
      <c r="I29" t="s">
        <v>58</v>
      </c>
      <c r="J29" s="18">
        <v>0</v>
      </c>
      <c r="K29" s="15">
        <v>0</v>
      </c>
      <c r="L29">
        <v>0</v>
      </c>
      <c r="M29">
        <v>0</v>
      </c>
      <c r="N29" s="18">
        <v>13.73</v>
      </c>
      <c r="P29" s="18" t="s">
        <v>154</v>
      </c>
    </row>
    <row r="30" spans="1:16" x14ac:dyDescent="0.25">
      <c r="A30" s="16">
        <f t="shared" si="0"/>
        <v>45415</v>
      </c>
      <c r="B30" t="s">
        <v>13</v>
      </c>
      <c r="C30" s="12" t="s">
        <v>6</v>
      </c>
      <c r="D30" s="18" t="s">
        <v>350</v>
      </c>
      <c r="E30" s="18" t="s">
        <v>60</v>
      </c>
      <c r="F30" s="18" t="s">
        <v>93</v>
      </c>
      <c r="G30" s="18" t="str">
        <f>IF(Table5[[#This Row],[ShiftCounter]]&gt;0,"Running","Down")</f>
        <v>Down</v>
      </c>
      <c r="H30" s="9" t="s">
        <v>216</v>
      </c>
      <c r="I30" t="s">
        <v>58</v>
      </c>
      <c r="J30" s="18">
        <v>0</v>
      </c>
      <c r="K30" s="15">
        <v>0</v>
      </c>
      <c r="L30">
        <v>0</v>
      </c>
      <c r="M30">
        <v>0</v>
      </c>
      <c r="N30" s="18">
        <v>12.4</v>
      </c>
      <c r="P30" s="18" t="s">
        <v>147</v>
      </c>
    </row>
    <row r="31" spans="1:16" x14ac:dyDescent="0.25">
      <c r="A31" s="16">
        <f t="shared" si="0"/>
        <v>45415</v>
      </c>
      <c r="B31" t="s">
        <v>103</v>
      </c>
      <c r="C31" s="12" t="s">
        <v>6</v>
      </c>
      <c r="D31" s="18" t="s">
        <v>179</v>
      </c>
      <c r="E31" s="18" t="s">
        <v>81</v>
      </c>
      <c r="F31" s="18" t="s">
        <v>90</v>
      </c>
      <c r="G31" s="18" t="str">
        <f>IF(Table5[[#This Row],[ShiftCounter]]&gt;0,"Running","Down")</f>
        <v>Down</v>
      </c>
      <c r="H31" s="9" t="s">
        <v>217</v>
      </c>
      <c r="I31" t="s">
        <v>65</v>
      </c>
      <c r="J31" s="18">
        <v>0</v>
      </c>
      <c r="K31" s="15">
        <v>0</v>
      </c>
      <c r="L31">
        <v>0</v>
      </c>
      <c r="M31">
        <v>0</v>
      </c>
      <c r="N31" s="18">
        <v>41.9</v>
      </c>
      <c r="P31" s="18" t="s">
        <v>187</v>
      </c>
    </row>
    <row r="32" spans="1:16" x14ac:dyDescent="0.25">
      <c r="A32" s="16">
        <f t="shared" si="0"/>
        <v>45415</v>
      </c>
      <c r="B32" t="s">
        <v>101</v>
      </c>
      <c r="C32" s="12" t="s">
        <v>6</v>
      </c>
      <c r="D32" s="18"/>
      <c r="E32" s="18" t="s">
        <v>81</v>
      </c>
      <c r="F32" s="18" t="s">
        <v>285</v>
      </c>
      <c r="G32" s="18" t="str">
        <f>IF(Table5[[#This Row],[ShiftCounter]]&gt;0,"Running","Down")</f>
        <v>Down</v>
      </c>
      <c r="H32" s="9" t="s">
        <v>102</v>
      </c>
      <c r="I32" t="s">
        <v>58</v>
      </c>
      <c r="J32" s="18">
        <v>0</v>
      </c>
      <c r="K32" s="15">
        <v>0</v>
      </c>
      <c r="L32">
        <v>0</v>
      </c>
      <c r="M32">
        <v>0</v>
      </c>
      <c r="N32" s="18">
        <v>12.3</v>
      </c>
      <c r="P32" s="18" t="s">
        <v>152</v>
      </c>
    </row>
    <row r="33" spans="1:16" x14ac:dyDescent="0.25">
      <c r="A33" s="16">
        <f t="shared" si="0"/>
        <v>45415</v>
      </c>
      <c r="B33" t="s">
        <v>99</v>
      </c>
      <c r="C33" s="12" t="s">
        <v>6</v>
      </c>
      <c r="D33" s="18" t="s">
        <v>381</v>
      </c>
      <c r="E33" s="18" t="s">
        <v>382</v>
      </c>
      <c r="F33" s="18" t="s">
        <v>285</v>
      </c>
      <c r="G33" s="18" t="str">
        <f>IF(Table5[[#This Row],[ShiftCounter]]&gt;0,"Running","Down")</f>
        <v>Down</v>
      </c>
      <c r="H33" s="9" t="s">
        <v>100</v>
      </c>
      <c r="J33" s="18">
        <v>0</v>
      </c>
      <c r="K33" s="15">
        <v>0</v>
      </c>
      <c r="L33">
        <v>0</v>
      </c>
      <c r="M33">
        <v>0</v>
      </c>
      <c r="N33" s="18">
        <v>41.52</v>
      </c>
      <c r="P33" s="18" t="s">
        <v>148</v>
      </c>
    </row>
    <row r="34" spans="1:16" x14ac:dyDescent="0.25">
      <c r="A34" s="16">
        <f t="shared" si="0"/>
        <v>45415</v>
      </c>
      <c r="B34" t="s">
        <v>97</v>
      </c>
      <c r="C34" s="12" t="s">
        <v>6</v>
      </c>
      <c r="D34" s="18" t="s">
        <v>288</v>
      </c>
      <c r="E34" s="18" t="s">
        <v>352</v>
      </c>
      <c r="F34" s="18" t="s">
        <v>285</v>
      </c>
      <c r="G34" s="18" t="str">
        <f>IF(Table5[[#This Row],[ShiftCounter]]&gt;0,"Running","Down")</f>
        <v>Down</v>
      </c>
      <c r="H34" s="9" t="s">
        <v>98</v>
      </c>
      <c r="I34" t="s">
        <v>58</v>
      </c>
      <c r="J34" s="18">
        <v>0</v>
      </c>
      <c r="K34" s="15">
        <v>0</v>
      </c>
      <c r="L34">
        <v>0</v>
      </c>
      <c r="M34">
        <v>0</v>
      </c>
      <c r="N34" s="18">
        <v>18.39</v>
      </c>
      <c r="P34" s="18" t="s">
        <v>148</v>
      </c>
    </row>
    <row r="35" spans="1:16" x14ac:dyDescent="0.25">
      <c r="A35" s="16">
        <f t="shared" si="0"/>
        <v>45415</v>
      </c>
      <c r="B35" t="s">
        <v>95</v>
      </c>
      <c r="C35" s="12" t="s">
        <v>6</v>
      </c>
      <c r="D35" s="18" t="s">
        <v>181</v>
      </c>
      <c r="E35" s="18" t="s">
        <v>60</v>
      </c>
      <c r="F35" s="18" t="s">
        <v>90</v>
      </c>
      <c r="G35" s="18" t="str">
        <f>IF(Table5[[#This Row],[ShiftCounter]]&gt;0,"Running","Down")</f>
        <v>Down</v>
      </c>
      <c r="H35" s="9" t="s">
        <v>96</v>
      </c>
      <c r="I35" t="s">
        <v>65</v>
      </c>
      <c r="J35" s="18">
        <v>0</v>
      </c>
      <c r="K35" s="15">
        <v>0</v>
      </c>
      <c r="L35">
        <v>0</v>
      </c>
      <c r="M35">
        <v>0</v>
      </c>
      <c r="N35" s="18">
        <v>21.63</v>
      </c>
      <c r="P35" s="18" t="s">
        <v>152</v>
      </c>
    </row>
    <row r="36" spans="1:16" x14ac:dyDescent="0.25">
      <c r="A36" s="16">
        <f t="shared" si="0"/>
        <v>45415</v>
      </c>
      <c r="B36" t="s">
        <v>14</v>
      </c>
      <c r="C36" s="12" t="s">
        <v>6</v>
      </c>
      <c r="D36" s="18" t="s">
        <v>289</v>
      </c>
      <c r="E36" s="18" t="s">
        <v>352</v>
      </c>
      <c r="F36" s="18" t="s">
        <v>285</v>
      </c>
      <c r="G36" s="18" t="str">
        <f>IF(Table5[[#This Row],[ShiftCounter]]&gt;0,"Running","Down")</f>
        <v>Down</v>
      </c>
      <c r="H36" s="9" t="s">
        <v>94</v>
      </c>
      <c r="I36" t="s">
        <v>58</v>
      </c>
      <c r="J36" s="18">
        <v>0</v>
      </c>
      <c r="K36" s="15">
        <v>0</v>
      </c>
      <c r="L36">
        <v>0</v>
      </c>
      <c r="M36">
        <v>0</v>
      </c>
      <c r="N36" s="18">
        <v>22.39</v>
      </c>
      <c r="P36" s="18" t="s">
        <v>151</v>
      </c>
    </row>
    <row r="37" spans="1:16" x14ac:dyDescent="0.25">
      <c r="A37" s="16">
        <f t="shared" si="0"/>
        <v>45415</v>
      </c>
      <c r="B37" t="s">
        <v>91</v>
      </c>
      <c r="C37" s="12" t="s">
        <v>6</v>
      </c>
      <c r="D37" s="18" t="s">
        <v>180</v>
      </c>
      <c r="E37" s="18" t="s">
        <v>81</v>
      </c>
      <c r="F37" s="18" t="s">
        <v>90</v>
      </c>
      <c r="G37" s="18" t="str">
        <f>IF(Table5[[#This Row],[ShiftCounter]]&gt;0,"Running","Down")</f>
        <v>Down</v>
      </c>
      <c r="H37" s="9" t="s">
        <v>92</v>
      </c>
      <c r="J37" s="18">
        <v>0</v>
      </c>
      <c r="K37" s="15">
        <v>0</v>
      </c>
      <c r="L37">
        <v>0</v>
      </c>
      <c r="M37">
        <v>0</v>
      </c>
      <c r="N37" s="18">
        <v>0</v>
      </c>
      <c r="P37" s="18" t="s">
        <v>148</v>
      </c>
    </row>
    <row r="38" spans="1:16" x14ac:dyDescent="0.25">
      <c r="A38" s="16">
        <f t="shared" si="0"/>
        <v>45415</v>
      </c>
      <c r="B38" t="s">
        <v>15</v>
      </c>
      <c r="C38" s="12" t="s">
        <v>6</v>
      </c>
      <c r="D38" s="18" t="s">
        <v>140</v>
      </c>
      <c r="E38" s="18" t="s">
        <v>81</v>
      </c>
      <c r="F38" s="18" t="s">
        <v>93</v>
      </c>
      <c r="G38" s="18" t="str">
        <f>IF(Table5[[#This Row],[ShiftCounter]]&gt;0,"Running","Down")</f>
        <v>Down</v>
      </c>
      <c r="H38" s="9" t="s">
        <v>218</v>
      </c>
      <c r="I38" t="s">
        <v>58</v>
      </c>
      <c r="J38" s="18">
        <v>0</v>
      </c>
      <c r="K38" s="15">
        <v>0</v>
      </c>
      <c r="L38">
        <v>0</v>
      </c>
      <c r="M38">
        <v>0</v>
      </c>
      <c r="N38" s="18">
        <v>18.489999999999998</v>
      </c>
      <c r="P38" s="18" t="s">
        <v>148</v>
      </c>
    </row>
    <row r="39" spans="1:16" x14ac:dyDescent="0.25">
      <c r="A39" s="16">
        <f t="shared" si="0"/>
        <v>45415</v>
      </c>
      <c r="B39" t="s">
        <v>89</v>
      </c>
      <c r="C39" s="12" t="s">
        <v>6</v>
      </c>
      <c r="D39" s="18" t="s">
        <v>176</v>
      </c>
      <c r="E39" s="18" t="s">
        <v>81</v>
      </c>
      <c r="F39" s="18" t="s">
        <v>285</v>
      </c>
      <c r="G39" s="18" t="str">
        <f>IF(Table5[[#This Row],[ShiftCounter]]&gt;0,"Running","Down")</f>
        <v>Down</v>
      </c>
      <c r="H39" s="9" t="s">
        <v>219</v>
      </c>
      <c r="I39" t="s">
        <v>65</v>
      </c>
      <c r="J39" s="18">
        <v>0</v>
      </c>
      <c r="K39" s="15">
        <v>0</v>
      </c>
      <c r="L39">
        <v>0</v>
      </c>
      <c r="M39">
        <v>0</v>
      </c>
      <c r="N39" s="18">
        <v>18.8</v>
      </c>
      <c r="P39" s="18" t="s">
        <v>186</v>
      </c>
    </row>
    <row r="40" spans="1:16" x14ac:dyDescent="0.25">
      <c r="A40" s="16">
        <f t="shared" si="0"/>
        <v>45415</v>
      </c>
      <c r="B40" t="s">
        <v>16</v>
      </c>
      <c r="C40" s="12" t="s">
        <v>6</v>
      </c>
      <c r="D40" s="18" t="s">
        <v>194</v>
      </c>
      <c r="E40" s="18" t="s">
        <v>81</v>
      </c>
      <c r="F40" s="18" t="s">
        <v>93</v>
      </c>
      <c r="G40" s="18" t="str">
        <f>IF(Table5[[#This Row],[ShiftCounter]]&gt;0,"Running","Down")</f>
        <v>Down</v>
      </c>
      <c r="H40" s="9" t="s">
        <v>220</v>
      </c>
      <c r="I40" t="s">
        <v>58</v>
      </c>
      <c r="J40" s="18">
        <v>0</v>
      </c>
      <c r="K40" s="15">
        <v>0</v>
      </c>
      <c r="L40">
        <v>0</v>
      </c>
      <c r="M40">
        <v>0</v>
      </c>
      <c r="N40" s="18">
        <v>24</v>
      </c>
      <c r="P40" s="18" t="s">
        <v>151</v>
      </c>
    </row>
    <row r="41" spans="1:16" x14ac:dyDescent="0.25">
      <c r="A41" s="16">
        <f t="shared" si="0"/>
        <v>45415</v>
      </c>
      <c r="B41" t="s">
        <v>88</v>
      </c>
      <c r="C41" s="12" t="s">
        <v>6</v>
      </c>
      <c r="D41" s="18" t="s">
        <v>287</v>
      </c>
      <c r="E41" s="18" t="s">
        <v>352</v>
      </c>
      <c r="F41" s="18" t="s">
        <v>285</v>
      </c>
      <c r="G41" s="18" t="str">
        <f>IF(Table5[[#This Row],[ShiftCounter]]&gt;0,"Running","Down")</f>
        <v>Down</v>
      </c>
      <c r="H41" s="9" t="s">
        <v>221</v>
      </c>
      <c r="J41" s="18">
        <v>0</v>
      </c>
      <c r="K41" s="15">
        <v>0</v>
      </c>
      <c r="L41">
        <v>0</v>
      </c>
      <c r="M41">
        <v>0</v>
      </c>
      <c r="N41" s="18">
        <v>41.63</v>
      </c>
      <c r="P41" s="18" t="s">
        <v>150</v>
      </c>
    </row>
    <row r="42" spans="1:16" x14ac:dyDescent="0.25">
      <c r="A42" s="16">
        <f t="shared" si="0"/>
        <v>45415</v>
      </c>
      <c r="B42" t="s">
        <v>17</v>
      </c>
      <c r="C42" s="12" t="s">
        <v>6</v>
      </c>
      <c r="D42" s="18" t="s">
        <v>272</v>
      </c>
      <c r="E42" s="18" t="s">
        <v>275</v>
      </c>
      <c r="F42" s="18" t="s">
        <v>276</v>
      </c>
      <c r="G42" s="18" t="str">
        <f>IF(Table5[[#This Row],[ShiftCounter]]&gt;0,"Running","Down")</f>
        <v>Down</v>
      </c>
      <c r="H42" s="9" t="s">
        <v>222</v>
      </c>
      <c r="I42" t="s">
        <v>58</v>
      </c>
      <c r="J42" s="18">
        <v>0</v>
      </c>
      <c r="K42" s="15">
        <v>0</v>
      </c>
      <c r="L42">
        <v>0</v>
      </c>
      <c r="M42">
        <v>0</v>
      </c>
      <c r="N42" s="18">
        <v>22.08</v>
      </c>
      <c r="P42" s="18" t="s">
        <v>151</v>
      </c>
    </row>
    <row r="43" spans="1:16" x14ac:dyDescent="0.25">
      <c r="A43" s="16">
        <f t="shared" si="0"/>
        <v>45415</v>
      </c>
      <c r="B43" t="s">
        <v>19</v>
      </c>
      <c r="C43" s="12" t="s">
        <v>6</v>
      </c>
      <c r="D43" s="18" t="s">
        <v>343</v>
      </c>
      <c r="E43" s="18" t="s">
        <v>379</v>
      </c>
      <c r="F43" s="18" t="s">
        <v>253</v>
      </c>
      <c r="G43" s="18" t="str">
        <f>IF(Table5[[#This Row],[ShiftCounter]]&gt;0,"Running","Down")</f>
        <v>Down</v>
      </c>
      <c r="H43" s="9" t="s">
        <v>223</v>
      </c>
      <c r="I43" t="s">
        <v>65</v>
      </c>
      <c r="J43" s="18">
        <v>0</v>
      </c>
      <c r="K43" s="15">
        <v>0</v>
      </c>
      <c r="L43">
        <v>0</v>
      </c>
      <c r="M43">
        <v>0</v>
      </c>
      <c r="N43" s="18">
        <v>41.85</v>
      </c>
      <c r="P43" s="18" t="s">
        <v>151</v>
      </c>
    </row>
    <row r="44" spans="1:16" x14ac:dyDescent="0.25">
      <c r="A44" s="16">
        <f t="shared" si="0"/>
        <v>45415</v>
      </c>
      <c r="B44" t="s">
        <v>18</v>
      </c>
      <c r="C44" s="12" t="s">
        <v>6</v>
      </c>
      <c r="D44" s="18" t="s">
        <v>268</v>
      </c>
      <c r="E44" s="18" t="s">
        <v>275</v>
      </c>
      <c r="F44" s="18" t="s">
        <v>276</v>
      </c>
      <c r="G44" s="18" t="str">
        <f>IF(Table5[[#This Row],[ShiftCounter]]&gt;0,"Running","Down")</f>
        <v>Down</v>
      </c>
      <c r="H44" s="9" t="s">
        <v>224</v>
      </c>
      <c r="I44" t="s">
        <v>58</v>
      </c>
      <c r="J44" s="18">
        <v>0</v>
      </c>
      <c r="K44" s="15">
        <v>0</v>
      </c>
      <c r="L44">
        <v>0</v>
      </c>
      <c r="M44">
        <v>0</v>
      </c>
      <c r="N44" s="18">
        <v>18.29</v>
      </c>
      <c r="P44" s="18" t="s">
        <v>148</v>
      </c>
    </row>
    <row r="45" spans="1:16" x14ac:dyDescent="0.25">
      <c r="A45" s="16">
        <f t="shared" si="0"/>
        <v>45415</v>
      </c>
      <c r="B45" t="s">
        <v>87</v>
      </c>
      <c r="C45" s="12" t="s">
        <v>6</v>
      </c>
      <c r="D45" s="18"/>
      <c r="E45" s="18"/>
      <c r="F45" s="18"/>
      <c r="G45" s="18" t="str">
        <f>IF(Table5[[#This Row],[ShiftCounter]]&gt;0,"Running","Down")</f>
        <v>Down</v>
      </c>
      <c r="H45" s="9" t="s">
        <v>225</v>
      </c>
      <c r="J45" s="18">
        <v>0</v>
      </c>
      <c r="K45" s="15">
        <v>0</v>
      </c>
      <c r="L45">
        <v>0</v>
      </c>
      <c r="M45">
        <v>0</v>
      </c>
      <c r="N45" s="18">
        <v>41146219</v>
      </c>
      <c r="P45" s="18"/>
    </row>
    <row r="46" spans="1:16" x14ac:dyDescent="0.25">
      <c r="A46" s="16">
        <f t="shared" si="0"/>
        <v>45415</v>
      </c>
      <c r="B46" t="s">
        <v>42</v>
      </c>
      <c r="C46" s="12" t="s">
        <v>6</v>
      </c>
      <c r="D46" s="18" t="s">
        <v>246</v>
      </c>
      <c r="E46" s="18" t="s">
        <v>81</v>
      </c>
      <c r="F46" s="18" t="s">
        <v>285</v>
      </c>
      <c r="G46" s="18" t="str">
        <f>IF(Table5[[#This Row],[ShiftCounter]]&gt;0,"Running","Down")</f>
        <v>Down</v>
      </c>
      <c r="H46" s="9" t="s">
        <v>226</v>
      </c>
      <c r="I46" t="s">
        <v>58</v>
      </c>
      <c r="J46" s="18">
        <v>0</v>
      </c>
      <c r="K46" s="15">
        <v>0</v>
      </c>
      <c r="L46">
        <v>0</v>
      </c>
      <c r="M46">
        <v>0</v>
      </c>
      <c r="N46" s="18">
        <v>17.71</v>
      </c>
      <c r="P46" s="18" t="s">
        <v>148</v>
      </c>
    </row>
    <row r="47" spans="1:16" x14ac:dyDescent="0.25">
      <c r="A47" s="16">
        <f t="shared" si="0"/>
        <v>45415</v>
      </c>
      <c r="B47" t="s">
        <v>86</v>
      </c>
      <c r="C47" s="12" t="s">
        <v>6</v>
      </c>
      <c r="D47" s="18" t="s">
        <v>271</v>
      </c>
      <c r="E47" s="18" t="s">
        <v>275</v>
      </c>
      <c r="F47" s="18" t="s">
        <v>276</v>
      </c>
      <c r="G47" s="18" t="str">
        <f>IF(Table5[[#This Row],[ShiftCounter]]&gt;0,"Running","Down")</f>
        <v>Down</v>
      </c>
      <c r="H47" s="9" t="s">
        <v>227</v>
      </c>
      <c r="I47" t="s">
        <v>65</v>
      </c>
      <c r="J47" s="18">
        <v>0</v>
      </c>
      <c r="K47" s="15">
        <v>0</v>
      </c>
      <c r="L47">
        <v>0</v>
      </c>
      <c r="M47">
        <v>0</v>
      </c>
      <c r="N47" s="18">
        <v>22978211</v>
      </c>
      <c r="P47" s="18" t="s">
        <v>152</v>
      </c>
    </row>
    <row r="48" spans="1:16" x14ac:dyDescent="0.25">
      <c r="A48" s="16">
        <f t="shared" si="0"/>
        <v>45415</v>
      </c>
      <c r="B48" t="s">
        <v>38</v>
      </c>
      <c r="C48" s="12" t="s">
        <v>6</v>
      </c>
      <c r="D48" s="18" t="s">
        <v>141</v>
      </c>
      <c r="E48" s="18" t="s">
        <v>360</v>
      </c>
      <c r="F48" s="18" t="s">
        <v>285</v>
      </c>
      <c r="G48" s="18" t="str">
        <f>IF(Table5[[#This Row],[ShiftCounter]]&gt;0,"Running","Down")</f>
        <v>Down</v>
      </c>
      <c r="H48" s="9" t="s">
        <v>85</v>
      </c>
      <c r="I48" t="s">
        <v>58</v>
      </c>
      <c r="J48" s="18">
        <v>0</v>
      </c>
      <c r="K48" s="15">
        <v>0</v>
      </c>
      <c r="L48">
        <v>0</v>
      </c>
      <c r="M48">
        <v>0</v>
      </c>
      <c r="N48" s="18">
        <v>12.47</v>
      </c>
      <c r="P48" s="18" t="s">
        <v>151</v>
      </c>
    </row>
    <row r="49" spans="1:16" x14ac:dyDescent="0.25">
      <c r="A49" s="16">
        <f t="shared" si="0"/>
        <v>45415</v>
      </c>
      <c r="B49" t="s">
        <v>83</v>
      </c>
      <c r="C49" s="12" t="s">
        <v>6</v>
      </c>
      <c r="D49" s="18"/>
      <c r="E49" s="18"/>
      <c r="F49" s="18"/>
      <c r="G49" s="18" t="str">
        <f>IF(Table5[[#This Row],[ShiftCounter]]&gt;0,"Running","Down")</f>
        <v>Down</v>
      </c>
      <c r="H49" s="9" t="s">
        <v>84</v>
      </c>
      <c r="J49" s="18">
        <v>0</v>
      </c>
      <c r="K49" s="15">
        <v>0</v>
      </c>
      <c r="L49">
        <v>0</v>
      </c>
      <c r="M49">
        <v>0</v>
      </c>
      <c r="N49" s="18">
        <v>41.18</v>
      </c>
      <c r="P49" s="18"/>
    </row>
    <row r="50" spans="1:16" x14ac:dyDescent="0.25">
      <c r="A50" s="16">
        <f t="shared" si="0"/>
        <v>45415</v>
      </c>
      <c r="B50" t="s">
        <v>20</v>
      </c>
      <c r="C50" s="12" t="s">
        <v>6</v>
      </c>
      <c r="D50" s="18" t="s">
        <v>351</v>
      </c>
      <c r="E50" s="18" t="s">
        <v>56</v>
      </c>
      <c r="F50" s="18" t="s">
        <v>285</v>
      </c>
      <c r="G50" s="18" t="str">
        <f>IF(Table5[[#This Row],[ShiftCounter]]&gt;0,"Running","Down")</f>
        <v>Down</v>
      </c>
      <c r="H50" s="9" t="s">
        <v>82</v>
      </c>
      <c r="I50" t="s">
        <v>58</v>
      </c>
      <c r="J50" s="18">
        <v>0</v>
      </c>
      <c r="K50" s="15">
        <v>0</v>
      </c>
      <c r="L50">
        <v>0</v>
      </c>
      <c r="M50">
        <v>0</v>
      </c>
      <c r="N50" s="18">
        <v>10.62</v>
      </c>
      <c r="P50" s="18" t="s">
        <v>151</v>
      </c>
    </row>
    <row r="51" spans="1:16" x14ac:dyDescent="0.25">
      <c r="A51" s="16">
        <f t="shared" si="0"/>
        <v>45415</v>
      </c>
      <c r="B51" t="s">
        <v>21</v>
      </c>
      <c r="C51" s="12" t="s">
        <v>6</v>
      </c>
      <c r="D51" s="18" t="s">
        <v>291</v>
      </c>
      <c r="E51" s="18" t="s">
        <v>56</v>
      </c>
      <c r="F51" s="18" t="s">
        <v>285</v>
      </c>
      <c r="G51" s="18" t="str">
        <f>IF(Table5[[#This Row],[ShiftCounter]]&gt;0,"Running","Down")</f>
        <v>Down</v>
      </c>
      <c r="H51" s="9" t="s">
        <v>80</v>
      </c>
      <c r="I51" t="s">
        <v>65</v>
      </c>
      <c r="J51" s="18">
        <v>0</v>
      </c>
      <c r="K51" s="15">
        <v>0</v>
      </c>
      <c r="L51">
        <v>0</v>
      </c>
      <c r="M51">
        <v>0</v>
      </c>
      <c r="N51" s="18">
        <v>22.62</v>
      </c>
      <c r="P51" s="18" t="s">
        <v>152</v>
      </c>
    </row>
    <row r="52" spans="1:16" x14ac:dyDescent="0.25">
      <c r="A52" s="16">
        <f t="shared" si="0"/>
        <v>45415</v>
      </c>
      <c r="B52" t="s">
        <v>22</v>
      </c>
      <c r="C52" s="12" t="s">
        <v>6</v>
      </c>
      <c r="D52" s="18" t="s">
        <v>353</v>
      </c>
      <c r="E52" s="18" t="s">
        <v>56</v>
      </c>
      <c r="F52" s="18" t="s">
        <v>285</v>
      </c>
      <c r="G52" s="18" t="str">
        <f>IF(Table5[[#This Row],[ShiftCounter]]&gt;0,"Running","Down")</f>
        <v>Down</v>
      </c>
      <c r="H52" s="9" t="s">
        <v>79</v>
      </c>
      <c r="I52" t="s">
        <v>58</v>
      </c>
      <c r="J52" s="18">
        <v>0</v>
      </c>
      <c r="K52" s="15">
        <v>0</v>
      </c>
      <c r="L52">
        <v>0</v>
      </c>
      <c r="M52">
        <v>0</v>
      </c>
      <c r="N52" s="18">
        <v>14.6</v>
      </c>
      <c r="P52" s="18" t="s">
        <v>148</v>
      </c>
    </row>
    <row r="53" spans="1:16" x14ac:dyDescent="0.25">
      <c r="A53" s="16">
        <f t="shared" si="0"/>
        <v>45415</v>
      </c>
      <c r="B53" t="s">
        <v>77</v>
      </c>
      <c r="C53" s="12" t="s">
        <v>6</v>
      </c>
      <c r="D53" s="18"/>
      <c r="E53" s="18"/>
      <c r="F53" s="18"/>
      <c r="G53" s="18" t="str">
        <f>IF(Table5[[#This Row],[ShiftCounter]]&gt;0,"Running","Down")</f>
        <v>Down</v>
      </c>
      <c r="H53" s="9" t="s">
        <v>78</v>
      </c>
      <c r="J53" s="18">
        <v>0</v>
      </c>
      <c r="K53" s="15">
        <v>0</v>
      </c>
      <c r="L53">
        <v>0</v>
      </c>
      <c r="M53">
        <v>0</v>
      </c>
      <c r="N53" s="18">
        <v>13.49</v>
      </c>
      <c r="P53" s="18"/>
    </row>
    <row r="54" spans="1:16" x14ac:dyDescent="0.25">
      <c r="A54" s="16">
        <f t="shared" si="0"/>
        <v>45415</v>
      </c>
      <c r="B54" t="s">
        <v>23</v>
      </c>
      <c r="C54" s="12" t="s">
        <v>6</v>
      </c>
      <c r="D54" s="18"/>
      <c r="E54" s="18" t="s">
        <v>335</v>
      </c>
      <c r="F54" s="18" t="s">
        <v>285</v>
      </c>
      <c r="G54" s="18" t="str">
        <f>IF(Table5[[#This Row],[ShiftCounter]]&gt;0,"Running","Down")</f>
        <v>Down</v>
      </c>
      <c r="H54" s="9" t="s">
        <v>228</v>
      </c>
      <c r="I54" t="s">
        <v>58</v>
      </c>
      <c r="J54" s="18">
        <v>0</v>
      </c>
      <c r="K54" s="15">
        <v>0</v>
      </c>
      <c r="L54">
        <v>0</v>
      </c>
      <c r="M54">
        <v>0</v>
      </c>
      <c r="N54" s="18">
        <v>12.39</v>
      </c>
      <c r="P54" s="18" t="s">
        <v>148</v>
      </c>
    </row>
    <row r="55" spans="1:16" x14ac:dyDescent="0.25">
      <c r="A55" s="16">
        <f t="shared" si="0"/>
        <v>45415</v>
      </c>
      <c r="B55" t="s">
        <v>24</v>
      </c>
      <c r="C55" s="12" t="s">
        <v>6</v>
      </c>
      <c r="D55" s="18" t="s">
        <v>344</v>
      </c>
      <c r="E55" s="18" t="s">
        <v>379</v>
      </c>
      <c r="F55" s="18" t="s">
        <v>253</v>
      </c>
      <c r="G55" s="18" t="str">
        <f>IF(Table5[[#This Row],[ShiftCounter]]&gt;0,"Running","Down")</f>
        <v>Down</v>
      </c>
      <c r="H55" s="9" t="s">
        <v>229</v>
      </c>
      <c r="I55" t="s">
        <v>65</v>
      </c>
      <c r="J55" s="18">
        <v>0</v>
      </c>
      <c r="K55" s="15">
        <v>0</v>
      </c>
      <c r="L55">
        <v>0</v>
      </c>
      <c r="M55">
        <v>0</v>
      </c>
      <c r="N55" s="18">
        <v>13.29</v>
      </c>
      <c r="P55" s="18" t="s">
        <v>152</v>
      </c>
    </row>
    <row r="56" spans="1:16" x14ac:dyDescent="0.25">
      <c r="A56" s="16">
        <f t="shared" si="0"/>
        <v>45415</v>
      </c>
      <c r="B56" t="s">
        <v>75</v>
      </c>
      <c r="C56" s="12" t="s">
        <v>6</v>
      </c>
      <c r="D56" s="18" t="s">
        <v>394</v>
      </c>
      <c r="E56" s="18" t="s">
        <v>202</v>
      </c>
      <c r="F56" s="18" t="s">
        <v>346</v>
      </c>
      <c r="G56" s="18" t="str">
        <f>IF(Table5[[#This Row],[ShiftCounter]]&gt;0,"Running","Down")</f>
        <v>Down</v>
      </c>
      <c r="H56" s="9" t="s">
        <v>230</v>
      </c>
      <c r="I56" t="s">
        <v>58</v>
      </c>
      <c r="J56" s="18">
        <v>0</v>
      </c>
      <c r="K56" s="15">
        <v>0</v>
      </c>
      <c r="L56">
        <v>0</v>
      </c>
      <c r="M56">
        <v>0</v>
      </c>
      <c r="N56" s="18">
        <v>14.5</v>
      </c>
      <c r="P56" s="18" t="s">
        <v>273</v>
      </c>
    </row>
    <row r="57" spans="1:16" x14ac:dyDescent="0.25">
      <c r="A57" s="16">
        <f t="shared" si="0"/>
        <v>45415</v>
      </c>
      <c r="B57" t="s">
        <v>25</v>
      </c>
      <c r="C57" s="12" t="s">
        <v>6</v>
      </c>
      <c r="D57" s="18" t="s">
        <v>383</v>
      </c>
      <c r="E57" s="18" t="s">
        <v>379</v>
      </c>
      <c r="F57" s="18" t="s">
        <v>285</v>
      </c>
      <c r="G57" s="18" t="str">
        <f>IF(Table5[[#This Row],[ShiftCounter]]&gt;0,"Running","Down")</f>
        <v>Down</v>
      </c>
      <c r="H57" s="9" t="s">
        <v>231</v>
      </c>
      <c r="I57" t="s">
        <v>65</v>
      </c>
      <c r="J57" s="18">
        <v>0</v>
      </c>
      <c r="K57" s="15">
        <v>0</v>
      </c>
      <c r="L57">
        <v>0</v>
      </c>
      <c r="M57">
        <v>0</v>
      </c>
      <c r="N57" s="18">
        <v>13.5</v>
      </c>
      <c r="P57" s="18" t="s">
        <v>148</v>
      </c>
    </row>
    <row r="58" spans="1:16" x14ac:dyDescent="0.25">
      <c r="A58" s="16">
        <f t="shared" si="0"/>
        <v>45415</v>
      </c>
      <c r="B58" t="s">
        <v>74</v>
      </c>
      <c r="C58" s="12" t="s">
        <v>6</v>
      </c>
      <c r="D58" s="18" t="s">
        <v>292</v>
      </c>
      <c r="E58" s="18" t="s">
        <v>60</v>
      </c>
      <c r="F58" s="18" t="s">
        <v>346</v>
      </c>
      <c r="G58" s="18" t="str">
        <f>IF(Table5[[#This Row],[ShiftCounter]]&gt;0,"Running","Down")</f>
        <v>Down</v>
      </c>
      <c r="H58" s="9" t="s">
        <v>232</v>
      </c>
      <c r="I58" t="s">
        <v>58</v>
      </c>
      <c r="J58" s="18">
        <v>0</v>
      </c>
      <c r="K58" s="15">
        <v>0</v>
      </c>
      <c r="L58">
        <v>0</v>
      </c>
      <c r="M58">
        <v>0</v>
      </c>
      <c r="N58" s="18">
        <v>14.8</v>
      </c>
      <c r="P58" s="18" t="s">
        <v>293</v>
      </c>
    </row>
    <row r="59" spans="1:16" x14ac:dyDescent="0.25">
      <c r="A59" s="16">
        <f t="shared" si="0"/>
        <v>45415</v>
      </c>
      <c r="B59" t="s">
        <v>26</v>
      </c>
      <c r="C59" s="12" t="s">
        <v>6</v>
      </c>
      <c r="D59" s="18" t="s">
        <v>294</v>
      </c>
      <c r="E59" s="18" t="s">
        <v>56</v>
      </c>
      <c r="F59" s="18" t="s">
        <v>184</v>
      </c>
      <c r="G59" s="18" t="str">
        <f>IF(Table5[[#This Row],[ShiftCounter]]&gt;0,"Running","Down")</f>
        <v>Down</v>
      </c>
      <c r="H59" s="9" t="s">
        <v>233</v>
      </c>
      <c r="I59" t="s">
        <v>65</v>
      </c>
      <c r="J59" s="18">
        <v>0</v>
      </c>
      <c r="K59" s="15">
        <v>0</v>
      </c>
      <c r="L59">
        <v>0</v>
      </c>
      <c r="M59">
        <v>0</v>
      </c>
      <c r="N59" s="18">
        <v>14</v>
      </c>
      <c r="P59" s="18" t="s">
        <v>155</v>
      </c>
    </row>
    <row r="60" spans="1:16" x14ac:dyDescent="0.25">
      <c r="A60" s="16">
        <f t="shared" si="0"/>
        <v>45415</v>
      </c>
      <c r="B60" t="s">
        <v>27</v>
      </c>
      <c r="C60" s="12" t="s">
        <v>6</v>
      </c>
      <c r="D60" s="18" t="s">
        <v>384</v>
      </c>
      <c r="E60" s="18" t="s">
        <v>366</v>
      </c>
      <c r="F60" s="18" t="s">
        <v>346</v>
      </c>
      <c r="G60" s="18" t="str">
        <f>IF(Table5[[#This Row],[ShiftCounter]]&gt;0,"Running","Down")</f>
        <v>Down</v>
      </c>
      <c r="H60" s="9" t="s">
        <v>234</v>
      </c>
      <c r="I60" t="s">
        <v>58</v>
      </c>
      <c r="J60" s="18">
        <v>0</v>
      </c>
      <c r="K60" s="15">
        <v>0</v>
      </c>
      <c r="L60">
        <v>0</v>
      </c>
      <c r="M60">
        <v>0</v>
      </c>
      <c r="N60" s="18">
        <v>13.5</v>
      </c>
      <c r="P60" s="18" t="s">
        <v>269</v>
      </c>
    </row>
    <row r="61" spans="1:16" x14ac:dyDescent="0.25">
      <c r="A61" s="16">
        <f t="shared" si="0"/>
        <v>45415</v>
      </c>
      <c r="B61" t="s">
        <v>28</v>
      </c>
      <c r="C61" s="12" t="s">
        <v>6</v>
      </c>
      <c r="D61" s="18" t="s">
        <v>385</v>
      </c>
      <c r="E61" s="18" t="s">
        <v>56</v>
      </c>
      <c r="F61" s="18" t="s">
        <v>338</v>
      </c>
      <c r="G61" s="18" t="str">
        <f>IF(Table5[[#This Row],[ShiftCounter]]&gt;0,"Running","Down")</f>
        <v>Down</v>
      </c>
      <c r="H61" s="9" t="s">
        <v>235</v>
      </c>
      <c r="I61" t="s">
        <v>65</v>
      </c>
      <c r="J61" s="18">
        <v>0</v>
      </c>
      <c r="K61" s="15">
        <v>0</v>
      </c>
      <c r="L61">
        <v>0</v>
      </c>
      <c r="M61">
        <v>0</v>
      </c>
      <c r="N61" s="18">
        <v>13.6</v>
      </c>
      <c r="P61" s="18" t="s">
        <v>155</v>
      </c>
    </row>
    <row r="62" spans="1:16" x14ac:dyDescent="0.25">
      <c r="A62" s="16">
        <f t="shared" si="0"/>
        <v>45415</v>
      </c>
      <c r="B62" t="s">
        <v>72</v>
      </c>
      <c r="C62" s="12" t="s">
        <v>6</v>
      </c>
      <c r="D62" s="18" t="s">
        <v>322</v>
      </c>
      <c r="E62" s="18" t="s">
        <v>202</v>
      </c>
      <c r="F62" s="18" t="s">
        <v>346</v>
      </c>
      <c r="G62" s="18" t="str">
        <f>IF(Table5[[#This Row],[ShiftCounter]]&gt;0,"Running","Down")</f>
        <v>Down</v>
      </c>
      <c r="H62" s="9" t="s">
        <v>236</v>
      </c>
      <c r="I62" t="s">
        <v>58</v>
      </c>
      <c r="J62" s="18">
        <v>0</v>
      </c>
      <c r="K62" s="15">
        <v>0</v>
      </c>
      <c r="L62">
        <v>0</v>
      </c>
      <c r="M62">
        <v>0</v>
      </c>
      <c r="N62" s="18">
        <v>15.09</v>
      </c>
      <c r="P62" s="18" t="s">
        <v>157</v>
      </c>
    </row>
    <row r="63" spans="1:16" x14ac:dyDescent="0.25">
      <c r="A63" s="16">
        <f t="shared" si="0"/>
        <v>45415</v>
      </c>
      <c r="B63" t="s">
        <v>29</v>
      </c>
      <c r="C63" s="12" t="s">
        <v>6</v>
      </c>
      <c r="D63" s="18" t="s">
        <v>315</v>
      </c>
      <c r="E63" s="18" t="s">
        <v>56</v>
      </c>
      <c r="F63" s="18" t="s">
        <v>338</v>
      </c>
      <c r="G63" s="18" t="str">
        <f>IF(Table5[[#This Row],[ShiftCounter]]&gt;0,"Running","Down")</f>
        <v>Down</v>
      </c>
      <c r="H63" s="9" t="s">
        <v>236</v>
      </c>
      <c r="I63" t="s">
        <v>65</v>
      </c>
      <c r="J63" s="18">
        <v>0</v>
      </c>
      <c r="K63" s="15">
        <v>0</v>
      </c>
      <c r="L63">
        <v>0</v>
      </c>
      <c r="M63">
        <v>0</v>
      </c>
      <c r="N63" s="18">
        <v>15.09</v>
      </c>
      <c r="P63" s="18" t="s">
        <v>156</v>
      </c>
    </row>
    <row r="64" spans="1:16" x14ac:dyDescent="0.25">
      <c r="A64" s="16">
        <f t="shared" si="0"/>
        <v>45415</v>
      </c>
      <c r="B64" t="s">
        <v>30</v>
      </c>
      <c r="C64" s="12" t="s">
        <v>6</v>
      </c>
      <c r="D64" s="18" t="s">
        <v>296</v>
      </c>
      <c r="E64" s="18" t="s">
        <v>73</v>
      </c>
      <c r="F64" s="18" t="s">
        <v>346</v>
      </c>
      <c r="G64" s="18" t="str">
        <f>IF(Table5[[#This Row],[ShiftCounter]]&gt;0,"Running","Down")</f>
        <v>Down</v>
      </c>
      <c r="H64" s="9" t="s">
        <v>71</v>
      </c>
      <c r="I64" t="s">
        <v>58</v>
      </c>
      <c r="J64" s="18">
        <v>0</v>
      </c>
      <c r="K64" s="15">
        <v>0</v>
      </c>
      <c r="L64">
        <v>0</v>
      </c>
      <c r="M64">
        <v>0</v>
      </c>
      <c r="N64" s="18">
        <v>18.149999999999999</v>
      </c>
      <c r="P64" s="18" t="s">
        <v>197</v>
      </c>
    </row>
    <row r="65" spans="1:16" x14ac:dyDescent="0.25">
      <c r="A65" s="16">
        <f t="shared" si="0"/>
        <v>45415</v>
      </c>
      <c r="B65" t="s">
        <v>31</v>
      </c>
      <c r="C65" s="12" t="s">
        <v>6</v>
      </c>
      <c r="D65" s="18"/>
      <c r="E65" s="18" t="s">
        <v>56</v>
      </c>
      <c r="F65" s="18"/>
      <c r="G65" s="18" t="str">
        <f>IF(Table5[[#This Row],[ShiftCounter]]&gt;0,"Running","Down")</f>
        <v>Down</v>
      </c>
      <c r="H65" s="9" t="s">
        <v>70</v>
      </c>
      <c r="I65" t="s">
        <v>65</v>
      </c>
      <c r="J65" s="18">
        <v>0</v>
      </c>
      <c r="K65" s="15">
        <v>0</v>
      </c>
      <c r="L65">
        <v>0</v>
      </c>
      <c r="M65">
        <v>0</v>
      </c>
      <c r="N65" s="18">
        <v>13.5</v>
      </c>
      <c r="P65" s="18" t="s">
        <v>156</v>
      </c>
    </row>
    <row r="66" spans="1:16" x14ac:dyDescent="0.25">
      <c r="A66" s="16">
        <f t="shared" si="0"/>
        <v>45415</v>
      </c>
      <c r="B66" t="s">
        <v>32</v>
      </c>
      <c r="C66" s="12" t="s">
        <v>6</v>
      </c>
      <c r="D66" s="18" t="s">
        <v>247</v>
      </c>
      <c r="E66" s="18" t="s">
        <v>73</v>
      </c>
      <c r="F66" s="18" t="s">
        <v>346</v>
      </c>
      <c r="G66" s="18" t="str">
        <f>IF(Table5[[#This Row],[ShiftCounter]]&gt;0,"Running","Down")</f>
        <v>Down</v>
      </c>
      <c r="H66" s="9" t="s">
        <v>69</v>
      </c>
      <c r="I66" t="s">
        <v>58</v>
      </c>
      <c r="J66" s="18">
        <v>0</v>
      </c>
      <c r="K66" s="15">
        <v>0</v>
      </c>
      <c r="L66">
        <v>0</v>
      </c>
      <c r="M66">
        <v>0</v>
      </c>
      <c r="N66" s="18">
        <v>13</v>
      </c>
      <c r="P66" s="18" t="s">
        <v>197</v>
      </c>
    </row>
    <row r="67" spans="1:16" x14ac:dyDescent="0.25">
      <c r="A67" s="16">
        <f t="shared" si="0"/>
        <v>45415</v>
      </c>
      <c r="B67" t="s">
        <v>67</v>
      </c>
      <c r="C67" s="12" t="s">
        <v>6</v>
      </c>
      <c r="D67" s="18" t="s">
        <v>354</v>
      </c>
      <c r="E67" s="18" t="s">
        <v>56</v>
      </c>
      <c r="F67" s="18" t="s">
        <v>367</v>
      </c>
      <c r="G67" s="18" t="str">
        <f>IF(Table5[[#This Row],[ShiftCounter]]&gt;0,"Running","Down")</f>
        <v>Down</v>
      </c>
      <c r="H67" s="9" t="s">
        <v>68</v>
      </c>
      <c r="I67" t="s">
        <v>65</v>
      </c>
      <c r="J67" s="18">
        <v>0</v>
      </c>
      <c r="K67" s="15">
        <v>0</v>
      </c>
      <c r="L67">
        <v>0</v>
      </c>
      <c r="M67">
        <v>0</v>
      </c>
      <c r="N67" s="18">
        <v>12.89</v>
      </c>
      <c r="P67" s="18" t="s">
        <v>156</v>
      </c>
    </row>
    <row r="68" spans="1:16" x14ac:dyDescent="0.25">
      <c r="A68" s="16">
        <f t="shared" ref="A68:A134" si="1">$A$2</f>
        <v>45415</v>
      </c>
      <c r="B68" t="s">
        <v>33</v>
      </c>
      <c r="C68" s="12" t="s">
        <v>6</v>
      </c>
      <c r="D68" s="18" t="s">
        <v>277</v>
      </c>
      <c r="E68" s="18" t="s">
        <v>73</v>
      </c>
      <c r="F68" s="18" t="s">
        <v>346</v>
      </c>
      <c r="G68" s="18" t="str">
        <f>IF(Table5[[#This Row],[ShiftCounter]]&gt;0,"Running","Down")</f>
        <v>Down</v>
      </c>
      <c r="H68" s="9" t="s">
        <v>66</v>
      </c>
      <c r="I68" t="s">
        <v>58</v>
      </c>
      <c r="J68" s="18">
        <v>0</v>
      </c>
      <c r="K68" s="15">
        <v>0</v>
      </c>
      <c r="L68">
        <v>0</v>
      </c>
      <c r="M68">
        <v>0</v>
      </c>
      <c r="N68" s="18">
        <v>14.99</v>
      </c>
      <c r="P68" s="18" t="s">
        <v>201</v>
      </c>
    </row>
    <row r="69" spans="1:16" x14ac:dyDescent="0.25">
      <c r="A69" s="16">
        <f t="shared" si="1"/>
        <v>45415</v>
      </c>
      <c r="B69" t="s">
        <v>34</v>
      </c>
      <c r="C69" s="12" t="s">
        <v>6</v>
      </c>
      <c r="D69" s="18" t="s">
        <v>386</v>
      </c>
      <c r="E69" s="18" t="s">
        <v>56</v>
      </c>
      <c r="F69" s="18" t="s">
        <v>346</v>
      </c>
      <c r="G69" s="18" t="str">
        <f>IF(Table5[[#This Row],[ShiftCounter]]&gt;0,"Running","Down")</f>
        <v>Down</v>
      </c>
      <c r="H69" s="9" t="s">
        <v>64</v>
      </c>
      <c r="I69" t="s">
        <v>65</v>
      </c>
      <c r="J69" s="18">
        <v>0</v>
      </c>
      <c r="K69" s="15">
        <v>0</v>
      </c>
      <c r="L69">
        <v>0</v>
      </c>
      <c r="M69">
        <v>0</v>
      </c>
      <c r="N69" s="18">
        <v>14.89</v>
      </c>
      <c r="P69" s="18" t="s">
        <v>387</v>
      </c>
    </row>
    <row r="70" spans="1:16" x14ac:dyDescent="0.25">
      <c r="A70" s="16">
        <f t="shared" si="1"/>
        <v>45415</v>
      </c>
      <c r="B70" t="s">
        <v>35</v>
      </c>
      <c r="C70" s="12" t="s">
        <v>6</v>
      </c>
      <c r="D70" s="18" t="s">
        <v>388</v>
      </c>
      <c r="E70" s="18" t="s">
        <v>56</v>
      </c>
      <c r="F70" s="18" t="s">
        <v>346</v>
      </c>
      <c r="G70" s="18" t="str">
        <f>IF(Table5[[#This Row],[ShiftCounter]]&gt;0,"Running","Down")</f>
        <v>Down</v>
      </c>
      <c r="H70" s="9" t="s">
        <v>237</v>
      </c>
      <c r="I70" t="s">
        <v>58</v>
      </c>
      <c r="J70" s="18">
        <v>0</v>
      </c>
      <c r="K70" s="15">
        <v>0</v>
      </c>
      <c r="L70">
        <v>0</v>
      </c>
      <c r="M70">
        <v>0</v>
      </c>
      <c r="N70" s="18">
        <v>14.39</v>
      </c>
      <c r="P70" s="18" t="s">
        <v>389</v>
      </c>
    </row>
    <row r="71" spans="1:16" x14ac:dyDescent="0.25">
      <c r="A71" s="16">
        <f t="shared" si="1"/>
        <v>45415</v>
      </c>
      <c r="B71" t="s">
        <v>63</v>
      </c>
      <c r="C71" s="12" t="s">
        <v>6</v>
      </c>
      <c r="D71" s="18"/>
      <c r="E71" s="18"/>
      <c r="F71" s="18"/>
      <c r="G71" s="18" t="str">
        <f>IF(Table5[[#This Row],[ShiftCounter]]&gt;0,"Running","Down")</f>
        <v>Down</v>
      </c>
      <c r="H71" s="9" t="s">
        <v>238</v>
      </c>
      <c r="J71" s="18">
        <v>0</v>
      </c>
      <c r="K71" s="15">
        <v>0</v>
      </c>
      <c r="L71">
        <v>0</v>
      </c>
      <c r="M71">
        <v>0</v>
      </c>
      <c r="N71" s="18">
        <v>18.8</v>
      </c>
      <c r="P71" s="18"/>
    </row>
    <row r="72" spans="1:16" x14ac:dyDescent="0.25">
      <c r="A72" s="16">
        <f t="shared" si="1"/>
        <v>45415</v>
      </c>
      <c r="B72" t="s">
        <v>36</v>
      </c>
      <c r="C72" s="12" t="s">
        <v>6</v>
      </c>
      <c r="D72" s="18" t="s">
        <v>390</v>
      </c>
      <c r="E72" s="18" t="s">
        <v>56</v>
      </c>
      <c r="F72" s="18" t="s">
        <v>369</v>
      </c>
      <c r="G72" s="18" t="str">
        <f>IF(Table5[[#This Row],[ShiftCounter]]&gt;0,"Running","Down")</f>
        <v>Down</v>
      </c>
      <c r="H72" s="9" t="s">
        <v>239</v>
      </c>
      <c r="I72" t="s">
        <v>58</v>
      </c>
      <c r="J72" s="18">
        <v>0</v>
      </c>
      <c r="K72" s="15">
        <v>0</v>
      </c>
      <c r="L72">
        <v>0</v>
      </c>
      <c r="M72">
        <v>0</v>
      </c>
      <c r="N72" s="18">
        <v>133</v>
      </c>
      <c r="P72" s="18" t="s">
        <v>391</v>
      </c>
    </row>
    <row r="73" spans="1:16" x14ac:dyDescent="0.25">
      <c r="A73" s="16">
        <f t="shared" si="1"/>
        <v>45415</v>
      </c>
      <c r="B73" t="s">
        <v>256</v>
      </c>
      <c r="C73" s="12" t="s">
        <v>6</v>
      </c>
      <c r="D73" s="18" t="s">
        <v>392</v>
      </c>
      <c r="E73" s="18" t="s">
        <v>378</v>
      </c>
      <c r="F73" s="18" t="s">
        <v>192</v>
      </c>
      <c r="G73" s="18" t="str">
        <f>IF(Table5[[#This Row],[ShiftCounter]]&gt;0,"Running","Down")</f>
        <v>Down</v>
      </c>
      <c r="H73" s="9"/>
      <c r="I73" t="s">
        <v>262</v>
      </c>
      <c r="J73" s="18">
        <v>0</v>
      </c>
      <c r="K73" s="15">
        <v>0</v>
      </c>
      <c r="L73">
        <v>0</v>
      </c>
      <c r="M73">
        <v>0</v>
      </c>
      <c r="N73" s="18">
        <v>0</v>
      </c>
      <c r="P73" s="18" t="s">
        <v>149</v>
      </c>
    </row>
    <row r="74" spans="1:16" x14ac:dyDescent="0.25">
      <c r="A74" s="16">
        <f t="shared" si="1"/>
        <v>45415</v>
      </c>
      <c r="B74" s="18" t="s">
        <v>257</v>
      </c>
      <c r="C74" s="18" t="s">
        <v>6</v>
      </c>
      <c r="D74" s="18" t="s">
        <v>392</v>
      </c>
      <c r="E74" s="18" t="s">
        <v>378</v>
      </c>
      <c r="F74" s="18" t="s">
        <v>192</v>
      </c>
      <c r="G74" s="32" t="str">
        <f>IF(Table5[[#This Row],[ShiftCounter]]&gt;0,"Running","Down")</f>
        <v>Down</v>
      </c>
      <c r="H74" s="9"/>
      <c r="I74" s="18" t="s">
        <v>262</v>
      </c>
      <c r="J74" s="18">
        <v>0</v>
      </c>
      <c r="K74" s="18">
        <v>0</v>
      </c>
      <c r="L74" s="18">
        <v>0</v>
      </c>
      <c r="M74" s="18">
        <v>0</v>
      </c>
      <c r="N74" s="18">
        <v>0</v>
      </c>
      <c r="O74" s="18"/>
      <c r="P74" s="18" t="s">
        <v>149</v>
      </c>
    </row>
    <row r="75" spans="1:16" x14ac:dyDescent="0.25">
      <c r="A75" s="16">
        <f t="shared" si="1"/>
        <v>45415</v>
      </c>
      <c r="B75" t="s">
        <v>37</v>
      </c>
      <c r="C75" s="12" t="s">
        <v>6</v>
      </c>
      <c r="D75" s="18" t="s">
        <v>347</v>
      </c>
      <c r="E75" s="18" t="s">
        <v>348</v>
      </c>
      <c r="F75" s="18" t="s">
        <v>346</v>
      </c>
      <c r="G75" s="18" t="str">
        <f>IF(Table5[[#This Row],[ShiftCounter]]&gt;0,"Running","Down")</f>
        <v>Down</v>
      </c>
      <c r="H75" s="9" t="s">
        <v>240</v>
      </c>
      <c r="I75" t="s">
        <v>58</v>
      </c>
      <c r="J75" s="18">
        <v>0</v>
      </c>
      <c r="K75" s="15">
        <v>0</v>
      </c>
      <c r="L75">
        <v>0</v>
      </c>
      <c r="M75">
        <v>0</v>
      </c>
      <c r="N75" s="18">
        <v>41.64</v>
      </c>
      <c r="P75" s="18" t="s">
        <v>270</v>
      </c>
    </row>
    <row r="76" spans="1:16" x14ac:dyDescent="0.25">
      <c r="A76" s="16">
        <f t="shared" si="1"/>
        <v>45415</v>
      </c>
      <c r="B76" t="s">
        <v>258</v>
      </c>
      <c r="C76" s="12" t="s">
        <v>6</v>
      </c>
      <c r="D76" s="18" t="s">
        <v>278</v>
      </c>
      <c r="E76" s="18" t="s">
        <v>279</v>
      </c>
      <c r="F76" s="18" t="s">
        <v>276</v>
      </c>
      <c r="G76" s="18" t="str">
        <f>IF(Table5[[#This Row],[ShiftCounter]]&gt;0,"Running","Down")</f>
        <v>Down</v>
      </c>
      <c r="H76" s="9" t="s">
        <v>241</v>
      </c>
      <c r="I76" t="s">
        <v>262</v>
      </c>
      <c r="J76" s="18">
        <v>0</v>
      </c>
      <c r="K76" s="15">
        <v>0</v>
      </c>
      <c r="L76">
        <v>0</v>
      </c>
      <c r="M76">
        <v>0</v>
      </c>
      <c r="N76" s="18">
        <v>74.010000000000005</v>
      </c>
      <c r="P76" s="18" t="s">
        <v>150</v>
      </c>
    </row>
    <row r="77" spans="1:16" x14ac:dyDescent="0.25">
      <c r="A77" s="16">
        <f t="shared" si="1"/>
        <v>45415</v>
      </c>
      <c r="B77" s="18" t="s">
        <v>259</v>
      </c>
      <c r="C77" s="18" t="s">
        <v>6</v>
      </c>
      <c r="D77" s="18" t="s">
        <v>204</v>
      </c>
      <c r="E77" s="18" t="s">
        <v>342</v>
      </c>
      <c r="F77" s="18" t="s">
        <v>310</v>
      </c>
      <c r="G77" s="32" t="str">
        <f>IF(Table5[[#This Row],[ShiftCounter]]&gt;0,"Running","Down")</f>
        <v>Down</v>
      </c>
      <c r="H77" s="9" t="s">
        <v>241</v>
      </c>
      <c r="I77" s="18" t="s">
        <v>262</v>
      </c>
      <c r="J77" s="18">
        <v>0</v>
      </c>
      <c r="K77" s="18">
        <v>0</v>
      </c>
      <c r="L77" s="18">
        <v>0</v>
      </c>
      <c r="M77" s="18">
        <v>0</v>
      </c>
      <c r="N77" s="18">
        <v>73.989999999999995</v>
      </c>
      <c r="O77" s="18"/>
      <c r="P77" s="18" t="s">
        <v>148</v>
      </c>
    </row>
    <row r="78" spans="1:16" x14ac:dyDescent="0.25">
      <c r="A78" s="16">
        <f t="shared" si="1"/>
        <v>45415</v>
      </c>
      <c r="B78" t="s">
        <v>260</v>
      </c>
      <c r="C78" s="12" t="s">
        <v>6</v>
      </c>
      <c r="D78" s="18" t="s">
        <v>393</v>
      </c>
      <c r="E78" s="18"/>
      <c r="F78" s="18"/>
      <c r="G78" s="18" t="str">
        <f>IF(Table5[[#This Row],[ShiftCounter]]&gt;0,"Running","Down")</f>
        <v>Down</v>
      </c>
      <c r="H78" s="9" t="s">
        <v>242</v>
      </c>
      <c r="I78" t="s">
        <v>262</v>
      </c>
      <c r="J78" s="18">
        <v>0</v>
      </c>
      <c r="K78" s="15">
        <v>0</v>
      </c>
      <c r="L78">
        <v>0</v>
      </c>
      <c r="M78">
        <v>0</v>
      </c>
      <c r="N78" s="18">
        <v>41.85</v>
      </c>
      <c r="P78" s="18" t="s">
        <v>148</v>
      </c>
    </row>
    <row r="79" spans="1:16" x14ac:dyDescent="0.25">
      <c r="A79" s="16">
        <f t="shared" si="1"/>
        <v>45415</v>
      </c>
      <c r="B79" s="18" t="s">
        <v>261</v>
      </c>
      <c r="C79" s="18" t="s">
        <v>6</v>
      </c>
      <c r="D79" s="18"/>
      <c r="E79" s="18"/>
      <c r="F79" s="18"/>
      <c r="G79" s="32" t="str">
        <f>IF(Table5[[#This Row],[ShiftCounter]]&gt;0,"Running","Down")</f>
        <v>Down</v>
      </c>
      <c r="H79" s="9" t="s">
        <v>242</v>
      </c>
      <c r="I79" s="18" t="s">
        <v>262</v>
      </c>
      <c r="J79" s="18">
        <v>0</v>
      </c>
      <c r="K79" s="18">
        <v>0</v>
      </c>
      <c r="L79" s="18">
        <v>0</v>
      </c>
      <c r="M79" s="18">
        <v>0</v>
      </c>
      <c r="N79" s="18">
        <v>41.85</v>
      </c>
      <c r="O79" s="18"/>
      <c r="P79" s="18"/>
    </row>
    <row r="80" spans="1:16" x14ac:dyDescent="0.25">
      <c r="A80" s="16">
        <f t="shared" si="1"/>
        <v>45415</v>
      </c>
      <c r="B80" t="s">
        <v>54</v>
      </c>
      <c r="C80" s="12" t="s">
        <v>6</v>
      </c>
      <c r="D80" s="18" t="s">
        <v>55</v>
      </c>
      <c r="E80" s="18" t="s">
        <v>56</v>
      </c>
      <c r="F80" s="18" t="s">
        <v>57</v>
      </c>
      <c r="G80" s="18" t="str">
        <f>IF(Table5[[#This Row],[ShiftCounter]]&gt;0,"Running","Down")</f>
        <v>Down</v>
      </c>
      <c r="H80" s="9" t="s">
        <v>243</v>
      </c>
      <c r="I80" t="s">
        <v>58</v>
      </c>
      <c r="J80" s="18">
        <v>0</v>
      </c>
      <c r="K80" s="15">
        <v>0</v>
      </c>
      <c r="L80">
        <v>0</v>
      </c>
      <c r="M80">
        <v>0</v>
      </c>
      <c r="N80" s="18">
        <v>16.489999999999998</v>
      </c>
      <c r="P80" s="18" t="s">
        <v>159</v>
      </c>
    </row>
    <row r="81" spans="1:16" ht="15" customHeight="1" x14ac:dyDescent="0.25">
      <c r="A81" s="16">
        <f t="shared" si="1"/>
        <v>45415</v>
      </c>
      <c r="B81" s="18" t="s">
        <v>136</v>
      </c>
      <c r="C81" s="12" t="s">
        <v>7</v>
      </c>
      <c r="D81" s="18" t="s">
        <v>174</v>
      </c>
      <c r="E81" s="18" t="s">
        <v>60</v>
      </c>
      <c r="F81" s="18" t="s">
        <v>90</v>
      </c>
      <c r="G81" s="18" t="str">
        <f>IF(Table5[[#This Row],[ShiftCounter]]&gt;0,"Running","Down")</f>
        <v>Down</v>
      </c>
      <c r="H81" s="18" t="str">
        <f>IF(ISBLANK(H2),"",H2)</f>
        <v>01</v>
      </c>
      <c r="I81" s="18" t="str">
        <f>IF(ISBLANK(I2),"",I2)</f>
        <v>SHI SE350E</v>
      </c>
      <c r="J81" s="18">
        <v>0</v>
      </c>
      <c r="K81" s="15">
        <v>0</v>
      </c>
      <c r="L81" s="15">
        <v>0</v>
      </c>
      <c r="M81" s="15">
        <v>0</v>
      </c>
      <c r="N81" s="18">
        <f t="shared" ref="N81:N112" si="2">N2</f>
        <v>18.8</v>
      </c>
      <c r="O81" s="15"/>
      <c r="P81" s="18" t="s">
        <v>153</v>
      </c>
    </row>
    <row r="82" spans="1:16" ht="15" customHeight="1" x14ac:dyDescent="0.25">
      <c r="A82" s="16">
        <f t="shared" si="1"/>
        <v>45415</v>
      </c>
      <c r="B82" s="18" t="s">
        <v>135</v>
      </c>
      <c r="C82" s="18" t="s">
        <v>7</v>
      </c>
      <c r="D82" s="18" t="s">
        <v>330</v>
      </c>
      <c r="E82" s="18" t="s">
        <v>81</v>
      </c>
      <c r="F82" s="18" t="s">
        <v>90</v>
      </c>
      <c r="G82" s="18" t="str">
        <f>IF(Table5[[#This Row],[ShiftCounter]]&gt;0,"Running","Down")</f>
        <v>Down</v>
      </c>
      <c r="H82" s="18" t="str">
        <f t="shared" ref="H82:H145" si="3">IF(ISBLANK(H3),"",H3)</f>
        <v>02</v>
      </c>
      <c r="I82" s="18" t="str">
        <f t="shared" ref="I82:I113" si="4">IF(ISBLANK(I3),"",I3)</f>
        <v>SHI SE350E</v>
      </c>
      <c r="J82" s="18">
        <v>0</v>
      </c>
      <c r="K82" s="15">
        <v>0</v>
      </c>
      <c r="L82" s="15">
        <v>0</v>
      </c>
      <c r="M82" s="15">
        <v>0</v>
      </c>
      <c r="N82" s="18">
        <f t="shared" si="2"/>
        <v>20.39</v>
      </c>
      <c r="O82" s="18"/>
      <c r="P82" s="18"/>
    </row>
    <row r="83" spans="1:16" ht="15" customHeight="1" x14ac:dyDescent="0.25">
      <c r="A83" s="16">
        <f t="shared" si="1"/>
        <v>45415</v>
      </c>
      <c r="B83" s="18" t="s">
        <v>134</v>
      </c>
      <c r="C83" s="18" t="s">
        <v>7</v>
      </c>
      <c r="D83" s="18" t="s">
        <v>175</v>
      </c>
      <c r="E83" s="18" t="s">
        <v>81</v>
      </c>
      <c r="F83" s="18" t="s">
        <v>90</v>
      </c>
      <c r="G83" s="18" t="str">
        <f>IF(Table5[[#This Row],[ShiftCounter]]&gt;0,"Running","Down")</f>
        <v>Down</v>
      </c>
      <c r="H83" s="18" t="str">
        <f t="shared" si="3"/>
        <v>47</v>
      </c>
      <c r="I83" s="18" t="str">
        <f t="shared" si="4"/>
        <v>SHI SE350E</v>
      </c>
      <c r="J83" s="18">
        <v>0</v>
      </c>
      <c r="K83" s="15">
        <v>0</v>
      </c>
      <c r="L83" s="15">
        <v>0</v>
      </c>
      <c r="M83" s="15">
        <v>0</v>
      </c>
      <c r="N83" s="18">
        <f t="shared" si="2"/>
        <v>0</v>
      </c>
      <c r="O83" s="18"/>
      <c r="P83" s="18" t="s">
        <v>148</v>
      </c>
    </row>
    <row r="84" spans="1:16" ht="15" customHeight="1" x14ac:dyDescent="0.25">
      <c r="A84" s="16">
        <f t="shared" si="1"/>
        <v>45415</v>
      </c>
      <c r="B84" s="18" t="s">
        <v>132</v>
      </c>
      <c r="C84" s="18" t="s">
        <v>7</v>
      </c>
      <c r="D84" s="18" t="s">
        <v>133</v>
      </c>
      <c r="E84" s="18" t="s">
        <v>190</v>
      </c>
      <c r="F84" s="18" t="s">
        <v>192</v>
      </c>
      <c r="G84" s="18" t="str">
        <f>IF(Table5[[#This Row],[ShiftCounter]]&gt;0,"Running","Down")</f>
        <v>Down</v>
      </c>
      <c r="H84" s="18" t="str">
        <f t="shared" si="3"/>
        <v>03</v>
      </c>
      <c r="I84" s="18" t="str">
        <f t="shared" si="4"/>
        <v>SHI SE350E</v>
      </c>
      <c r="J84" s="18">
        <v>0</v>
      </c>
      <c r="K84" s="15">
        <v>0</v>
      </c>
      <c r="L84" s="15">
        <v>0</v>
      </c>
      <c r="M84" s="15">
        <v>0</v>
      </c>
      <c r="N84" s="18">
        <f t="shared" si="2"/>
        <v>41.63</v>
      </c>
      <c r="O84" s="18"/>
      <c r="P84" s="18" t="s">
        <v>149</v>
      </c>
    </row>
    <row r="85" spans="1:16" ht="15" customHeight="1" x14ac:dyDescent="0.25">
      <c r="A85" s="16">
        <f t="shared" si="1"/>
        <v>45415</v>
      </c>
      <c r="B85" s="18" t="s">
        <v>131</v>
      </c>
      <c r="C85" s="18" t="s">
        <v>7</v>
      </c>
      <c r="D85" s="18" t="s">
        <v>305</v>
      </c>
      <c r="E85" s="18" t="s">
        <v>81</v>
      </c>
      <c r="F85" s="18" t="s">
        <v>310</v>
      </c>
      <c r="G85" s="18" t="str">
        <f>IF(Table5[[#This Row],[ShiftCounter]]&gt;0,"Running","Down")</f>
        <v>Down</v>
      </c>
      <c r="H85" s="18" t="str">
        <f t="shared" si="3"/>
        <v>04</v>
      </c>
      <c r="I85" s="18" t="str">
        <f t="shared" si="4"/>
        <v>SHI SE350E</v>
      </c>
      <c r="J85" s="18">
        <v>0</v>
      </c>
      <c r="K85" s="15">
        <v>0</v>
      </c>
      <c r="L85" s="15">
        <v>0</v>
      </c>
      <c r="M85" s="15">
        <v>0</v>
      </c>
      <c r="N85" s="18">
        <f t="shared" si="2"/>
        <v>23.93</v>
      </c>
      <c r="O85" s="18"/>
      <c r="P85" s="18" t="s">
        <v>150</v>
      </c>
    </row>
    <row r="86" spans="1:16" ht="15" customHeight="1" x14ac:dyDescent="0.25">
      <c r="A86" s="16">
        <f t="shared" si="1"/>
        <v>45415</v>
      </c>
      <c r="B86" s="18" t="s">
        <v>130</v>
      </c>
      <c r="C86" s="18" t="s">
        <v>7</v>
      </c>
      <c r="D86" s="18" t="s">
        <v>191</v>
      </c>
      <c r="E86" s="18" t="s">
        <v>81</v>
      </c>
      <c r="F86" s="18" t="s">
        <v>90</v>
      </c>
      <c r="G86" s="18" t="str">
        <f>IF(Table5[[#This Row],[ShiftCounter]]&gt;0,"Running","Down")</f>
        <v>Down</v>
      </c>
      <c r="H86" s="18" t="str">
        <f t="shared" si="3"/>
        <v/>
      </c>
      <c r="I86" s="18" t="str">
        <f t="shared" si="4"/>
        <v>SHI SE350E</v>
      </c>
      <c r="J86" s="18">
        <v>0</v>
      </c>
      <c r="K86" s="15">
        <v>0</v>
      </c>
      <c r="L86" s="15">
        <v>0</v>
      </c>
      <c r="M86" s="15">
        <v>0</v>
      </c>
      <c r="N86" s="18">
        <f t="shared" si="2"/>
        <v>803</v>
      </c>
      <c r="O86" s="18"/>
      <c r="P86" s="18" t="s">
        <v>148</v>
      </c>
    </row>
    <row r="87" spans="1:16" ht="15" customHeight="1" x14ac:dyDescent="0.25">
      <c r="A87" s="16">
        <f t="shared" si="1"/>
        <v>45415</v>
      </c>
      <c r="B87" s="18" t="s">
        <v>128</v>
      </c>
      <c r="C87" s="18" t="s">
        <v>7</v>
      </c>
      <c r="D87" s="18" t="s">
        <v>129</v>
      </c>
      <c r="E87" s="18" t="s">
        <v>126</v>
      </c>
      <c r="F87" s="18" t="s">
        <v>199</v>
      </c>
      <c r="G87" s="18" t="str">
        <f>IF(Table5[[#This Row],[ShiftCounter]]&gt;0,"Running","Down")</f>
        <v>Down</v>
      </c>
      <c r="H87" s="18" t="str">
        <f t="shared" si="3"/>
        <v>05</v>
      </c>
      <c r="I87" s="18" t="str">
        <f t="shared" si="4"/>
        <v>SHI SE350E</v>
      </c>
      <c r="J87" s="18">
        <v>0</v>
      </c>
      <c r="K87" s="15">
        <v>0</v>
      </c>
      <c r="L87" s="15">
        <v>0</v>
      </c>
      <c r="M87" s="15">
        <v>0</v>
      </c>
      <c r="N87" s="18">
        <f t="shared" si="2"/>
        <v>41.85</v>
      </c>
      <c r="O87" s="18"/>
      <c r="P87" s="18" t="s">
        <v>149</v>
      </c>
    </row>
    <row r="88" spans="1:16" ht="15" customHeight="1" x14ac:dyDescent="0.25">
      <c r="A88" s="16">
        <f t="shared" si="1"/>
        <v>45415</v>
      </c>
      <c r="B88" s="18" t="s">
        <v>40</v>
      </c>
      <c r="C88" s="18" t="s">
        <v>7</v>
      </c>
      <c r="D88" s="18" t="s">
        <v>298</v>
      </c>
      <c r="E88" s="18" t="s">
        <v>81</v>
      </c>
      <c r="F88" s="18" t="s">
        <v>200</v>
      </c>
      <c r="G88" s="18" t="str">
        <f>IF(Table5[[#This Row],[ShiftCounter]]&gt;0,"Running","Down")</f>
        <v>Down</v>
      </c>
      <c r="H88" s="18" t="str">
        <f t="shared" si="3"/>
        <v>06</v>
      </c>
      <c r="I88" s="18" t="str">
        <f t="shared" si="4"/>
        <v>SHI SE350E</v>
      </c>
      <c r="J88" s="18">
        <v>0</v>
      </c>
      <c r="K88" s="15">
        <v>0</v>
      </c>
      <c r="L88" s="15">
        <v>0</v>
      </c>
      <c r="M88" s="15">
        <v>0</v>
      </c>
      <c r="N88" s="18">
        <f t="shared" si="2"/>
        <v>13.09</v>
      </c>
      <c r="O88" s="18"/>
      <c r="P88" s="18" t="s">
        <v>152</v>
      </c>
    </row>
    <row r="89" spans="1:16" ht="15" customHeight="1" x14ac:dyDescent="0.25">
      <c r="A89" s="16">
        <f t="shared" si="1"/>
        <v>45415</v>
      </c>
      <c r="B89" s="18" t="s">
        <v>127</v>
      </c>
      <c r="C89" s="18" t="s">
        <v>7</v>
      </c>
      <c r="D89" s="18" t="s">
        <v>203</v>
      </c>
      <c r="E89" s="18" t="s">
        <v>81</v>
      </c>
      <c r="F89" s="18" t="s">
        <v>90</v>
      </c>
      <c r="G89" s="18" t="str">
        <f>IF(Table5[[#This Row],[ShiftCounter]]&gt;0,"Running","Down")</f>
        <v>Down</v>
      </c>
      <c r="H89" s="18" t="str">
        <f t="shared" si="3"/>
        <v>49</v>
      </c>
      <c r="I89" s="18" t="str">
        <f t="shared" si="4"/>
        <v>SHI SE350E</v>
      </c>
      <c r="J89" s="18">
        <v>0</v>
      </c>
      <c r="K89" s="15">
        <v>0</v>
      </c>
      <c r="L89" s="15">
        <v>0</v>
      </c>
      <c r="M89" s="15">
        <v>0</v>
      </c>
      <c r="N89" s="18">
        <f t="shared" si="2"/>
        <v>19.54</v>
      </c>
      <c r="O89" s="18"/>
      <c r="P89" s="18" t="s">
        <v>151</v>
      </c>
    </row>
    <row r="90" spans="1:16" ht="15" customHeight="1" x14ac:dyDescent="0.25">
      <c r="A90" s="16">
        <f t="shared" si="1"/>
        <v>45415</v>
      </c>
      <c r="B90" s="18" t="s">
        <v>124</v>
      </c>
      <c r="C90" s="18" t="s">
        <v>7</v>
      </c>
      <c r="D90" s="18" t="s">
        <v>125</v>
      </c>
      <c r="E90" s="18" t="s">
        <v>126</v>
      </c>
      <c r="F90" s="18" t="s">
        <v>199</v>
      </c>
      <c r="G90" s="18" t="str">
        <f>IF(Table5[[#This Row],[ShiftCounter]]&gt;0,"Running","Down")</f>
        <v>Down</v>
      </c>
      <c r="H90" s="18" t="str">
        <f t="shared" si="3"/>
        <v>07</v>
      </c>
      <c r="I90" s="18" t="str">
        <f t="shared" si="4"/>
        <v>SHI SE350E</v>
      </c>
      <c r="J90" s="18">
        <v>0</v>
      </c>
      <c r="K90" s="15">
        <v>0</v>
      </c>
      <c r="L90" s="15">
        <v>0</v>
      </c>
      <c r="M90" s="15">
        <v>0</v>
      </c>
      <c r="N90" s="18">
        <f t="shared" si="2"/>
        <v>12.59</v>
      </c>
      <c r="O90" s="18"/>
      <c r="P90" s="18" t="s">
        <v>149</v>
      </c>
    </row>
    <row r="91" spans="1:16" ht="15" customHeight="1" x14ac:dyDescent="0.25">
      <c r="A91" s="16">
        <f t="shared" si="1"/>
        <v>45415</v>
      </c>
      <c r="B91" s="18" t="s">
        <v>122</v>
      </c>
      <c r="C91" s="18" t="s">
        <v>7</v>
      </c>
      <c r="D91" s="18" t="s">
        <v>123</v>
      </c>
      <c r="E91" s="18" t="s">
        <v>81</v>
      </c>
      <c r="F91" s="18" t="s">
        <v>266</v>
      </c>
      <c r="G91" s="18" t="str">
        <f>IF(Table5[[#This Row],[ShiftCounter]]&gt;0,"Running","Down")</f>
        <v>Down</v>
      </c>
      <c r="H91" s="18" t="str">
        <f t="shared" si="3"/>
        <v>08</v>
      </c>
      <c r="I91" s="18" t="str">
        <f t="shared" si="4"/>
        <v>SHI SE350E</v>
      </c>
      <c r="J91" s="18">
        <v>0</v>
      </c>
      <c r="K91" s="15">
        <v>0</v>
      </c>
      <c r="L91" s="15">
        <v>0</v>
      </c>
      <c r="M91" s="15">
        <v>0</v>
      </c>
      <c r="N91" s="18">
        <f t="shared" si="2"/>
        <v>21.28</v>
      </c>
      <c r="O91" s="18"/>
      <c r="P91" s="18" t="s">
        <v>152</v>
      </c>
    </row>
    <row r="92" spans="1:16" ht="15" customHeight="1" x14ac:dyDescent="0.25">
      <c r="A92" s="16">
        <f t="shared" si="1"/>
        <v>45415</v>
      </c>
      <c r="B92" s="18" t="s">
        <v>120</v>
      </c>
      <c r="C92" s="18" t="s">
        <v>7</v>
      </c>
      <c r="D92" s="18" t="s">
        <v>177</v>
      </c>
      <c r="E92" s="18" t="s">
        <v>321</v>
      </c>
      <c r="F92" s="18" t="s">
        <v>90</v>
      </c>
      <c r="G92" s="18" t="str">
        <f>IF(Table5[[#This Row],[ShiftCounter]]&gt;0,"Running","Down")</f>
        <v>Down</v>
      </c>
      <c r="H92" s="18" t="str">
        <f t="shared" si="3"/>
        <v>4A</v>
      </c>
      <c r="I92" s="18" t="str">
        <f t="shared" si="4"/>
        <v>SHI SE350E</v>
      </c>
      <c r="J92" s="18">
        <v>0</v>
      </c>
      <c r="K92" s="15">
        <v>0</v>
      </c>
      <c r="L92" s="15">
        <v>0</v>
      </c>
      <c r="M92" s="15">
        <v>0</v>
      </c>
      <c r="N92" s="18">
        <f t="shared" si="2"/>
        <v>26.06</v>
      </c>
      <c r="O92" s="18"/>
      <c r="P92" s="18" t="s">
        <v>151</v>
      </c>
    </row>
    <row r="93" spans="1:16" ht="15" customHeight="1" x14ac:dyDescent="0.25">
      <c r="A93" s="16">
        <f t="shared" si="1"/>
        <v>45415</v>
      </c>
      <c r="B93" s="18" t="s">
        <v>119</v>
      </c>
      <c r="C93" s="18" t="s">
        <v>7</v>
      </c>
      <c r="D93" s="18" t="s">
        <v>178</v>
      </c>
      <c r="E93" s="18" t="s">
        <v>126</v>
      </c>
      <c r="F93" s="18" t="s">
        <v>199</v>
      </c>
      <c r="G93" s="18" t="str">
        <f>IF(Table5[[#This Row],[ShiftCounter]]&gt;0,"Running","Down")</f>
        <v>Down</v>
      </c>
      <c r="H93" s="18" t="str">
        <f t="shared" si="3"/>
        <v>09</v>
      </c>
      <c r="I93" s="18" t="str">
        <f t="shared" si="4"/>
        <v>SHI SE350E</v>
      </c>
      <c r="J93" s="18">
        <v>0</v>
      </c>
      <c r="K93" s="15">
        <v>0</v>
      </c>
      <c r="L93" s="15">
        <v>0</v>
      </c>
      <c r="M93" s="15">
        <v>0</v>
      </c>
      <c r="N93" s="18">
        <f t="shared" si="2"/>
        <v>41.86</v>
      </c>
      <c r="O93" s="18"/>
      <c r="P93" s="18" t="s">
        <v>149</v>
      </c>
    </row>
    <row r="94" spans="1:16" ht="15" customHeight="1" x14ac:dyDescent="0.25">
      <c r="A94" s="16">
        <f t="shared" si="1"/>
        <v>45415</v>
      </c>
      <c r="B94" s="18" t="s">
        <v>117</v>
      </c>
      <c r="C94" s="18" t="s">
        <v>7</v>
      </c>
      <c r="D94" s="18" t="s">
        <v>299</v>
      </c>
      <c r="E94" s="18" t="s">
        <v>306</v>
      </c>
      <c r="F94" s="18" t="s">
        <v>285</v>
      </c>
      <c r="G94" s="18" t="str">
        <f>IF(Table5[[#This Row],[ShiftCounter]]&gt;0,"Running","Down")</f>
        <v>Down</v>
      </c>
      <c r="H94" s="18" t="str">
        <f t="shared" si="3"/>
        <v>0A</v>
      </c>
      <c r="I94" s="18" t="str">
        <f t="shared" si="4"/>
        <v>SHI SE350E</v>
      </c>
      <c r="J94" s="18">
        <v>0</v>
      </c>
      <c r="K94" s="15">
        <v>0</v>
      </c>
      <c r="L94" s="15">
        <v>0</v>
      </c>
      <c r="M94" s="15">
        <v>0</v>
      </c>
      <c r="N94" s="18">
        <f t="shared" si="2"/>
        <v>12.48</v>
      </c>
      <c r="O94" s="18"/>
      <c r="P94" s="18" t="s">
        <v>148</v>
      </c>
    </row>
    <row r="95" spans="1:16" ht="15" customHeight="1" x14ac:dyDescent="0.25">
      <c r="A95" s="16">
        <f t="shared" si="1"/>
        <v>45415</v>
      </c>
      <c r="B95" s="18" t="s">
        <v>39</v>
      </c>
      <c r="C95" s="18" t="s">
        <v>7</v>
      </c>
      <c r="D95" s="18" t="s">
        <v>300</v>
      </c>
      <c r="E95" s="18" t="s">
        <v>319</v>
      </c>
      <c r="F95" s="18" t="s">
        <v>285</v>
      </c>
      <c r="G95" s="18" t="str">
        <f>IF(Table5[[#This Row],[ShiftCounter]]&gt;0,"Running","Down")</f>
        <v>Down</v>
      </c>
      <c r="H95" s="18" t="str">
        <f t="shared" si="3"/>
        <v>4B</v>
      </c>
      <c r="I95" s="18" t="str">
        <f t="shared" si="4"/>
        <v>SHI SE350E</v>
      </c>
      <c r="J95" s="18">
        <v>0</v>
      </c>
      <c r="K95" s="15">
        <v>0</v>
      </c>
      <c r="L95" s="15">
        <v>0</v>
      </c>
      <c r="M95" s="15">
        <v>0</v>
      </c>
      <c r="N95" s="18">
        <f t="shared" si="2"/>
        <v>16.8</v>
      </c>
      <c r="O95" s="18"/>
      <c r="P95" s="18" t="s">
        <v>186</v>
      </c>
    </row>
    <row r="96" spans="1:16" ht="15" customHeight="1" x14ac:dyDescent="0.25">
      <c r="A96" s="16">
        <f t="shared" si="1"/>
        <v>45415</v>
      </c>
      <c r="B96" s="18" t="s">
        <v>113</v>
      </c>
      <c r="C96" s="18" t="s">
        <v>7</v>
      </c>
      <c r="D96" s="18" t="s">
        <v>188</v>
      </c>
      <c r="E96" s="18" t="s">
        <v>126</v>
      </c>
      <c r="F96" s="18" t="s">
        <v>199</v>
      </c>
      <c r="G96" s="18" t="str">
        <f>IF(Table5[[#This Row],[ShiftCounter]]&gt;0,"Running","Down")</f>
        <v>Down</v>
      </c>
      <c r="H96" s="18" t="str">
        <f t="shared" si="3"/>
        <v>0B</v>
      </c>
      <c r="I96" s="18" t="str">
        <f t="shared" si="4"/>
        <v>SHI SE350E</v>
      </c>
      <c r="J96" s="18">
        <v>0</v>
      </c>
      <c r="K96" s="15">
        <v>0</v>
      </c>
      <c r="L96" s="15">
        <v>0</v>
      </c>
      <c r="M96" s="15">
        <v>0</v>
      </c>
      <c r="N96" s="18">
        <f t="shared" si="2"/>
        <v>41.22</v>
      </c>
      <c r="O96" s="18"/>
      <c r="P96" s="18" t="s">
        <v>149</v>
      </c>
    </row>
    <row r="97" spans="1:16" ht="15" customHeight="1" x14ac:dyDescent="0.25">
      <c r="A97" s="16">
        <f t="shared" si="1"/>
        <v>45415</v>
      </c>
      <c r="B97" s="18" t="s">
        <v>111</v>
      </c>
      <c r="C97" s="18" t="s">
        <v>7</v>
      </c>
      <c r="D97" s="18" t="s">
        <v>189</v>
      </c>
      <c r="E97" s="18" t="s">
        <v>81</v>
      </c>
      <c r="F97" s="18" t="s">
        <v>90</v>
      </c>
      <c r="G97" s="18" t="str">
        <f>IF(Table5[[#This Row],[ShiftCounter]]&gt;0,"Running","Down")</f>
        <v>Down</v>
      </c>
      <c r="H97" s="18" t="str">
        <f t="shared" si="3"/>
        <v>0C</v>
      </c>
      <c r="I97" s="18" t="str">
        <f t="shared" si="4"/>
        <v>SHI SE350E</v>
      </c>
      <c r="J97" s="18">
        <v>0</v>
      </c>
      <c r="K97" s="15">
        <v>0</v>
      </c>
      <c r="L97" s="15">
        <v>0</v>
      </c>
      <c r="M97" s="15">
        <v>0</v>
      </c>
      <c r="N97" s="18">
        <f t="shared" si="2"/>
        <v>17.59</v>
      </c>
      <c r="O97" s="18"/>
      <c r="P97" s="18" t="s">
        <v>153</v>
      </c>
    </row>
    <row r="98" spans="1:16" ht="15" customHeight="1" x14ac:dyDescent="0.25">
      <c r="A98" s="16">
        <f t="shared" si="1"/>
        <v>45415</v>
      </c>
      <c r="B98" s="18" t="s">
        <v>109</v>
      </c>
      <c r="C98" s="18" t="s">
        <v>7</v>
      </c>
      <c r="D98" s="18" t="s">
        <v>142</v>
      </c>
      <c r="E98" s="18" t="s">
        <v>126</v>
      </c>
      <c r="F98" s="18" t="s">
        <v>199</v>
      </c>
      <c r="G98" s="18" t="str">
        <f>IF(Table5[[#This Row],[ShiftCounter]]&gt;0,"Running","Down")</f>
        <v>Down</v>
      </c>
      <c r="H98" s="18" t="str">
        <f t="shared" si="3"/>
        <v>0D</v>
      </c>
      <c r="I98" s="18" t="str">
        <f t="shared" si="4"/>
        <v>SHI SE350E</v>
      </c>
      <c r="J98" s="18">
        <v>0</v>
      </c>
      <c r="K98" s="15">
        <v>0</v>
      </c>
      <c r="L98" s="15">
        <v>0</v>
      </c>
      <c r="M98" s="15">
        <v>0</v>
      </c>
      <c r="N98" s="18">
        <f t="shared" si="2"/>
        <v>41.73</v>
      </c>
      <c r="O98" s="18"/>
      <c r="P98" s="18" t="s">
        <v>149</v>
      </c>
    </row>
    <row r="99" spans="1:16" ht="15" customHeight="1" x14ac:dyDescent="0.25">
      <c r="A99" s="16">
        <f t="shared" si="1"/>
        <v>45415</v>
      </c>
      <c r="B99" s="18" t="s">
        <v>107</v>
      </c>
      <c r="C99" s="18" t="s">
        <v>7</v>
      </c>
      <c r="D99" s="18" t="s">
        <v>280</v>
      </c>
      <c r="E99" s="18" t="s">
        <v>56</v>
      </c>
      <c r="F99" s="18" t="s">
        <v>93</v>
      </c>
      <c r="G99" s="18" t="str">
        <f>IF(Table5[[#This Row],[ShiftCounter]]&gt;0,"Running","Down")</f>
        <v>Down</v>
      </c>
      <c r="H99" s="18" t="str">
        <f t="shared" si="3"/>
        <v>0E</v>
      </c>
      <c r="I99" s="18" t="str">
        <f t="shared" si="4"/>
        <v>SHI SE350E</v>
      </c>
      <c r="J99" s="18">
        <v>0</v>
      </c>
      <c r="K99" s="15">
        <v>0</v>
      </c>
      <c r="L99" s="15">
        <v>0</v>
      </c>
      <c r="M99" s="15">
        <v>0</v>
      </c>
      <c r="N99" s="18">
        <f t="shared" si="2"/>
        <v>11.48</v>
      </c>
      <c r="O99" s="18"/>
      <c r="P99" s="18" t="s">
        <v>281</v>
      </c>
    </row>
    <row r="100" spans="1:16" ht="15" customHeight="1" x14ac:dyDescent="0.25">
      <c r="A100" s="16">
        <f t="shared" si="1"/>
        <v>45415</v>
      </c>
      <c r="B100" s="18" t="s">
        <v>41</v>
      </c>
      <c r="C100" s="18" t="s">
        <v>7</v>
      </c>
      <c r="D100" s="18" t="s">
        <v>311</v>
      </c>
      <c r="E100" s="18" t="s">
        <v>60</v>
      </c>
      <c r="F100" s="18" t="s">
        <v>90</v>
      </c>
      <c r="G100" s="18" t="str">
        <f>IF(Table5[[#This Row],[ShiftCounter]]&gt;0,"Running","Down")</f>
        <v>Down</v>
      </c>
      <c r="H100" s="18" t="str">
        <f t="shared" si="3"/>
        <v>0F</v>
      </c>
      <c r="I100" s="18" t="str">
        <f t="shared" si="4"/>
        <v>SHI SE350E</v>
      </c>
      <c r="J100" s="18">
        <v>0</v>
      </c>
      <c r="K100" s="15">
        <v>0</v>
      </c>
      <c r="L100" s="15">
        <v>0</v>
      </c>
      <c r="M100" s="15">
        <v>0</v>
      </c>
      <c r="N100" s="18">
        <f t="shared" si="2"/>
        <v>13.5</v>
      </c>
      <c r="O100" s="18"/>
      <c r="P100" s="18" t="s">
        <v>154</v>
      </c>
    </row>
    <row r="101" spans="1:16" ht="15" customHeight="1" x14ac:dyDescent="0.25">
      <c r="A101" s="16">
        <f t="shared" si="1"/>
        <v>45415</v>
      </c>
      <c r="B101" s="18" t="s">
        <v>43</v>
      </c>
      <c r="C101" s="18" t="s">
        <v>7</v>
      </c>
      <c r="D101" s="18" t="s">
        <v>282</v>
      </c>
      <c r="E101" s="18" t="s">
        <v>81</v>
      </c>
      <c r="F101" s="18" t="s">
        <v>297</v>
      </c>
      <c r="G101" s="18" t="str">
        <f>IF(Table5[[#This Row],[ShiftCounter]]&gt;0,"Running","Down")</f>
        <v>Down</v>
      </c>
      <c r="H101" s="18" t="str">
        <f t="shared" si="3"/>
        <v>10</v>
      </c>
      <c r="I101" s="18" t="str">
        <f t="shared" si="4"/>
        <v>SHI SE350E</v>
      </c>
      <c r="J101" s="18">
        <v>0</v>
      </c>
      <c r="K101" s="15">
        <v>0</v>
      </c>
      <c r="L101" s="15">
        <v>0</v>
      </c>
      <c r="M101" s="15">
        <v>0</v>
      </c>
      <c r="N101" s="18">
        <f t="shared" si="2"/>
        <v>10.64</v>
      </c>
      <c r="O101" s="18"/>
      <c r="P101" s="18" t="s">
        <v>154</v>
      </c>
    </row>
    <row r="102" spans="1:16" ht="15" customHeight="1" x14ac:dyDescent="0.25">
      <c r="A102" s="16">
        <f t="shared" si="1"/>
        <v>45415</v>
      </c>
      <c r="B102" s="18" t="s">
        <v>5</v>
      </c>
      <c r="C102" s="18" t="s">
        <v>7</v>
      </c>
      <c r="D102" s="18" t="s">
        <v>283</v>
      </c>
      <c r="E102" s="18" t="s">
        <v>284</v>
      </c>
      <c r="F102" s="18" t="s">
        <v>285</v>
      </c>
      <c r="G102" s="18" t="str">
        <f>IF(Table5[[#This Row],[ShiftCounter]]&gt;0,"Running","Down")</f>
        <v>Down</v>
      </c>
      <c r="H102" s="18" t="str">
        <f t="shared" si="3"/>
        <v>11</v>
      </c>
      <c r="I102" s="18" t="str">
        <f t="shared" si="4"/>
        <v>SHI SE350E</v>
      </c>
      <c r="J102" s="18">
        <v>0</v>
      </c>
      <c r="K102" s="15">
        <v>0</v>
      </c>
      <c r="L102" s="15">
        <v>0</v>
      </c>
      <c r="M102" s="15">
        <v>0</v>
      </c>
      <c r="N102" s="18">
        <f t="shared" si="2"/>
        <v>21.92</v>
      </c>
      <c r="O102" s="18"/>
      <c r="P102" s="18" t="s">
        <v>153</v>
      </c>
    </row>
    <row r="103" spans="1:16" ht="15" customHeight="1" x14ac:dyDescent="0.25">
      <c r="A103" s="16">
        <f t="shared" si="1"/>
        <v>45415</v>
      </c>
      <c r="B103" s="18" t="s">
        <v>9</v>
      </c>
      <c r="C103" s="18" t="s">
        <v>7</v>
      </c>
      <c r="D103" s="18" t="s">
        <v>307</v>
      </c>
      <c r="E103" s="18" t="s">
        <v>279</v>
      </c>
      <c r="F103" s="18" t="s">
        <v>276</v>
      </c>
      <c r="G103" s="18" t="str">
        <f>IF(Table5[[#This Row],[ShiftCounter]]&gt;0,"Running","Down")</f>
        <v>Down</v>
      </c>
      <c r="H103" s="18" t="str">
        <f t="shared" si="3"/>
        <v>12</v>
      </c>
      <c r="I103" s="18" t="str">
        <f t="shared" si="4"/>
        <v>SHI SE350E</v>
      </c>
      <c r="J103" s="18">
        <v>0</v>
      </c>
      <c r="K103" s="15">
        <v>0</v>
      </c>
      <c r="L103" s="15">
        <v>0</v>
      </c>
      <c r="M103" s="15">
        <v>0</v>
      </c>
      <c r="N103" s="18">
        <f t="shared" si="2"/>
        <v>23.85</v>
      </c>
      <c r="O103" s="18"/>
      <c r="P103" s="18" t="s">
        <v>153</v>
      </c>
    </row>
    <row r="104" spans="1:16" ht="15" customHeight="1" x14ac:dyDescent="0.25">
      <c r="A104" s="16">
        <f t="shared" si="1"/>
        <v>45415</v>
      </c>
      <c r="B104" s="18" t="s">
        <v>10</v>
      </c>
      <c r="C104" s="18" t="s">
        <v>7</v>
      </c>
      <c r="D104" s="18" t="s">
        <v>263</v>
      </c>
      <c r="E104" s="18" t="s">
        <v>81</v>
      </c>
      <c r="F104" s="18" t="s">
        <v>276</v>
      </c>
      <c r="G104" s="18" t="str">
        <f>IF(Table5[[#This Row],[ShiftCounter]]&gt;0,"Running","Down")</f>
        <v>Down</v>
      </c>
      <c r="H104" s="18" t="str">
        <f t="shared" si="3"/>
        <v>13</v>
      </c>
      <c r="I104" s="18" t="str">
        <f t="shared" si="4"/>
        <v>SHI SE350E</v>
      </c>
      <c r="J104" s="18">
        <v>0</v>
      </c>
      <c r="K104" s="15">
        <v>0</v>
      </c>
      <c r="L104" s="15">
        <v>0</v>
      </c>
      <c r="M104" s="15">
        <v>0</v>
      </c>
      <c r="N104" s="18">
        <f t="shared" si="2"/>
        <v>27.98</v>
      </c>
      <c r="O104" s="18"/>
      <c r="P104" s="18" t="s">
        <v>151</v>
      </c>
    </row>
    <row r="105" spans="1:16" ht="15" customHeight="1" x14ac:dyDescent="0.25">
      <c r="A105" s="16">
        <f t="shared" si="1"/>
        <v>45415</v>
      </c>
      <c r="B105" s="18" t="s">
        <v>11</v>
      </c>
      <c r="C105" s="18" t="s">
        <v>7</v>
      </c>
      <c r="D105" s="18" t="s">
        <v>205</v>
      </c>
      <c r="E105" s="18" t="s">
        <v>60</v>
      </c>
      <c r="F105" s="18" t="s">
        <v>93</v>
      </c>
      <c r="G105" s="18" t="str">
        <f>IF(Table5[[#This Row],[ShiftCounter]]&gt;0,"Running","Down")</f>
        <v>Down</v>
      </c>
      <c r="H105" s="18" t="str">
        <f t="shared" si="3"/>
        <v>14</v>
      </c>
      <c r="I105" s="18" t="str">
        <f t="shared" si="4"/>
        <v>SHI SE350E</v>
      </c>
      <c r="J105" s="18">
        <v>0</v>
      </c>
      <c r="K105" s="15">
        <v>0</v>
      </c>
      <c r="L105" s="15">
        <v>0</v>
      </c>
      <c r="M105" s="15">
        <v>0</v>
      </c>
      <c r="N105" s="18">
        <f t="shared" si="2"/>
        <v>12.79</v>
      </c>
      <c r="O105" s="18"/>
      <c r="P105" s="18" t="s">
        <v>147</v>
      </c>
    </row>
    <row r="106" spans="1:16" ht="15" customHeight="1" x14ac:dyDescent="0.25">
      <c r="A106" s="16">
        <f t="shared" si="1"/>
        <v>45415</v>
      </c>
      <c r="B106" s="18" t="s">
        <v>12</v>
      </c>
      <c r="C106" s="18" t="s">
        <v>7</v>
      </c>
      <c r="D106" s="18" t="s">
        <v>286</v>
      </c>
      <c r="E106" s="18" t="s">
        <v>284</v>
      </c>
      <c r="F106" s="18" t="s">
        <v>285</v>
      </c>
      <c r="G106" s="18" t="str">
        <f>IF(Table5[[#This Row],[ShiftCounter]]&gt;0,"Running","Down")</f>
        <v>Down</v>
      </c>
      <c r="H106" s="18" t="str">
        <f t="shared" si="3"/>
        <v>15</v>
      </c>
      <c r="I106" s="18" t="str">
        <f t="shared" si="4"/>
        <v>SHI SE350E</v>
      </c>
      <c r="J106" s="18">
        <v>0</v>
      </c>
      <c r="K106" s="15">
        <v>0</v>
      </c>
      <c r="L106" s="15">
        <v>0</v>
      </c>
      <c r="M106" s="15">
        <v>0</v>
      </c>
      <c r="N106" s="18">
        <f t="shared" si="2"/>
        <v>30.26</v>
      </c>
      <c r="O106" s="18"/>
      <c r="P106" s="18" t="s">
        <v>154</v>
      </c>
    </row>
    <row r="107" spans="1:16" ht="15" customHeight="1" x14ac:dyDescent="0.25">
      <c r="A107" s="16">
        <f t="shared" si="1"/>
        <v>45415</v>
      </c>
      <c r="B107" s="18" t="s">
        <v>105</v>
      </c>
      <c r="C107" s="18" t="s">
        <v>7</v>
      </c>
      <c r="D107" s="18" t="s">
        <v>115</v>
      </c>
      <c r="E107" s="18" t="s">
        <v>60</v>
      </c>
      <c r="F107" s="18" t="s">
        <v>93</v>
      </c>
      <c r="G107" s="18" t="str">
        <f>IF(Table5[[#This Row],[ShiftCounter]]&gt;0,"Running","Down")</f>
        <v>Down</v>
      </c>
      <c r="H107" s="18" t="str">
        <f t="shared" si="3"/>
        <v>16</v>
      </c>
      <c r="I107" s="18" t="str">
        <f t="shared" si="4"/>
        <v>SHI SE350E</v>
      </c>
      <c r="J107" s="18">
        <v>0</v>
      </c>
      <c r="K107" s="15">
        <v>0</v>
      </c>
      <c r="L107" s="15">
        <v>0</v>
      </c>
      <c r="M107" s="15">
        <v>0</v>
      </c>
      <c r="N107" s="18">
        <f t="shared" si="2"/>
        <v>12.39</v>
      </c>
      <c r="O107" s="18"/>
      <c r="P107" s="18" t="s">
        <v>147</v>
      </c>
    </row>
    <row r="108" spans="1:16" ht="15" customHeight="1" x14ac:dyDescent="0.25">
      <c r="A108" s="16">
        <f t="shared" si="1"/>
        <v>45415</v>
      </c>
      <c r="B108" s="18" t="s">
        <v>104</v>
      </c>
      <c r="C108" s="18" t="s">
        <v>7</v>
      </c>
      <c r="D108" s="18" t="s">
        <v>143</v>
      </c>
      <c r="E108" s="18" t="s">
        <v>81</v>
      </c>
      <c r="F108" s="18" t="s">
        <v>285</v>
      </c>
      <c r="G108" s="18" t="str">
        <f>IF(Table5[[#This Row],[ShiftCounter]]&gt;0,"Running","Down")</f>
        <v>Down</v>
      </c>
      <c r="H108" s="18" t="str">
        <f t="shared" si="3"/>
        <v>17</v>
      </c>
      <c r="I108" s="18" t="str">
        <f t="shared" si="4"/>
        <v>SHI SE350E</v>
      </c>
      <c r="J108" s="18">
        <v>0</v>
      </c>
      <c r="K108" s="15">
        <v>0</v>
      </c>
      <c r="L108" s="15">
        <v>0</v>
      </c>
      <c r="M108" s="15">
        <v>0</v>
      </c>
      <c r="N108" s="18">
        <f t="shared" si="2"/>
        <v>13.73</v>
      </c>
      <c r="O108" s="18"/>
      <c r="P108" s="18" t="s">
        <v>154</v>
      </c>
    </row>
    <row r="109" spans="1:16" ht="15" customHeight="1" x14ac:dyDescent="0.25">
      <c r="A109" s="16">
        <f t="shared" si="1"/>
        <v>45415</v>
      </c>
      <c r="B109" s="18" t="s">
        <v>13</v>
      </c>
      <c r="C109" s="18" t="s">
        <v>7</v>
      </c>
      <c r="D109" s="18" t="s">
        <v>267</v>
      </c>
      <c r="E109" s="18" t="s">
        <v>60</v>
      </c>
      <c r="F109" s="18" t="s">
        <v>93</v>
      </c>
      <c r="G109" s="18" t="str">
        <f>IF(Table5[[#This Row],[ShiftCounter]]&gt;0,"Running","Down")</f>
        <v>Down</v>
      </c>
      <c r="H109" s="18" t="str">
        <f t="shared" si="3"/>
        <v>18</v>
      </c>
      <c r="I109" s="18" t="str">
        <f t="shared" si="4"/>
        <v>SHI SE350E</v>
      </c>
      <c r="J109" s="18">
        <v>0</v>
      </c>
      <c r="K109" s="15">
        <v>0</v>
      </c>
      <c r="L109" s="15">
        <v>0</v>
      </c>
      <c r="M109" s="15">
        <v>0</v>
      </c>
      <c r="N109" s="18">
        <f t="shared" si="2"/>
        <v>12.4</v>
      </c>
      <c r="O109" s="18"/>
      <c r="P109" s="18" t="s">
        <v>147</v>
      </c>
    </row>
    <row r="110" spans="1:16" ht="15" customHeight="1" x14ac:dyDescent="0.25">
      <c r="A110" s="16">
        <f t="shared" si="1"/>
        <v>45415</v>
      </c>
      <c r="B110" s="18" t="s">
        <v>103</v>
      </c>
      <c r="C110" s="18" t="s">
        <v>7</v>
      </c>
      <c r="D110" s="18" t="s">
        <v>179</v>
      </c>
      <c r="E110" s="18" t="s">
        <v>321</v>
      </c>
      <c r="F110" s="18" t="s">
        <v>90</v>
      </c>
      <c r="G110" s="18" t="str">
        <f>IF(Table5[[#This Row],[ShiftCounter]]&gt;0,"Running","Down")</f>
        <v>Down</v>
      </c>
      <c r="H110" s="18" t="str">
        <f t="shared" si="3"/>
        <v>19</v>
      </c>
      <c r="I110" s="18" t="str">
        <f t="shared" si="4"/>
        <v>SHI SE450E</v>
      </c>
      <c r="J110" s="18">
        <v>0</v>
      </c>
      <c r="K110" s="15">
        <v>0</v>
      </c>
      <c r="L110" s="15">
        <v>0</v>
      </c>
      <c r="M110" s="15">
        <v>0</v>
      </c>
      <c r="N110" s="18">
        <f t="shared" si="2"/>
        <v>41.9</v>
      </c>
      <c r="O110" s="18"/>
      <c r="P110" s="18" t="s">
        <v>187</v>
      </c>
    </row>
    <row r="111" spans="1:16" ht="15" customHeight="1" x14ac:dyDescent="0.25">
      <c r="A111" s="16">
        <f t="shared" si="1"/>
        <v>45415</v>
      </c>
      <c r="B111" s="18" t="s">
        <v>101</v>
      </c>
      <c r="C111" s="18" t="s">
        <v>7</v>
      </c>
      <c r="D111" s="18" t="s">
        <v>249</v>
      </c>
      <c r="E111" s="18" t="s">
        <v>81</v>
      </c>
      <c r="F111" s="18" t="s">
        <v>90</v>
      </c>
      <c r="G111" s="18" t="str">
        <f>IF(Table5[[#This Row],[ShiftCounter]]&gt;0,"Running","Down")</f>
        <v>Down</v>
      </c>
      <c r="H111" s="18" t="str">
        <f t="shared" si="3"/>
        <v>1A</v>
      </c>
      <c r="I111" s="18" t="str">
        <f t="shared" si="4"/>
        <v>SHI SE350E</v>
      </c>
      <c r="J111" s="18">
        <v>0</v>
      </c>
      <c r="K111" s="15">
        <v>0</v>
      </c>
      <c r="L111" s="15">
        <v>0</v>
      </c>
      <c r="M111" s="15">
        <v>0</v>
      </c>
      <c r="N111" s="18">
        <f t="shared" si="2"/>
        <v>12.3</v>
      </c>
      <c r="O111" s="18"/>
      <c r="P111" s="18" t="s">
        <v>152</v>
      </c>
    </row>
    <row r="112" spans="1:16" ht="15" customHeight="1" x14ac:dyDescent="0.25">
      <c r="A112" s="16">
        <f t="shared" si="1"/>
        <v>45415</v>
      </c>
      <c r="B112" s="18" t="s">
        <v>99</v>
      </c>
      <c r="C112" s="18" t="s">
        <v>7</v>
      </c>
      <c r="D112" s="18" t="s">
        <v>287</v>
      </c>
      <c r="E112" s="18" t="s">
        <v>284</v>
      </c>
      <c r="F112" s="18" t="s">
        <v>285</v>
      </c>
      <c r="G112" s="18" t="str">
        <f>IF(Table5[[#This Row],[ShiftCounter]]&gt;0,"Running","Down")</f>
        <v>Down</v>
      </c>
      <c r="H112" s="18" t="str">
        <f t="shared" si="3"/>
        <v>1B</v>
      </c>
      <c r="I112" s="18" t="str">
        <f t="shared" si="4"/>
        <v/>
      </c>
      <c r="J112" s="18">
        <v>0</v>
      </c>
      <c r="K112" s="15">
        <v>0</v>
      </c>
      <c r="L112" s="15">
        <v>0</v>
      </c>
      <c r="M112" s="15">
        <v>0</v>
      </c>
      <c r="N112" s="18">
        <f t="shared" si="2"/>
        <v>41.52</v>
      </c>
      <c r="O112" s="18"/>
      <c r="P112" s="18" t="s">
        <v>150</v>
      </c>
    </row>
    <row r="113" spans="1:16" ht="15" customHeight="1" x14ac:dyDescent="0.25">
      <c r="A113" s="16">
        <f t="shared" si="1"/>
        <v>45415</v>
      </c>
      <c r="B113" s="18" t="s">
        <v>97</v>
      </c>
      <c r="C113" s="18" t="s">
        <v>7</v>
      </c>
      <c r="D113" s="18" t="s">
        <v>288</v>
      </c>
      <c r="E113" s="18" t="s">
        <v>284</v>
      </c>
      <c r="F113" s="18" t="s">
        <v>285</v>
      </c>
      <c r="G113" s="18" t="str">
        <f>IF(Table5[[#This Row],[ShiftCounter]]&gt;0,"Running","Down")</f>
        <v>Down</v>
      </c>
      <c r="H113" s="18" t="str">
        <f t="shared" si="3"/>
        <v>1C</v>
      </c>
      <c r="I113" s="18" t="str">
        <f t="shared" si="4"/>
        <v>SHI SE350E</v>
      </c>
      <c r="J113" s="18">
        <v>0</v>
      </c>
      <c r="K113" s="15">
        <v>0</v>
      </c>
      <c r="L113" s="15">
        <v>0</v>
      </c>
      <c r="M113" s="15">
        <v>0</v>
      </c>
      <c r="N113" s="18">
        <f t="shared" ref="N113:N144" si="5">N34</f>
        <v>18.39</v>
      </c>
      <c r="O113" s="18"/>
      <c r="P113" s="18" t="s">
        <v>148</v>
      </c>
    </row>
    <row r="114" spans="1:16" ht="15" customHeight="1" x14ac:dyDescent="0.25">
      <c r="A114" s="16">
        <f t="shared" si="1"/>
        <v>45415</v>
      </c>
      <c r="B114" s="18" t="s">
        <v>95</v>
      </c>
      <c r="C114" s="18" t="s">
        <v>7</v>
      </c>
      <c r="D114" s="18" t="s">
        <v>181</v>
      </c>
      <c r="E114" s="18" t="s">
        <v>60</v>
      </c>
      <c r="F114" s="18" t="s">
        <v>90</v>
      </c>
      <c r="G114" s="18" t="str">
        <f>IF(Table5[[#This Row],[ShiftCounter]]&gt;0,"Running","Down")</f>
        <v>Down</v>
      </c>
      <c r="H114" s="18" t="str">
        <f t="shared" si="3"/>
        <v>1D</v>
      </c>
      <c r="I114" s="18" t="str">
        <f t="shared" ref="I114:I145" si="6">IF(ISBLANK(I35),"",I35)</f>
        <v>SHI SE450E</v>
      </c>
      <c r="J114" s="18">
        <v>0</v>
      </c>
      <c r="K114" s="15">
        <v>0</v>
      </c>
      <c r="L114" s="15">
        <v>0</v>
      </c>
      <c r="M114" s="15">
        <v>0</v>
      </c>
      <c r="N114" s="18">
        <f t="shared" si="5"/>
        <v>21.63</v>
      </c>
      <c r="O114" s="18"/>
      <c r="P114" s="18" t="s">
        <v>152</v>
      </c>
    </row>
    <row r="115" spans="1:16" ht="15" customHeight="1" x14ac:dyDescent="0.25">
      <c r="A115" s="16">
        <f t="shared" si="1"/>
        <v>45415</v>
      </c>
      <c r="B115" s="18" t="s">
        <v>14</v>
      </c>
      <c r="C115" s="18" t="s">
        <v>7</v>
      </c>
      <c r="D115" s="18" t="s">
        <v>289</v>
      </c>
      <c r="E115" s="18" t="s">
        <v>284</v>
      </c>
      <c r="F115" s="18" t="s">
        <v>285</v>
      </c>
      <c r="G115" s="18" t="str">
        <f>IF(Table5[[#This Row],[ShiftCounter]]&gt;0,"Running","Down")</f>
        <v>Down</v>
      </c>
      <c r="H115" s="18" t="str">
        <f t="shared" si="3"/>
        <v>1E</v>
      </c>
      <c r="I115" s="18" t="str">
        <f t="shared" si="6"/>
        <v>SHI SE350E</v>
      </c>
      <c r="J115" s="18">
        <v>0</v>
      </c>
      <c r="K115" s="15">
        <v>0</v>
      </c>
      <c r="L115" s="15">
        <v>0</v>
      </c>
      <c r="M115" s="15">
        <v>0</v>
      </c>
      <c r="N115" s="18">
        <f t="shared" si="5"/>
        <v>22.39</v>
      </c>
      <c r="O115" s="18"/>
      <c r="P115" s="18" t="s">
        <v>151</v>
      </c>
    </row>
    <row r="116" spans="1:16" ht="15" customHeight="1" x14ac:dyDescent="0.25">
      <c r="A116" s="16">
        <f t="shared" si="1"/>
        <v>45415</v>
      </c>
      <c r="B116" s="18" t="s">
        <v>91</v>
      </c>
      <c r="C116" s="18" t="s">
        <v>7</v>
      </c>
      <c r="D116" s="18" t="s">
        <v>180</v>
      </c>
      <c r="E116" s="18" t="s">
        <v>321</v>
      </c>
      <c r="F116" s="18" t="s">
        <v>90</v>
      </c>
      <c r="G116" s="18" t="str">
        <f>IF(Table5[[#This Row],[ShiftCounter]]&gt;0,"Running","Down")</f>
        <v>Down</v>
      </c>
      <c r="H116" s="18" t="str">
        <f t="shared" si="3"/>
        <v>1F</v>
      </c>
      <c r="I116" s="18" t="str">
        <f t="shared" si="6"/>
        <v/>
      </c>
      <c r="J116" s="18">
        <v>0</v>
      </c>
      <c r="K116" s="15">
        <v>0</v>
      </c>
      <c r="L116" s="15">
        <v>0</v>
      </c>
      <c r="M116" s="15">
        <v>0</v>
      </c>
      <c r="N116" s="18">
        <f t="shared" si="5"/>
        <v>0</v>
      </c>
      <c r="O116" s="18"/>
      <c r="P116" s="18" t="s">
        <v>148</v>
      </c>
    </row>
    <row r="117" spans="1:16" ht="15" customHeight="1" x14ac:dyDescent="0.25">
      <c r="A117" s="16">
        <f t="shared" si="1"/>
        <v>45415</v>
      </c>
      <c r="B117" s="18" t="s">
        <v>15</v>
      </c>
      <c r="C117" s="18" t="s">
        <v>7</v>
      </c>
      <c r="D117" s="18" t="s">
        <v>140</v>
      </c>
      <c r="E117" s="18" t="s">
        <v>81</v>
      </c>
      <c r="F117" s="18" t="s">
        <v>285</v>
      </c>
      <c r="G117" s="18" t="str">
        <f>IF(Table5[[#This Row],[ShiftCounter]]&gt;0,"Running","Down")</f>
        <v>Down</v>
      </c>
      <c r="H117" s="18" t="str">
        <f t="shared" si="3"/>
        <v>20</v>
      </c>
      <c r="I117" s="18" t="str">
        <f t="shared" si="6"/>
        <v>SHI SE350E</v>
      </c>
      <c r="J117" s="18">
        <v>0</v>
      </c>
      <c r="K117" s="15">
        <v>0</v>
      </c>
      <c r="L117" s="15">
        <v>0</v>
      </c>
      <c r="M117" s="15">
        <v>0</v>
      </c>
      <c r="N117" s="18">
        <f t="shared" si="5"/>
        <v>18.489999999999998</v>
      </c>
      <c r="O117" s="18"/>
      <c r="P117" s="18" t="s">
        <v>148</v>
      </c>
    </row>
    <row r="118" spans="1:16" ht="15" customHeight="1" x14ac:dyDescent="0.25">
      <c r="A118" s="16">
        <f t="shared" si="1"/>
        <v>45415</v>
      </c>
      <c r="B118" s="18" t="s">
        <v>89</v>
      </c>
      <c r="C118" s="18" t="s">
        <v>7</v>
      </c>
      <c r="D118" s="18" t="s">
        <v>176</v>
      </c>
      <c r="E118" s="18" t="s">
        <v>321</v>
      </c>
      <c r="F118" s="18" t="s">
        <v>90</v>
      </c>
      <c r="G118" s="18" t="str">
        <f>IF(Table5[[#This Row],[ShiftCounter]]&gt;0,"Running","Down")</f>
        <v>Down</v>
      </c>
      <c r="H118" s="18" t="str">
        <f t="shared" si="3"/>
        <v>21</v>
      </c>
      <c r="I118" s="18" t="str">
        <f t="shared" si="6"/>
        <v>SHI SE450E</v>
      </c>
      <c r="J118" s="18">
        <v>0</v>
      </c>
      <c r="K118" s="15">
        <v>0</v>
      </c>
      <c r="L118" s="15">
        <v>0</v>
      </c>
      <c r="M118" s="15">
        <v>0</v>
      </c>
      <c r="N118" s="18">
        <f t="shared" si="5"/>
        <v>18.8</v>
      </c>
      <c r="O118" s="18"/>
      <c r="P118" s="18" t="s">
        <v>186</v>
      </c>
    </row>
    <row r="119" spans="1:16" ht="15" customHeight="1" x14ac:dyDescent="0.25">
      <c r="A119" s="16">
        <f t="shared" si="1"/>
        <v>45415</v>
      </c>
      <c r="B119" s="18" t="s">
        <v>16</v>
      </c>
      <c r="C119" s="18" t="s">
        <v>7</v>
      </c>
      <c r="D119" s="18" t="s">
        <v>194</v>
      </c>
      <c r="E119" s="18" t="s">
        <v>81</v>
      </c>
      <c r="F119" s="18" t="s">
        <v>285</v>
      </c>
      <c r="G119" s="18" t="str">
        <f>IF(Table5[[#This Row],[ShiftCounter]]&gt;0,"Running","Down")</f>
        <v>Down</v>
      </c>
      <c r="H119" s="18" t="str">
        <f t="shared" si="3"/>
        <v>22</v>
      </c>
      <c r="I119" s="18" t="str">
        <f t="shared" si="6"/>
        <v>SHI SE350E</v>
      </c>
      <c r="J119" s="18">
        <v>0</v>
      </c>
      <c r="K119" s="15">
        <v>0</v>
      </c>
      <c r="L119" s="15">
        <v>0</v>
      </c>
      <c r="M119" s="15">
        <v>0</v>
      </c>
      <c r="N119" s="18">
        <f t="shared" si="5"/>
        <v>24</v>
      </c>
      <c r="O119" s="18"/>
      <c r="P119" s="18" t="s">
        <v>151</v>
      </c>
    </row>
    <row r="120" spans="1:16" ht="15" customHeight="1" x14ac:dyDescent="0.25">
      <c r="A120" s="16">
        <f t="shared" si="1"/>
        <v>45415</v>
      </c>
      <c r="B120" s="18" t="s">
        <v>88</v>
      </c>
      <c r="C120" s="18" t="s">
        <v>7</v>
      </c>
      <c r="D120" s="18" t="s">
        <v>302</v>
      </c>
      <c r="E120" s="18" t="s">
        <v>306</v>
      </c>
      <c r="F120" s="18" t="s">
        <v>285</v>
      </c>
      <c r="G120" s="18" t="str">
        <f>IF(Table5[[#This Row],[ShiftCounter]]&gt;0,"Running","Down")</f>
        <v>Down</v>
      </c>
      <c r="H120" s="18" t="str">
        <f t="shared" si="3"/>
        <v>23</v>
      </c>
      <c r="I120" s="18" t="str">
        <f t="shared" si="6"/>
        <v/>
      </c>
      <c r="J120" s="18">
        <v>0</v>
      </c>
      <c r="K120" s="15">
        <v>0</v>
      </c>
      <c r="L120" s="15">
        <v>0</v>
      </c>
      <c r="M120" s="15">
        <v>0</v>
      </c>
      <c r="N120" s="18">
        <f t="shared" si="5"/>
        <v>41.63</v>
      </c>
      <c r="O120" s="18"/>
      <c r="P120" s="18" t="s">
        <v>148</v>
      </c>
    </row>
    <row r="121" spans="1:16" ht="15" customHeight="1" x14ac:dyDescent="0.25">
      <c r="A121" s="16">
        <f t="shared" si="1"/>
        <v>45415</v>
      </c>
      <c r="B121" s="18" t="s">
        <v>17</v>
      </c>
      <c r="C121" s="18" t="s">
        <v>7</v>
      </c>
      <c r="D121" s="18" t="s">
        <v>195</v>
      </c>
      <c r="E121" s="18" t="s">
        <v>198</v>
      </c>
      <c r="F121" s="18" t="s">
        <v>266</v>
      </c>
      <c r="G121" s="18" t="str">
        <f>IF(Table5[[#This Row],[ShiftCounter]]&gt;0,"Running","Down")</f>
        <v>Down</v>
      </c>
      <c r="H121" s="18" t="str">
        <f t="shared" si="3"/>
        <v>24</v>
      </c>
      <c r="I121" s="18" t="str">
        <f t="shared" si="6"/>
        <v>SHI SE350E</v>
      </c>
      <c r="J121" s="18">
        <v>0</v>
      </c>
      <c r="K121" s="15">
        <v>0</v>
      </c>
      <c r="L121" s="15">
        <v>0</v>
      </c>
      <c r="M121" s="15">
        <v>0</v>
      </c>
      <c r="N121" s="18">
        <f t="shared" si="5"/>
        <v>22.08</v>
      </c>
      <c r="O121" s="18"/>
      <c r="P121" s="18" t="s">
        <v>151</v>
      </c>
    </row>
    <row r="122" spans="1:16" ht="15" customHeight="1" x14ac:dyDescent="0.25">
      <c r="A122" s="16">
        <f t="shared" si="1"/>
        <v>45415</v>
      </c>
      <c r="B122" s="18" t="s">
        <v>19</v>
      </c>
      <c r="C122" s="18" t="s">
        <v>7</v>
      </c>
      <c r="D122" s="18" t="s">
        <v>196</v>
      </c>
      <c r="E122" s="18" t="s">
        <v>312</v>
      </c>
      <c r="F122" s="18" t="s">
        <v>266</v>
      </c>
      <c r="G122" s="18" t="str">
        <f>IF(Table5[[#This Row],[ShiftCounter]]&gt;0,"Running","Down")</f>
        <v>Down</v>
      </c>
      <c r="H122" s="18" t="str">
        <f t="shared" si="3"/>
        <v>25</v>
      </c>
      <c r="I122" s="18" t="str">
        <f t="shared" si="6"/>
        <v>SHI SE450E</v>
      </c>
      <c r="J122" s="18">
        <v>0</v>
      </c>
      <c r="K122" s="15">
        <v>0</v>
      </c>
      <c r="L122" s="15">
        <v>0</v>
      </c>
      <c r="M122" s="15">
        <v>0</v>
      </c>
      <c r="N122" s="18">
        <f t="shared" si="5"/>
        <v>41.85</v>
      </c>
      <c r="O122" s="18"/>
      <c r="P122" s="18"/>
    </row>
    <row r="123" spans="1:16" ht="15" customHeight="1" x14ac:dyDescent="0.25">
      <c r="A123" s="16">
        <f t="shared" si="1"/>
        <v>45415</v>
      </c>
      <c r="B123" s="18" t="s">
        <v>18</v>
      </c>
      <c r="C123" s="18" t="s">
        <v>7</v>
      </c>
      <c r="D123" s="18" t="s">
        <v>193</v>
      </c>
      <c r="E123" s="18" t="s">
        <v>198</v>
      </c>
      <c r="F123" s="18" t="s">
        <v>266</v>
      </c>
      <c r="G123" s="18" t="str">
        <f>IF(Table5[[#This Row],[ShiftCounter]]&gt;0,"Running","Down")</f>
        <v>Down</v>
      </c>
      <c r="H123" s="18" t="str">
        <f t="shared" si="3"/>
        <v>26</v>
      </c>
      <c r="I123" s="18" t="str">
        <f t="shared" si="6"/>
        <v>SHI SE350E</v>
      </c>
      <c r="J123" s="18">
        <v>0</v>
      </c>
      <c r="K123" s="15">
        <v>0</v>
      </c>
      <c r="L123" s="15">
        <v>0</v>
      </c>
      <c r="M123" s="15">
        <v>0</v>
      </c>
      <c r="N123" s="18">
        <f t="shared" si="5"/>
        <v>18.29</v>
      </c>
      <c r="O123" s="18"/>
      <c r="P123" s="18" t="s">
        <v>148</v>
      </c>
    </row>
    <row r="124" spans="1:16" ht="15" customHeight="1" x14ac:dyDescent="0.25">
      <c r="A124" s="16">
        <f t="shared" si="1"/>
        <v>45415</v>
      </c>
      <c r="B124" s="18" t="s">
        <v>87</v>
      </c>
      <c r="C124" s="18" t="s">
        <v>7</v>
      </c>
      <c r="D124" s="18"/>
      <c r="E124" s="18"/>
      <c r="F124" s="18"/>
      <c r="G124" s="18" t="str">
        <f>IF(Table5[[#This Row],[ShiftCounter]]&gt;0,"Running","Down")</f>
        <v>Down</v>
      </c>
      <c r="H124" s="18" t="str">
        <f t="shared" si="3"/>
        <v>27</v>
      </c>
      <c r="I124" s="18" t="str">
        <f t="shared" si="6"/>
        <v/>
      </c>
      <c r="J124" s="18">
        <v>0</v>
      </c>
      <c r="K124" s="15">
        <v>0</v>
      </c>
      <c r="L124" s="15">
        <v>0</v>
      </c>
      <c r="M124" s="15">
        <v>0</v>
      </c>
      <c r="N124" s="18">
        <f t="shared" si="5"/>
        <v>41146219</v>
      </c>
      <c r="O124" s="18"/>
      <c r="P124" s="18"/>
    </row>
    <row r="125" spans="1:16" ht="15" customHeight="1" x14ac:dyDescent="0.25">
      <c r="A125" s="16">
        <f t="shared" si="1"/>
        <v>45415</v>
      </c>
      <c r="B125" s="18" t="s">
        <v>42</v>
      </c>
      <c r="C125" s="18" t="s">
        <v>7</v>
      </c>
      <c r="D125" s="18" t="s">
        <v>246</v>
      </c>
      <c r="E125" s="18" t="s">
        <v>313</v>
      </c>
      <c r="F125" s="18" t="s">
        <v>297</v>
      </c>
      <c r="G125" s="18" t="str">
        <f>IF(Table5[[#This Row],[ShiftCounter]]&gt;0,"Running","Down")</f>
        <v>Down</v>
      </c>
      <c r="H125" s="18" t="str">
        <f t="shared" si="3"/>
        <v>28</v>
      </c>
      <c r="I125" s="18" t="str">
        <f t="shared" si="6"/>
        <v>SHI SE350E</v>
      </c>
      <c r="J125" s="18">
        <v>0</v>
      </c>
      <c r="K125" s="15">
        <v>0</v>
      </c>
      <c r="L125" s="15">
        <v>0</v>
      </c>
      <c r="M125" s="15">
        <v>0</v>
      </c>
      <c r="N125" s="18">
        <f t="shared" si="5"/>
        <v>17.71</v>
      </c>
      <c r="O125" s="18"/>
      <c r="P125" s="18" t="s">
        <v>148</v>
      </c>
    </row>
    <row r="126" spans="1:16" ht="15" customHeight="1" x14ac:dyDescent="0.25">
      <c r="A126" s="16">
        <f t="shared" si="1"/>
        <v>45415</v>
      </c>
      <c r="B126" s="18" t="s">
        <v>86</v>
      </c>
      <c r="C126" s="18" t="s">
        <v>7</v>
      </c>
      <c r="D126" s="18" t="s">
        <v>271</v>
      </c>
      <c r="E126" s="18" t="s">
        <v>275</v>
      </c>
      <c r="F126" s="18" t="s">
        <v>276</v>
      </c>
      <c r="G126" s="18" t="str">
        <f>IF(Table5[[#This Row],[ShiftCounter]]&gt;0,"Running","Down")</f>
        <v>Down</v>
      </c>
      <c r="H126" s="18" t="str">
        <f t="shared" si="3"/>
        <v>29</v>
      </c>
      <c r="I126" s="18" t="str">
        <f t="shared" si="6"/>
        <v>SHI SE450E</v>
      </c>
      <c r="J126" s="18">
        <v>0</v>
      </c>
      <c r="K126" s="15">
        <v>0</v>
      </c>
      <c r="L126" s="15">
        <v>0</v>
      </c>
      <c r="M126" s="15">
        <v>0</v>
      </c>
      <c r="N126" s="18">
        <f t="shared" si="5"/>
        <v>22978211</v>
      </c>
      <c r="O126" s="18"/>
      <c r="P126" s="18" t="s">
        <v>152</v>
      </c>
    </row>
    <row r="127" spans="1:16" ht="15" customHeight="1" x14ac:dyDescent="0.25">
      <c r="A127" s="16">
        <f t="shared" si="1"/>
        <v>45415</v>
      </c>
      <c r="B127" s="18" t="s">
        <v>38</v>
      </c>
      <c r="C127" s="18" t="s">
        <v>7</v>
      </c>
      <c r="D127" s="18" t="s">
        <v>141</v>
      </c>
      <c r="E127" s="18" t="s">
        <v>81</v>
      </c>
      <c r="F127" s="18" t="s">
        <v>285</v>
      </c>
      <c r="G127" s="18" t="str">
        <f>IF(Table5[[#This Row],[ShiftCounter]]&gt;0,"Running","Down")</f>
        <v>Down</v>
      </c>
      <c r="H127" s="18" t="str">
        <f t="shared" si="3"/>
        <v>2A</v>
      </c>
      <c r="I127" s="18" t="str">
        <f t="shared" si="6"/>
        <v>SHI SE350E</v>
      </c>
      <c r="J127" s="18">
        <v>0</v>
      </c>
      <c r="K127" s="15">
        <v>0</v>
      </c>
      <c r="L127" s="15">
        <v>0</v>
      </c>
      <c r="M127" s="15">
        <v>0</v>
      </c>
      <c r="N127" s="18">
        <f t="shared" si="5"/>
        <v>12.47</v>
      </c>
      <c r="O127" s="18"/>
      <c r="P127" s="18" t="s">
        <v>151</v>
      </c>
    </row>
    <row r="128" spans="1:16" ht="15" customHeight="1" x14ac:dyDescent="0.25">
      <c r="A128" s="16">
        <f t="shared" si="1"/>
        <v>45415</v>
      </c>
      <c r="B128" s="18" t="s">
        <v>83</v>
      </c>
      <c r="C128" s="18" t="s">
        <v>7</v>
      </c>
      <c r="D128" s="18"/>
      <c r="E128" s="18"/>
      <c r="F128" s="18"/>
      <c r="G128" s="18" t="str">
        <f>IF(Table5[[#This Row],[ShiftCounter]]&gt;0,"Running","Down")</f>
        <v>Down</v>
      </c>
      <c r="H128" s="18" t="str">
        <f t="shared" si="3"/>
        <v>2B</v>
      </c>
      <c r="I128" s="18" t="str">
        <f t="shared" si="6"/>
        <v/>
      </c>
      <c r="J128" s="18">
        <v>0</v>
      </c>
      <c r="K128" s="15">
        <v>0</v>
      </c>
      <c r="L128" s="15">
        <v>0</v>
      </c>
      <c r="M128" s="15">
        <v>0</v>
      </c>
      <c r="N128" s="18">
        <f t="shared" si="5"/>
        <v>41.18</v>
      </c>
      <c r="O128" s="18"/>
      <c r="P128" s="18"/>
    </row>
    <row r="129" spans="1:16" ht="15" customHeight="1" x14ac:dyDescent="0.25">
      <c r="A129" s="16">
        <f t="shared" si="1"/>
        <v>45415</v>
      </c>
      <c r="B129" s="18" t="s">
        <v>20</v>
      </c>
      <c r="C129" s="18" t="s">
        <v>7</v>
      </c>
      <c r="D129" s="18" t="s">
        <v>272</v>
      </c>
      <c r="E129" s="18" t="s">
        <v>275</v>
      </c>
      <c r="F129" s="18" t="s">
        <v>276</v>
      </c>
      <c r="G129" s="18" t="str">
        <f>IF(Table5[[#This Row],[ShiftCounter]]&gt;0,"Running","Down")</f>
        <v>Down</v>
      </c>
      <c r="H129" s="18" t="str">
        <f t="shared" si="3"/>
        <v>2C</v>
      </c>
      <c r="I129" s="18" t="str">
        <f t="shared" si="6"/>
        <v>SHI SE350E</v>
      </c>
      <c r="J129" s="18">
        <v>0</v>
      </c>
      <c r="K129" s="15">
        <v>0</v>
      </c>
      <c r="L129" s="15">
        <v>0</v>
      </c>
      <c r="M129" s="15">
        <v>0</v>
      </c>
      <c r="N129" s="18">
        <f t="shared" si="5"/>
        <v>10.62</v>
      </c>
      <c r="O129" s="18"/>
      <c r="P129" s="18" t="s">
        <v>151</v>
      </c>
    </row>
    <row r="130" spans="1:16" ht="15" customHeight="1" x14ac:dyDescent="0.25">
      <c r="A130" s="16">
        <f t="shared" si="1"/>
        <v>45415</v>
      </c>
      <c r="B130" s="18" t="s">
        <v>21</v>
      </c>
      <c r="C130" s="18" t="s">
        <v>7</v>
      </c>
      <c r="D130" s="18" t="s">
        <v>291</v>
      </c>
      <c r="E130" s="18" t="s">
        <v>284</v>
      </c>
      <c r="F130" s="18" t="s">
        <v>285</v>
      </c>
      <c r="G130" s="18" t="str">
        <f>IF(Table5[[#This Row],[ShiftCounter]]&gt;0,"Running","Down")</f>
        <v>Down</v>
      </c>
      <c r="H130" s="18" t="str">
        <f t="shared" si="3"/>
        <v>2D</v>
      </c>
      <c r="I130" s="18" t="str">
        <f t="shared" si="6"/>
        <v>SHI SE450E</v>
      </c>
      <c r="J130" s="18">
        <v>0</v>
      </c>
      <c r="K130" s="15">
        <v>0</v>
      </c>
      <c r="L130" s="15">
        <v>0</v>
      </c>
      <c r="M130" s="15">
        <v>0</v>
      </c>
      <c r="N130" s="18">
        <f t="shared" si="5"/>
        <v>22.62</v>
      </c>
      <c r="O130" s="18"/>
      <c r="P130" s="18" t="s">
        <v>152</v>
      </c>
    </row>
    <row r="131" spans="1:16" ht="15" customHeight="1" x14ac:dyDescent="0.25">
      <c r="A131" s="16">
        <f t="shared" si="1"/>
        <v>45415</v>
      </c>
      <c r="B131" s="18" t="s">
        <v>22</v>
      </c>
      <c r="C131" s="18" t="s">
        <v>7</v>
      </c>
      <c r="D131" s="18" t="s">
        <v>268</v>
      </c>
      <c r="E131" s="18" t="s">
        <v>275</v>
      </c>
      <c r="F131" s="18" t="s">
        <v>276</v>
      </c>
      <c r="G131" s="18" t="str">
        <f>IF(Table5[[#This Row],[ShiftCounter]]&gt;0,"Running","Down")</f>
        <v>Down</v>
      </c>
      <c r="H131" s="18" t="str">
        <f t="shared" si="3"/>
        <v>2E</v>
      </c>
      <c r="I131" s="18" t="str">
        <f t="shared" si="6"/>
        <v>SHI SE350E</v>
      </c>
      <c r="J131" s="18">
        <v>0</v>
      </c>
      <c r="K131" s="15">
        <v>0</v>
      </c>
      <c r="L131" s="15">
        <v>0</v>
      </c>
      <c r="M131" s="15">
        <v>0</v>
      </c>
      <c r="N131" s="18">
        <f t="shared" si="5"/>
        <v>14.6</v>
      </c>
      <c r="O131" s="18"/>
      <c r="P131" s="18" t="s">
        <v>148</v>
      </c>
    </row>
    <row r="132" spans="1:16" ht="15" customHeight="1" x14ac:dyDescent="0.25">
      <c r="A132" s="16">
        <f t="shared" si="1"/>
        <v>45415</v>
      </c>
      <c r="B132" s="18" t="s">
        <v>77</v>
      </c>
      <c r="C132" s="18" t="s">
        <v>7</v>
      </c>
      <c r="D132" s="18"/>
      <c r="E132" s="18"/>
      <c r="F132" s="18"/>
      <c r="G132" s="18" t="str">
        <f>IF(Table5[[#This Row],[ShiftCounter]]&gt;0,"Running","Down")</f>
        <v>Down</v>
      </c>
      <c r="H132" s="18" t="str">
        <f t="shared" si="3"/>
        <v>2F</v>
      </c>
      <c r="I132" s="18" t="str">
        <f t="shared" si="6"/>
        <v/>
      </c>
      <c r="J132" s="18">
        <v>0</v>
      </c>
      <c r="K132" s="15">
        <v>0</v>
      </c>
      <c r="L132" s="15">
        <v>0</v>
      </c>
      <c r="M132" s="15">
        <v>0</v>
      </c>
      <c r="N132" s="18">
        <f t="shared" si="5"/>
        <v>13.49</v>
      </c>
      <c r="O132" s="18"/>
      <c r="P132" s="18"/>
    </row>
    <row r="133" spans="1:16" ht="15" customHeight="1" x14ac:dyDescent="0.25">
      <c r="A133" s="16">
        <f t="shared" si="1"/>
        <v>45415</v>
      </c>
      <c r="B133" s="18" t="s">
        <v>23</v>
      </c>
      <c r="C133" s="18" t="s">
        <v>7</v>
      </c>
      <c r="D133" s="18" t="s">
        <v>247</v>
      </c>
      <c r="E133" s="18" t="s">
        <v>202</v>
      </c>
      <c r="F133" s="18" t="s">
        <v>253</v>
      </c>
      <c r="G133" s="18" t="str">
        <f>IF(Table5[[#This Row],[ShiftCounter]]&gt;0,"Running","Down")</f>
        <v>Down</v>
      </c>
      <c r="H133" s="18" t="str">
        <f t="shared" si="3"/>
        <v>30</v>
      </c>
      <c r="I133" s="18" t="str">
        <f t="shared" si="6"/>
        <v>SHI SE350E</v>
      </c>
      <c r="J133" s="18">
        <v>0</v>
      </c>
      <c r="K133" s="15">
        <v>0</v>
      </c>
      <c r="L133" s="15">
        <v>0</v>
      </c>
      <c r="M133" s="15">
        <v>0</v>
      </c>
      <c r="N133" s="18">
        <f t="shared" si="5"/>
        <v>12.39</v>
      </c>
      <c r="O133" s="18"/>
      <c r="P133" s="18" t="s">
        <v>197</v>
      </c>
    </row>
    <row r="134" spans="1:16" ht="15" customHeight="1" x14ac:dyDescent="0.25">
      <c r="A134" s="16">
        <f t="shared" si="1"/>
        <v>45415</v>
      </c>
      <c r="B134" s="18" t="s">
        <v>24</v>
      </c>
      <c r="C134" s="18" t="s">
        <v>7</v>
      </c>
      <c r="D134" s="18" t="s">
        <v>308</v>
      </c>
      <c r="E134" s="18" t="s">
        <v>56</v>
      </c>
      <c r="F134" s="18" t="s">
        <v>144</v>
      </c>
      <c r="G134" s="18" t="str">
        <f>IF(Table5[[#This Row],[ShiftCounter]]&gt;0,"Running","Down")</f>
        <v>Down</v>
      </c>
      <c r="H134" s="18" t="str">
        <f t="shared" si="3"/>
        <v>31</v>
      </c>
      <c r="I134" s="18" t="str">
        <f t="shared" si="6"/>
        <v>SHI SE450E</v>
      </c>
      <c r="J134" s="18">
        <v>0</v>
      </c>
      <c r="K134" s="15">
        <v>0</v>
      </c>
      <c r="L134" s="15">
        <v>0</v>
      </c>
      <c r="M134" s="15">
        <v>0</v>
      </c>
      <c r="N134" s="18">
        <f t="shared" si="5"/>
        <v>13.29</v>
      </c>
      <c r="O134" s="18"/>
      <c r="P134" s="18" t="s">
        <v>155</v>
      </c>
    </row>
    <row r="135" spans="1:16" ht="15" customHeight="1" x14ac:dyDescent="0.25">
      <c r="A135" s="16">
        <f t="shared" ref="A135:A198" si="7">$A$2</f>
        <v>45415</v>
      </c>
      <c r="B135" s="18" t="s">
        <v>75</v>
      </c>
      <c r="C135" s="18" t="s">
        <v>7</v>
      </c>
      <c r="D135" s="18" t="s">
        <v>314</v>
      </c>
      <c r="E135" s="18" t="s">
        <v>202</v>
      </c>
      <c r="F135" s="18" t="s">
        <v>253</v>
      </c>
      <c r="G135" s="18" t="str">
        <f>IF(Table5[[#This Row],[ShiftCounter]]&gt;0,"Running","Down")</f>
        <v>Down</v>
      </c>
      <c r="H135" s="18" t="str">
        <f t="shared" si="3"/>
        <v>32</v>
      </c>
      <c r="I135" s="18" t="str">
        <f t="shared" si="6"/>
        <v>SHI SE350E</v>
      </c>
      <c r="J135" s="18">
        <v>0</v>
      </c>
      <c r="K135" s="15">
        <v>0</v>
      </c>
      <c r="L135" s="15">
        <v>0</v>
      </c>
      <c r="M135" s="15">
        <v>0</v>
      </c>
      <c r="N135" s="18">
        <f t="shared" si="5"/>
        <v>14.5</v>
      </c>
      <c r="O135" s="18"/>
      <c r="P135" s="18" t="s">
        <v>303</v>
      </c>
    </row>
    <row r="136" spans="1:16" ht="15" customHeight="1" x14ac:dyDescent="0.25">
      <c r="A136" s="16">
        <f t="shared" si="7"/>
        <v>45415</v>
      </c>
      <c r="B136" s="18" t="s">
        <v>25</v>
      </c>
      <c r="C136" s="18" t="s">
        <v>7</v>
      </c>
      <c r="D136" s="18" t="s">
        <v>182</v>
      </c>
      <c r="E136" s="18" t="s">
        <v>56</v>
      </c>
      <c r="F136" s="18" t="s">
        <v>184</v>
      </c>
      <c r="G136" s="18" t="str">
        <f>IF(Table5[[#This Row],[ShiftCounter]]&gt;0,"Running","Down")</f>
        <v>Down</v>
      </c>
      <c r="H136" s="18" t="str">
        <f t="shared" si="3"/>
        <v>33</v>
      </c>
      <c r="I136" s="18" t="str">
        <f t="shared" si="6"/>
        <v>SHI SE450E</v>
      </c>
      <c r="J136" s="18">
        <v>0</v>
      </c>
      <c r="K136" s="15">
        <v>0</v>
      </c>
      <c r="L136" s="15">
        <v>0</v>
      </c>
      <c r="M136" s="15">
        <v>0</v>
      </c>
      <c r="N136" s="18">
        <f t="shared" si="5"/>
        <v>13.5</v>
      </c>
      <c r="O136" s="18"/>
      <c r="P136" s="18" t="s">
        <v>155</v>
      </c>
    </row>
    <row r="137" spans="1:16" ht="15" customHeight="1" x14ac:dyDescent="0.25">
      <c r="A137" s="16">
        <f t="shared" si="7"/>
        <v>45415</v>
      </c>
      <c r="B137" s="18" t="s">
        <v>74</v>
      </c>
      <c r="C137" s="18" t="s">
        <v>7</v>
      </c>
      <c r="D137" s="18" t="s">
        <v>292</v>
      </c>
      <c r="E137" s="18" t="s">
        <v>60</v>
      </c>
      <c r="F137" s="18" t="s">
        <v>253</v>
      </c>
      <c r="G137" s="18" t="str">
        <f>IF(Table5[[#This Row],[ShiftCounter]]&gt;0,"Running","Down")</f>
        <v>Down</v>
      </c>
      <c r="H137" s="18" t="str">
        <f t="shared" si="3"/>
        <v>34</v>
      </c>
      <c r="I137" s="18" t="str">
        <f t="shared" si="6"/>
        <v>SHI SE350E</v>
      </c>
      <c r="J137" s="18">
        <v>0</v>
      </c>
      <c r="K137" s="15">
        <v>0</v>
      </c>
      <c r="L137" s="15">
        <v>0</v>
      </c>
      <c r="M137" s="15">
        <v>0</v>
      </c>
      <c r="N137" s="18">
        <f t="shared" si="5"/>
        <v>14.8</v>
      </c>
      <c r="O137" s="18"/>
      <c r="P137" s="18" t="s">
        <v>293</v>
      </c>
    </row>
    <row r="138" spans="1:16" ht="15" customHeight="1" x14ac:dyDescent="0.25">
      <c r="A138" s="16">
        <f t="shared" si="7"/>
        <v>45415</v>
      </c>
      <c r="B138" s="18" t="s">
        <v>26</v>
      </c>
      <c r="C138" s="18" t="s">
        <v>7</v>
      </c>
      <c r="D138" s="18" t="s">
        <v>294</v>
      </c>
      <c r="E138" s="18" t="s">
        <v>56</v>
      </c>
      <c r="F138" s="18" t="s">
        <v>184</v>
      </c>
      <c r="G138" s="18" t="str">
        <f>IF(Table5[[#This Row],[ShiftCounter]]&gt;0,"Running","Down")</f>
        <v>Down</v>
      </c>
      <c r="H138" s="18" t="str">
        <f t="shared" si="3"/>
        <v>35</v>
      </c>
      <c r="I138" s="18" t="str">
        <f t="shared" si="6"/>
        <v>SHI SE450E</v>
      </c>
      <c r="J138" s="18">
        <v>0</v>
      </c>
      <c r="K138" s="15">
        <v>0</v>
      </c>
      <c r="L138" s="15">
        <v>0</v>
      </c>
      <c r="M138" s="15">
        <v>0</v>
      </c>
      <c r="N138" s="18">
        <f t="shared" si="5"/>
        <v>14</v>
      </c>
      <c r="O138" s="18"/>
      <c r="P138" s="18" t="s">
        <v>155</v>
      </c>
    </row>
    <row r="139" spans="1:16" ht="15" customHeight="1" x14ac:dyDescent="0.25">
      <c r="A139" s="16">
        <f t="shared" si="7"/>
        <v>45415</v>
      </c>
      <c r="B139" s="18" t="s">
        <v>27</v>
      </c>
      <c r="C139" s="18" t="s">
        <v>7</v>
      </c>
      <c r="D139" s="18" t="s">
        <v>277</v>
      </c>
      <c r="E139" s="18" t="s">
        <v>202</v>
      </c>
      <c r="F139" s="18" t="s">
        <v>253</v>
      </c>
      <c r="G139" s="18" t="str">
        <f>IF(Table5[[#This Row],[ShiftCounter]]&gt;0,"Running","Down")</f>
        <v>Down</v>
      </c>
      <c r="H139" s="18" t="str">
        <f t="shared" si="3"/>
        <v>36</v>
      </c>
      <c r="I139" s="18" t="str">
        <f t="shared" si="6"/>
        <v>SHI SE350E</v>
      </c>
      <c r="J139" s="18">
        <v>0</v>
      </c>
      <c r="K139" s="15">
        <v>0</v>
      </c>
      <c r="L139" s="15">
        <v>0</v>
      </c>
      <c r="M139" s="15">
        <v>0</v>
      </c>
      <c r="N139" s="18">
        <f t="shared" si="5"/>
        <v>13.5</v>
      </c>
      <c r="O139" s="18"/>
      <c r="P139" s="18" t="s">
        <v>201</v>
      </c>
    </row>
    <row r="140" spans="1:16" ht="15" customHeight="1" x14ac:dyDescent="0.25">
      <c r="A140" s="16">
        <f t="shared" si="7"/>
        <v>45415</v>
      </c>
      <c r="B140" s="18" t="s">
        <v>28</v>
      </c>
      <c r="C140" s="18" t="s">
        <v>7</v>
      </c>
      <c r="D140" s="18" t="s">
        <v>295</v>
      </c>
      <c r="E140" s="18" t="s">
        <v>56</v>
      </c>
      <c r="F140" s="18" t="s">
        <v>184</v>
      </c>
      <c r="G140" s="18" t="str">
        <f>IF(Table5[[#This Row],[ShiftCounter]]&gt;0,"Running","Down")</f>
        <v>Down</v>
      </c>
      <c r="H140" s="18" t="str">
        <f t="shared" si="3"/>
        <v>37</v>
      </c>
      <c r="I140" s="18" t="str">
        <f t="shared" si="6"/>
        <v>SHI SE450E</v>
      </c>
      <c r="J140" s="18">
        <v>0</v>
      </c>
      <c r="K140" s="15">
        <v>0</v>
      </c>
      <c r="L140" s="15">
        <v>0</v>
      </c>
      <c r="M140" s="15">
        <v>0</v>
      </c>
      <c r="N140" s="18">
        <f t="shared" si="5"/>
        <v>13.6</v>
      </c>
      <c r="O140" s="18"/>
      <c r="P140" s="18" t="s">
        <v>156</v>
      </c>
    </row>
    <row r="141" spans="1:16" ht="15" customHeight="1" x14ac:dyDescent="0.25">
      <c r="A141" s="16">
        <f t="shared" si="7"/>
        <v>45415</v>
      </c>
      <c r="B141" s="18" t="s">
        <v>72</v>
      </c>
      <c r="C141" s="18" t="s">
        <v>7</v>
      </c>
      <c r="D141" s="18" t="s">
        <v>322</v>
      </c>
      <c r="E141" s="18" t="s">
        <v>202</v>
      </c>
      <c r="F141" s="18" t="s">
        <v>253</v>
      </c>
      <c r="G141" s="18" t="str">
        <f>IF(Table5[[#This Row],[ShiftCounter]]&gt;0,"Running","Down")</f>
        <v>Down</v>
      </c>
      <c r="H141" s="18" t="str">
        <f t="shared" si="3"/>
        <v>39</v>
      </c>
      <c r="I141" s="18" t="str">
        <f t="shared" si="6"/>
        <v>SHI SE350E</v>
      </c>
      <c r="J141" s="18">
        <v>0</v>
      </c>
      <c r="K141" s="15">
        <v>0</v>
      </c>
      <c r="L141" s="15">
        <v>0</v>
      </c>
      <c r="M141" s="15">
        <v>0</v>
      </c>
      <c r="N141" s="18">
        <f t="shared" si="5"/>
        <v>15.09</v>
      </c>
      <c r="O141" s="18"/>
      <c r="P141" s="18" t="s">
        <v>157</v>
      </c>
    </row>
    <row r="142" spans="1:16" ht="15" customHeight="1" x14ac:dyDescent="0.25">
      <c r="A142" s="16">
        <f t="shared" si="7"/>
        <v>45415</v>
      </c>
      <c r="B142" s="18" t="s">
        <v>29</v>
      </c>
      <c r="C142" s="18" t="s">
        <v>7</v>
      </c>
      <c r="D142" s="18" t="s">
        <v>183</v>
      </c>
      <c r="E142" s="18" t="s">
        <v>56</v>
      </c>
      <c r="F142" s="18" t="s">
        <v>184</v>
      </c>
      <c r="G142" s="18" t="str">
        <f>IF(Table5[[#This Row],[ShiftCounter]]&gt;0,"Running","Down")</f>
        <v>Down</v>
      </c>
      <c r="H142" s="18" t="str">
        <f t="shared" si="3"/>
        <v>39</v>
      </c>
      <c r="I142" s="18" t="str">
        <f t="shared" si="6"/>
        <v>SHI SE450E</v>
      </c>
      <c r="J142" s="18">
        <v>0</v>
      </c>
      <c r="K142" s="15">
        <v>0</v>
      </c>
      <c r="L142" s="15">
        <v>0</v>
      </c>
      <c r="M142" s="15">
        <v>0</v>
      </c>
      <c r="N142" s="18">
        <f t="shared" si="5"/>
        <v>15.09</v>
      </c>
      <c r="O142" s="18"/>
      <c r="P142" s="18" t="s">
        <v>156</v>
      </c>
    </row>
    <row r="143" spans="1:16" ht="15" customHeight="1" x14ac:dyDescent="0.25">
      <c r="A143" s="16">
        <f t="shared" si="7"/>
        <v>45415</v>
      </c>
      <c r="B143" s="18" t="s">
        <v>30</v>
      </c>
      <c r="C143" s="18" t="s">
        <v>7</v>
      </c>
      <c r="D143" s="18" t="s">
        <v>296</v>
      </c>
      <c r="E143" s="18" t="s">
        <v>73</v>
      </c>
      <c r="F143" s="18" t="s">
        <v>253</v>
      </c>
      <c r="G143" s="18" t="str">
        <f>IF(Table5[[#This Row],[ShiftCounter]]&gt;0,"Running","Down")</f>
        <v>Down</v>
      </c>
      <c r="H143" s="18" t="str">
        <f t="shared" si="3"/>
        <v>3A</v>
      </c>
      <c r="I143" s="18" t="str">
        <f t="shared" si="6"/>
        <v>SHI SE350E</v>
      </c>
      <c r="J143" s="18">
        <v>0</v>
      </c>
      <c r="K143" s="15">
        <v>0</v>
      </c>
      <c r="L143" s="15">
        <v>0</v>
      </c>
      <c r="M143" s="15">
        <v>0</v>
      </c>
      <c r="N143" s="18">
        <f t="shared" si="5"/>
        <v>18.149999999999999</v>
      </c>
      <c r="O143" s="18"/>
      <c r="P143" s="18" t="s">
        <v>197</v>
      </c>
    </row>
    <row r="144" spans="1:16" ht="15" customHeight="1" x14ac:dyDescent="0.25">
      <c r="A144" s="16">
        <f t="shared" si="7"/>
        <v>45415</v>
      </c>
      <c r="B144" s="18" t="s">
        <v>31</v>
      </c>
      <c r="C144" s="18" t="s">
        <v>7</v>
      </c>
      <c r="D144" s="18"/>
      <c r="E144" s="18" t="s">
        <v>56</v>
      </c>
      <c r="F144" s="18"/>
      <c r="G144" s="18" t="str">
        <f>IF(Table5[[#This Row],[ShiftCounter]]&gt;0,"Running","Down")</f>
        <v>Down</v>
      </c>
      <c r="H144" s="18" t="str">
        <f t="shared" si="3"/>
        <v>3B</v>
      </c>
      <c r="I144" s="18" t="str">
        <f t="shared" si="6"/>
        <v>SHI SE450E</v>
      </c>
      <c r="J144" s="18">
        <v>0</v>
      </c>
      <c r="K144" s="15">
        <v>0</v>
      </c>
      <c r="L144" s="15">
        <v>0</v>
      </c>
      <c r="M144" s="15">
        <v>0</v>
      </c>
      <c r="N144" s="18">
        <f t="shared" si="5"/>
        <v>13.5</v>
      </c>
      <c r="O144" s="18"/>
      <c r="P144" s="18" t="s">
        <v>156</v>
      </c>
    </row>
    <row r="145" spans="1:16" ht="15" customHeight="1" x14ac:dyDescent="0.25">
      <c r="A145" s="16">
        <f t="shared" si="7"/>
        <v>45415</v>
      </c>
      <c r="B145" s="18" t="s">
        <v>32</v>
      </c>
      <c r="C145" s="18" t="s">
        <v>7</v>
      </c>
      <c r="D145" s="18" t="s">
        <v>309</v>
      </c>
      <c r="E145" s="18" t="s">
        <v>73</v>
      </c>
      <c r="F145" s="18" t="s">
        <v>253</v>
      </c>
      <c r="G145" s="18" t="str">
        <f>IF(Table5[[#This Row],[ShiftCounter]]&gt;0,"Running","Down")</f>
        <v>Down</v>
      </c>
      <c r="H145" s="18" t="str">
        <f t="shared" si="3"/>
        <v>3C</v>
      </c>
      <c r="I145" s="18" t="str">
        <f t="shared" si="6"/>
        <v>SHI SE350E</v>
      </c>
      <c r="J145" s="18">
        <v>0</v>
      </c>
      <c r="K145" s="15">
        <v>0</v>
      </c>
      <c r="L145" s="15">
        <v>0</v>
      </c>
      <c r="M145" s="15">
        <v>0</v>
      </c>
      <c r="N145" s="18">
        <f t="shared" ref="N145:N151" si="8">N66</f>
        <v>13</v>
      </c>
      <c r="O145" s="18"/>
      <c r="P145" s="18" t="s">
        <v>201</v>
      </c>
    </row>
    <row r="146" spans="1:16" ht="15" customHeight="1" x14ac:dyDescent="0.25">
      <c r="A146" s="16">
        <f t="shared" si="7"/>
        <v>45415</v>
      </c>
      <c r="B146" s="18" t="s">
        <v>67</v>
      </c>
      <c r="C146" s="18" t="s">
        <v>7</v>
      </c>
      <c r="D146" s="18" t="s">
        <v>315</v>
      </c>
      <c r="E146" s="18" t="s">
        <v>56</v>
      </c>
      <c r="F146" s="18" t="s">
        <v>76</v>
      </c>
      <c r="G146" s="18" t="str">
        <f>IF(Table5[[#This Row],[ShiftCounter]]&gt;0,"Running","Down")</f>
        <v>Down</v>
      </c>
      <c r="H146" s="18" t="str">
        <f t="shared" ref="H146:H159" si="9">IF(ISBLANK(H67),"",H67)</f>
        <v>3D</v>
      </c>
      <c r="I146" s="18" t="str">
        <f t="shared" ref="I146:I151" si="10">IF(ISBLANK(I67),"",I67)</f>
        <v>SHI SE450E</v>
      </c>
      <c r="J146" s="18">
        <v>0</v>
      </c>
      <c r="K146" s="15">
        <v>0</v>
      </c>
      <c r="L146" s="15">
        <v>0</v>
      </c>
      <c r="M146" s="15">
        <v>0</v>
      </c>
      <c r="N146" s="18">
        <f t="shared" si="8"/>
        <v>12.89</v>
      </c>
      <c r="O146" s="18"/>
      <c r="P146" s="18" t="s">
        <v>156</v>
      </c>
    </row>
    <row r="147" spans="1:16" ht="15" customHeight="1" x14ac:dyDescent="0.25">
      <c r="A147" s="16">
        <f t="shared" si="7"/>
        <v>45415</v>
      </c>
      <c r="B147" s="18" t="s">
        <v>33</v>
      </c>
      <c r="C147" s="18" t="s">
        <v>7</v>
      </c>
      <c r="D147" s="18" t="s">
        <v>304</v>
      </c>
      <c r="E147" s="18" t="s">
        <v>73</v>
      </c>
      <c r="F147" s="18" t="s">
        <v>253</v>
      </c>
      <c r="G147" s="18" t="str">
        <f>IF(Table5[[#This Row],[ShiftCounter]]&gt;0,"Running","Down")</f>
        <v>Down</v>
      </c>
      <c r="H147" s="18" t="str">
        <f t="shared" si="9"/>
        <v>3E</v>
      </c>
      <c r="I147" s="18" t="str">
        <f t="shared" si="10"/>
        <v>SHI SE350E</v>
      </c>
      <c r="J147" s="18">
        <v>0</v>
      </c>
      <c r="K147" s="15">
        <v>0</v>
      </c>
      <c r="L147" s="15">
        <v>0</v>
      </c>
      <c r="M147" s="15">
        <v>0</v>
      </c>
      <c r="N147" s="18">
        <f t="shared" si="8"/>
        <v>14.99</v>
      </c>
      <c r="O147" s="18"/>
      <c r="P147" s="18" t="s">
        <v>201</v>
      </c>
    </row>
    <row r="148" spans="1:16" ht="15" customHeight="1" x14ac:dyDescent="0.25">
      <c r="A148" s="16">
        <f t="shared" si="7"/>
        <v>45415</v>
      </c>
      <c r="B148" s="18" t="s">
        <v>34</v>
      </c>
      <c r="C148" s="18" t="s">
        <v>7</v>
      </c>
      <c r="D148" s="18" t="s">
        <v>323</v>
      </c>
      <c r="E148" s="18" t="s">
        <v>56</v>
      </c>
      <c r="F148" s="18" t="s">
        <v>184</v>
      </c>
      <c r="G148" s="18" t="str">
        <f>IF(Table5[[#This Row],[ShiftCounter]]&gt;0,"Running","Down")</f>
        <v>Down</v>
      </c>
      <c r="H148" s="18" t="str">
        <f t="shared" si="9"/>
        <v>3F</v>
      </c>
      <c r="I148" s="18" t="str">
        <f t="shared" si="10"/>
        <v>SHI SE450E</v>
      </c>
      <c r="J148" s="18">
        <v>0</v>
      </c>
      <c r="K148" s="15">
        <v>0</v>
      </c>
      <c r="L148" s="15">
        <v>0</v>
      </c>
      <c r="M148" s="15">
        <v>0</v>
      </c>
      <c r="N148" s="18">
        <f t="shared" si="8"/>
        <v>14.89</v>
      </c>
      <c r="O148" s="18"/>
      <c r="P148" s="18" t="s">
        <v>156</v>
      </c>
    </row>
    <row r="149" spans="1:16" ht="15" customHeight="1" x14ac:dyDescent="0.25">
      <c r="A149" s="16">
        <f t="shared" si="7"/>
        <v>45415</v>
      </c>
      <c r="B149" s="18" t="s">
        <v>35</v>
      </c>
      <c r="C149" s="18" t="s">
        <v>7</v>
      </c>
      <c r="D149" s="18" t="s">
        <v>316</v>
      </c>
      <c r="E149" s="18" t="s">
        <v>60</v>
      </c>
      <c r="F149" s="18" t="s">
        <v>253</v>
      </c>
      <c r="G149" s="18" t="str">
        <f>IF(Table5[[#This Row],[ShiftCounter]]&gt;0,"Running","Down")</f>
        <v>Down</v>
      </c>
      <c r="H149" s="18" t="str">
        <f t="shared" si="9"/>
        <v>40</v>
      </c>
      <c r="I149" s="18" t="str">
        <f t="shared" si="10"/>
        <v>SHI SE350E</v>
      </c>
      <c r="J149" s="18">
        <v>0</v>
      </c>
      <c r="K149" s="15">
        <v>0</v>
      </c>
      <c r="L149" s="15">
        <v>0</v>
      </c>
      <c r="M149" s="15">
        <v>0</v>
      </c>
      <c r="N149" s="18">
        <f t="shared" si="8"/>
        <v>14.39</v>
      </c>
      <c r="O149" s="18"/>
      <c r="P149" s="18" t="s">
        <v>158</v>
      </c>
    </row>
    <row r="150" spans="1:16" ht="15" customHeight="1" x14ac:dyDescent="0.25">
      <c r="A150" s="16">
        <f t="shared" si="7"/>
        <v>45415</v>
      </c>
      <c r="B150" s="18" t="s">
        <v>63</v>
      </c>
      <c r="C150" s="18" t="s">
        <v>7</v>
      </c>
      <c r="D150" s="18"/>
      <c r="E150" s="18"/>
      <c r="F150" s="18"/>
      <c r="G150" s="18" t="str">
        <f>IF(Table5[[#This Row],[ShiftCounter]]&gt;0,"Running","Down")</f>
        <v>Down</v>
      </c>
      <c r="H150" s="18" t="str">
        <f t="shared" si="9"/>
        <v>41</v>
      </c>
      <c r="I150" s="18" t="str">
        <f t="shared" si="10"/>
        <v/>
      </c>
      <c r="J150" s="18">
        <v>0</v>
      </c>
      <c r="K150" s="15">
        <v>0</v>
      </c>
      <c r="L150" s="15">
        <v>0</v>
      </c>
      <c r="M150" s="15">
        <v>0</v>
      </c>
      <c r="N150" s="18">
        <f t="shared" si="8"/>
        <v>18.8</v>
      </c>
      <c r="O150" s="18"/>
      <c r="P150" s="18"/>
    </row>
    <row r="151" spans="1:16" ht="15" customHeight="1" x14ac:dyDescent="0.25">
      <c r="A151" s="16">
        <f t="shared" si="7"/>
        <v>45415</v>
      </c>
      <c r="B151" s="18" t="s">
        <v>36</v>
      </c>
      <c r="C151" s="18" t="s">
        <v>7</v>
      </c>
      <c r="D151" s="18" t="s">
        <v>317</v>
      </c>
      <c r="E151" s="18" t="s">
        <v>60</v>
      </c>
      <c r="F151" s="18" t="s">
        <v>253</v>
      </c>
      <c r="G151" s="18" t="str">
        <f>IF(Table5[[#This Row],[ShiftCounter]]&gt;0,"Running","Down")</f>
        <v>Down</v>
      </c>
      <c r="H151" s="18" t="str">
        <f t="shared" si="9"/>
        <v>42</v>
      </c>
      <c r="I151" s="18" t="str">
        <f t="shared" si="10"/>
        <v>SHI SE350E</v>
      </c>
      <c r="J151" s="18">
        <v>0</v>
      </c>
      <c r="K151" s="15">
        <v>0</v>
      </c>
      <c r="L151" s="15">
        <v>0</v>
      </c>
      <c r="M151" s="15">
        <v>0</v>
      </c>
      <c r="N151" s="18">
        <f t="shared" si="8"/>
        <v>133</v>
      </c>
      <c r="O151" s="18"/>
      <c r="P151" s="18" t="s">
        <v>318</v>
      </c>
    </row>
    <row r="152" spans="1:16" ht="15" customHeight="1" x14ac:dyDescent="0.25">
      <c r="A152" s="16">
        <f t="shared" si="7"/>
        <v>45415</v>
      </c>
      <c r="B152" s="18" t="s">
        <v>256</v>
      </c>
      <c r="C152" s="18" t="s">
        <v>7</v>
      </c>
      <c r="D152" s="18" t="s">
        <v>324</v>
      </c>
      <c r="E152" s="18" t="s">
        <v>60</v>
      </c>
      <c r="F152" s="18" t="s">
        <v>325</v>
      </c>
      <c r="G152" s="18" t="str">
        <f>IF(Table5[[#This Row],[ShiftCounter]]&gt;0,"Running","Down")</f>
        <v>Down</v>
      </c>
      <c r="H152" s="18" t="str">
        <f t="shared" si="9"/>
        <v/>
      </c>
      <c r="I152" s="18" t="str">
        <f t="shared" ref="I152:I159" si="11">IF(ISBLANK(I73),"",I73)</f>
        <v>SHI SE130D</v>
      </c>
      <c r="J152" s="18">
        <v>0</v>
      </c>
      <c r="K152" s="18">
        <v>0</v>
      </c>
      <c r="L152" s="18">
        <v>0</v>
      </c>
      <c r="M152" s="18">
        <v>0</v>
      </c>
      <c r="N152" s="18">
        <f t="shared" ref="N152:N159" si="12">N73</f>
        <v>0</v>
      </c>
      <c r="O152" s="18"/>
      <c r="P152" s="18" t="s">
        <v>326</v>
      </c>
    </row>
    <row r="153" spans="1:16" ht="15" customHeight="1" x14ac:dyDescent="0.25">
      <c r="A153" s="16">
        <f t="shared" si="7"/>
        <v>45415</v>
      </c>
      <c r="B153" s="18" t="s">
        <v>257</v>
      </c>
      <c r="C153" s="18" t="s">
        <v>7</v>
      </c>
      <c r="D153" s="18"/>
      <c r="E153" s="18" t="s">
        <v>198</v>
      </c>
      <c r="F153" s="18" t="s">
        <v>266</v>
      </c>
      <c r="G153" s="32" t="str">
        <f>IF(Table5[[#This Row],[ShiftCounter]]&gt;0,"Running","Down")</f>
        <v>Down</v>
      </c>
      <c r="H153" s="18" t="str">
        <f t="shared" si="9"/>
        <v/>
      </c>
      <c r="I153" s="18" t="str">
        <f t="shared" si="11"/>
        <v>SHI SE130D</v>
      </c>
      <c r="J153" s="18">
        <v>0</v>
      </c>
      <c r="K153" s="18">
        <v>0</v>
      </c>
      <c r="L153" s="18">
        <v>0</v>
      </c>
      <c r="M153" s="18">
        <v>0</v>
      </c>
      <c r="N153" s="18">
        <f t="shared" si="12"/>
        <v>0</v>
      </c>
      <c r="O153" s="18"/>
      <c r="P153" s="18"/>
    </row>
    <row r="154" spans="1:16" ht="15" customHeight="1" x14ac:dyDescent="0.25">
      <c r="A154" s="16">
        <f t="shared" si="7"/>
        <v>45415</v>
      </c>
      <c r="B154" s="18" t="s">
        <v>37</v>
      </c>
      <c r="C154" s="18" t="s">
        <v>7</v>
      </c>
      <c r="D154" s="18" t="s">
        <v>327</v>
      </c>
      <c r="E154" s="18" t="s">
        <v>328</v>
      </c>
      <c r="F154" s="18" t="s">
        <v>253</v>
      </c>
      <c r="G154" s="18" t="str">
        <f>IF(Table5[[#This Row],[ShiftCounter]]&gt;0,"Running","Down")</f>
        <v>Down</v>
      </c>
      <c r="H154" s="18" t="str">
        <f t="shared" si="9"/>
        <v>43</v>
      </c>
      <c r="I154" s="18" t="str">
        <f t="shared" si="11"/>
        <v>SHI SE350E</v>
      </c>
      <c r="J154" s="18">
        <v>0</v>
      </c>
      <c r="K154" s="18">
        <v>0</v>
      </c>
      <c r="L154" s="18">
        <v>0</v>
      </c>
      <c r="M154" s="18">
        <v>0</v>
      </c>
      <c r="N154" s="18">
        <f t="shared" si="12"/>
        <v>41.64</v>
      </c>
      <c r="O154" s="18"/>
      <c r="P154" s="18" t="s">
        <v>329</v>
      </c>
    </row>
    <row r="155" spans="1:16" ht="15" customHeight="1" x14ac:dyDescent="0.25">
      <c r="A155" s="16">
        <f t="shared" si="7"/>
        <v>45415</v>
      </c>
      <c r="B155" s="18" t="s">
        <v>258</v>
      </c>
      <c r="C155" s="18" t="s">
        <v>7</v>
      </c>
      <c r="D155" s="18" t="s">
        <v>278</v>
      </c>
      <c r="E155" s="18" t="s">
        <v>279</v>
      </c>
      <c r="F155" s="18" t="s">
        <v>276</v>
      </c>
      <c r="G155" s="18" t="str">
        <f>IF(Table5[[#This Row],[ShiftCounter]]&gt;0,"Running","Down")</f>
        <v>Down</v>
      </c>
      <c r="H155" s="18" t="str">
        <f t="shared" si="9"/>
        <v>44</v>
      </c>
      <c r="I155" s="18" t="str">
        <f t="shared" si="11"/>
        <v>SHI SE130D</v>
      </c>
      <c r="J155" s="18">
        <v>0</v>
      </c>
      <c r="K155" s="18">
        <v>0</v>
      </c>
      <c r="L155" s="18">
        <v>0</v>
      </c>
      <c r="M155" s="18">
        <v>0</v>
      </c>
      <c r="N155" s="18">
        <f t="shared" si="12"/>
        <v>74.010000000000005</v>
      </c>
      <c r="O155" s="18"/>
      <c r="P155" s="18" t="s">
        <v>150</v>
      </c>
    </row>
    <row r="156" spans="1:16" ht="15" customHeight="1" x14ac:dyDescent="0.25">
      <c r="A156" s="16">
        <f t="shared" si="7"/>
        <v>45415</v>
      </c>
      <c r="B156" s="18" t="s">
        <v>259</v>
      </c>
      <c r="C156" s="18" t="s">
        <v>7</v>
      </c>
      <c r="D156" s="18" t="s">
        <v>204</v>
      </c>
      <c r="E156" s="18" t="s">
        <v>81</v>
      </c>
      <c r="F156" s="18" t="s">
        <v>310</v>
      </c>
      <c r="G156" s="32" t="str">
        <f>IF(Table5[[#This Row],[ShiftCounter]]&gt;0,"Running","Down")</f>
        <v>Down</v>
      </c>
      <c r="H156" s="18" t="str">
        <f t="shared" si="9"/>
        <v>44</v>
      </c>
      <c r="I156" s="18" t="str">
        <f t="shared" si="11"/>
        <v>SHI SE130D</v>
      </c>
      <c r="J156" s="18">
        <v>0</v>
      </c>
      <c r="K156" s="18">
        <v>0</v>
      </c>
      <c r="L156" s="18">
        <v>0</v>
      </c>
      <c r="M156" s="18">
        <v>0</v>
      </c>
      <c r="N156" s="18">
        <f t="shared" si="12"/>
        <v>73.989999999999995</v>
      </c>
      <c r="O156" s="18"/>
      <c r="P156" s="18" t="s">
        <v>148</v>
      </c>
    </row>
    <row r="157" spans="1:16" ht="15" customHeight="1" x14ac:dyDescent="0.25">
      <c r="A157" s="16">
        <f t="shared" si="7"/>
        <v>45415</v>
      </c>
      <c r="B157" s="18" t="s">
        <v>260</v>
      </c>
      <c r="C157" s="18" t="s">
        <v>7</v>
      </c>
      <c r="D157" s="18" t="s">
        <v>252</v>
      </c>
      <c r="E157" s="18" t="s">
        <v>81</v>
      </c>
      <c r="F157" s="18" t="s">
        <v>310</v>
      </c>
      <c r="G157" s="18" t="str">
        <f>IF(Table5[[#This Row],[ShiftCounter]]&gt;0,"Running","Down")</f>
        <v>Down</v>
      </c>
      <c r="H157" s="18" t="str">
        <f t="shared" si="9"/>
        <v>45</v>
      </c>
      <c r="I157" s="18" t="str">
        <f t="shared" si="11"/>
        <v>SHI SE130D</v>
      </c>
      <c r="J157" s="18">
        <v>0</v>
      </c>
      <c r="K157" s="18">
        <v>0</v>
      </c>
      <c r="L157" s="18">
        <v>0</v>
      </c>
      <c r="M157" s="18">
        <v>0</v>
      </c>
      <c r="N157" s="18">
        <f t="shared" si="12"/>
        <v>41.85</v>
      </c>
      <c r="O157" s="18"/>
      <c r="P157" s="18" t="s">
        <v>152</v>
      </c>
    </row>
    <row r="158" spans="1:16" ht="15" customHeight="1" x14ac:dyDescent="0.25">
      <c r="A158" s="16">
        <f t="shared" si="7"/>
        <v>45415</v>
      </c>
      <c r="B158" s="18" t="s">
        <v>261</v>
      </c>
      <c r="C158" s="18" t="s">
        <v>7</v>
      </c>
      <c r="D158" s="18" t="s">
        <v>251</v>
      </c>
      <c r="E158" s="18" t="s">
        <v>60</v>
      </c>
      <c r="F158" s="18" t="s">
        <v>200</v>
      </c>
      <c r="G158" s="32" t="str">
        <f>IF(Table5[[#This Row],[ShiftCounter]]&gt;0,"Running","Down")</f>
        <v>Down</v>
      </c>
      <c r="H158" s="18" t="str">
        <f t="shared" si="9"/>
        <v>45</v>
      </c>
      <c r="I158" s="18" t="str">
        <f t="shared" si="11"/>
        <v>SHI SE130D</v>
      </c>
      <c r="J158" s="18">
        <v>0</v>
      </c>
      <c r="K158" s="18">
        <v>0</v>
      </c>
      <c r="L158" s="18">
        <v>0</v>
      </c>
      <c r="M158" s="18">
        <v>0</v>
      </c>
      <c r="N158" s="18">
        <f t="shared" si="12"/>
        <v>41.85</v>
      </c>
      <c r="O158" s="18"/>
      <c r="P158" s="18" t="s">
        <v>153</v>
      </c>
    </row>
    <row r="159" spans="1:16" ht="15" customHeight="1" x14ac:dyDescent="0.25">
      <c r="A159" s="16">
        <f t="shared" si="7"/>
        <v>45415</v>
      </c>
      <c r="B159" s="18" t="s">
        <v>54</v>
      </c>
      <c r="C159" s="18" t="s">
        <v>7</v>
      </c>
      <c r="D159" s="18" t="s">
        <v>55</v>
      </c>
      <c r="E159" s="18" t="s">
        <v>185</v>
      </c>
      <c r="F159" s="18" t="s">
        <v>57</v>
      </c>
      <c r="G159" s="18" t="str">
        <f>IF(Table5[[#This Row],[ShiftCounter]]&gt;0,"Running","Down")</f>
        <v>Down</v>
      </c>
      <c r="H159" s="18" t="str">
        <f t="shared" si="9"/>
        <v>46</v>
      </c>
      <c r="I159" s="18" t="str">
        <f t="shared" si="11"/>
        <v>SHI SE350E</v>
      </c>
      <c r="J159" s="18">
        <v>0</v>
      </c>
      <c r="K159" s="18">
        <v>0</v>
      </c>
      <c r="L159" s="18">
        <v>0</v>
      </c>
      <c r="M159" s="18">
        <v>0</v>
      </c>
      <c r="N159" s="18">
        <f t="shared" si="12"/>
        <v>16.489999999999998</v>
      </c>
      <c r="O159" s="18"/>
      <c r="P159" s="18" t="s">
        <v>159</v>
      </c>
    </row>
    <row r="160" spans="1:16" ht="15" customHeight="1" x14ac:dyDescent="0.25">
      <c r="A160" s="16">
        <f>$A$2</f>
        <v>45415</v>
      </c>
      <c r="B160" s="18" t="s">
        <v>136</v>
      </c>
      <c r="C160" s="12" t="s">
        <v>8</v>
      </c>
      <c r="D160" s="18" t="s">
        <v>174</v>
      </c>
      <c r="E160" s="18" t="s">
        <v>81</v>
      </c>
      <c r="F160" s="18" t="s">
        <v>90</v>
      </c>
      <c r="G160" s="18" t="str">
        <f>IF(Table5[[#This Row],[ShiftCounter]]&gt;0,"Running","Down")</f>
        <v>Down</v>
      </c>
      <c r="H160" s="18" t="str">
        <f>IF(ISBLANK(H2),"",H2)</f>
        <v>01</v>
      </c>
      <c r="I160" s="18" t="str">
        <f>IF(ISBLANK(I2),"",I2)</f>
        <v>SHI SE350E</v>
      </c>
      <c r="J160" s="18">
        <v>0</v>
      </c>
      <c r="K160" s="15">
        <v>0</v>
      </c>
      <c r="L160" s="15">
        <v>0</v>
      </c>
      <c r="M160" s="15">
        <v>0</v>
      </c>
      <c r="N160" s="18">
        <f t="shared" ref="N160:N191" si="13">N2</f>
        <v>18.8</v>
      </c>
      <c r="O160" s="15"/>
      <c r="P160" s="18" t="s">
        <v>153</v>
      </c>
    </row>
    <row r="161" spans="1:16" ht="15" customHeight="1" x14ac:dyDescent="0.25">
      <c r="A161" s="16">
        <f t="shared" si="7"/>
        <v>45415</v>
      </c>
      <c r="B161" s="18" t="s">
        <v>135</v>
      </c>
      <c r="C161" s="18" t="s">
        <v>8</v>
      </c>
      <c r="D161" s="18" t="s">
        <v>332</v>
      </c>
      <c r="E161" s="18" t="s">
        <v>81</v>
      </c>
      <c r="F161" s="18" t="s">
        <v>90</v>
      </c>
      <c r="G161" s="18" t="str">
        <f>IF(Table5[[#This Row],[ShiftCounter]]&gt;0,"Running","Down")</f>
        <v>Down</v>
      </c>
      <c r="H161" s="18" t="str">
        <f t="shared" ref="H161:H224" si="14">IF(ISBLANK(H3),"",H3)</f>
        <v>02</v>
      </c>
      <c r="I161" s="18" t="str">
        <f t="shared" ref="I161:I192" si="15">IF(ISBLANK(I3),"",I3)</f>
        <v>SHI SE350E</v>
      </c>
      <c r="J161" s="18">
        <v>0</v>
      </c>
      <c r="K161" s="15">
        <v>0</v>
      </c>
      <c r="L161" s="15">
        <v>0</v>
      </c>
      <c r="M161" s="15">
        <v>0</v>
      </c>
      <c r="N161" s="18">
        <f t="shared" si="13"/>
        <v>20.39</v>
      </c>
      <c r="O161" s="18"/>
      <c r="P161" s="18" t="s">
        <v>148</v>
      </c>
    </row>
    <row r="162" spans="1:16" ht="15" customHeight="1" x14ac:dyDescent="0.25">
      <c r="A162" s="16">
        <f t="shared" si="7"/>
        <v>45415</v>
      </c>
      <c r="B162" s="18" t="s">
        <v>134</v>
      </c>
      <c r="C162" s="18" t="s">
        <v>8</v>
      </c>
      <c r="D162" s="18" t="s">
        <v>175</v>
      </c>
      <c r="E162" s="18" t="s">
        <v>81</v>
      </c>
      <c r="F162" s="18" t="s">
        <v>90</v>
      </c>
      <c r="G162" s="18" t="str">
        <f>IF(Table5[[#This Row],[ShiftCounter]]&gt;0,"Running","Down")</f>
        <v>Down</v>
      </c>
      <c r="H162" s="18" t="str">
        <f t="shared" si="14"/>
        <v>47</v>
      </c>
      <c r="I162" s="18" t="str">
        <f t="shared" si="15"/>
        <v>SHI SE350E</v>
      </c>
      <c r="J162" s="18">
        <v>0</v>
      </c>
      <c r="K162" s="15">
        <v>0</v>
      </c>
      <c r="L162" s="15">
        <v>0</v>
      </c>
      <c r="M162" s="15">
        <v>0</v>
      </c>
      <c r="N162" s="18">
        <f t="shared" si="13"/>
        <v>0</v>
      </c>
      <c r="O162" s="18"/>
      <c r="P162" s="18" t="s">
        <v>148</v>
      </c>
    </row>
    <row r="163" spans="1:16" ht="15" customHeight="1" x14ac:dyDescent="0.25">
      <c r="A163" s="16">
        <f t="shared" si="7"/>
        <v>45415</v>
      </c>
      <c r="B163" s="18" t="s">
        <v>132</v>
      </c>
      <c r="C163" s="18" t="s">
        <v>8</v>
      </c>
      <c r="D163" s="18" t="s">
        <v>133</v>
      </c>
      <c r="E163" s="18" t="s">
        <v>126</v>
      </c>
      <c r="F163" s="18" t="s">
        <v>199</v>
      </c>
      <c r="G163" s="18" t="str">
        <f>IF(Table5[[#This Row],[ShiftCounter]]&gt;0,"Running","Down")</f>
        <v>Down</v>
      </c>
      <c r="H163" s="18" t="str">
        <f t="shared" si="14"/>
        <v>03</v>
      </c>
      <c r="I163" s="18" t="str">
        <f t="shared" si="15"/>
        <v>SHI SE350E</v>
      </c>
      <c r="J163" s="18">
        <v>0</v>
      </c>
      <c r="K163" s="15">
        <v>0</v>
      </c>
      <c r="L163" s="15">
        <v>0</v>
      </c>
      <c r="M163" s="15">
        <v>0</v>
      </c>
      <c r="N163" s="18">
        <f t="shared" si="13"/>
        <v>41.63</v>
      </c>
      <c r="O163" s="18"/>
      <c r="P163" s="18" t="s">
        <v>149</v>
      </c>
    </row>
    <row r="164" spans="1:16" ht="15" customHeight="1" x14ac:dyDescent="0.25">
      <c r="A164" s="16">
        <f t="shared" si="7"/>
        <v>45415</v>
      </c>
      <c r="B164" s="18" t="s">
        <v>131</v>
      </c>
      <c r="C164" s="18" t="s">
        <v>8</v>
      </c>
      <c r="D164" s="18" t="s">
        <v>305</v>
      </c>
      <c r="E164" s="18" t="s">
        <v>355</v>
      </c>
      <c r="F164" s="18" t="s">
        <v>310</v>
      </c>
      <c r="G164" s="18" t="str">
        <f>IF(Table5[[#This Row],[ShiftCounter]]&gt;0,"Running","Down")</f>
        <v>Down</v>
      </c>
      <c r="H164" s="18" t="str">
        <f t="shared" si="14"/>
        <v>04</v>
      </c>
      <c r="I164" s="18" t="str">
        <f t="shared" si="15"/>
        <v>SHI SE350E</v>
      </c>
      <c r="J164" s="18">
        <v>0</v>
      </c>
      <c r="K164" s="15">
        <v>0</v>
      </c>
      <c r="L164" s="15">
        <v>0</v>
      </c>
      <c r="M164" s="15">
        <v>0</v>
      </c>
      <c r="N164" s="18">
        <f t="shared" si="13"/>
        <v>23.93</v>
      </c>
      <c r="O164" s="18"/>
      <c r="P164" s="18" t="s">
        <v>150</v>
      </c>
    </row>
    <row r="165" spans="1:16" ht="15" customHeight="1" x14ac:dyDescent="0.25">
      <c r="A165" s="16">
        <f t="shared" si="7"/>
        <v>45415</v>
      </c>
      <c r="B165" s="18" t="s">
        <v>130</v>
      </c>
      <c r="C165" s="18" t="s">
        <v>8</v>
      </c>
      <c r="D165" s="18" t="s">
        <v>191</v>
      </c>
      <c r="E165" s="18" t="s">
        <v>81</v>
      </c>
      <c r="F165" s="18" t="s">
        <v>285</v>
      </c>
      <c r="G165" s="18" t="str">
        <f>IF(Table5[[#This Row],[ShiftCounter]]&gt;0,"Running","Down")</f>
        <v>Down</v>
      </c>
      <c r="H165" s="18" t="str">
        <f t="shared" si="14"/>
        <v/>
      </c>
      <c r="I165" s="18" t="str">
        <f t="shared" si="15"/>
        <v>SHI SE350E</v>
      </c>
      <c r="J165" s="18">
        <v>0</v>
      </c>
      <c r="K165" s="15">
        <v>0</v>
      </c>
      <c r="L165" s="15">
        <v>0</v>
      </c>
      <c r="M165" s="15">
        <v>0</v>
      </c>
      <c r="N165" s="18">
        <f t="shared" si="13"/>
        <v>803</v>
      </c>
      <c r="O165" s="18"/>
      <c r="P165" s="18" t="s">
        <v>148</v>
      </c>
    </row>
    <row r="166" spans="1:16" ht="15" customHeight="1" x14ac:dyDescent="0.25">
      <c r="A166" s="16">
        <f t="shared" si="7"/>
        <v>45415</v>
      </c>
      <c r="B166" s="18" t="s">
        <v>128</v>
      </c>
      <c r="C166" s="18" t="s">
        <v>8</v>
      </c>
      <c r="D166" s="18" t="s">
        <v>129</v>
      </c>
      <c r="E166" s="18" t="s">
        <v>190</v>
      </c>
      <c r="F166" s="18" t="s">
        <v>199</v>
      </c>
      <c r="G166" s="18" t="str">
        <f>IF(Table5[[#This Row],[ShiftCounter]]&gt;0,"Running","Down")</f>
        <v>Down</v>
      </c>
      <c r="H166" s="18" t="str">
        <f t="shared" si="14"/>
        <v>05</v>
      </c>
      <c r="I166" s="18" t="str">
        <f t="shared" si="15"/>
        <v>SHI SE350E</v>
      </c>
      <c r="J166" s="18">
        <v>0</v>
      </c>
      <c r="K166" s="15">
        <v>0</v>
      </c>
      <c r="L166" s="15">
        <v>0</v>
      </c>
      <c r="M166" s="15">
        <v>0</v>
      </c>
      <c r="N166" s="18">
        <f t="shared" si="13"/>
        <v>41.85</v>
      </c>
      <c r="O166" s="18"/>
      <c r="P166" s="18" t="s">
        <v>149</v>
      </c>
    </row>
    <row r="167" spans="1:16" ht="15" customHeight="1" x14ac:dyDescent="0.25">
      <c r="A167" s="16">
        <f t="shared" si="7"/>
        <v>45415</v>
      </c>
      <c r="B167" s="18" t="s">
        <v>40</v>
      </c>
      <c r="C167" s="18" t="s">
        <v>8</v>
      </c>
      <c r="D167" s="18" t="s">
        <v>123</v>
      </c>
      <c r="E167" s="18" t="s">
        <v>81</v>
      </c>
      <c r="F167" s="18" t="s">
        <v>285</v>
      </c>
      <c r="G167" s="18" t="str">
        <f>IF(Table5[[#This Row],[ShiftCounter]]&gt;0,"Running","Down")</f>
        <v>Down</v>
      </c>
      <c r="H167" s="18" t="str">
        <f t="shared" si="14"/>
        <v>06</v>
      </c>
      <c r="I167" s="18" t="str">
        <f t="shared" si="15"/>
        <v>SHI SE350E</v>
      </c>
      <c r="J167" s="18">
        <v>0</v>
      </c>
      <c r="K167" s="15">
        <v>0</v>
      </c>
      <c r="L167" s="15">
        <v>0</v>
      </c>
      <c r="M167" s="15">
        <v>0</v>
      </c>
      <c r="N167" s="18">
        <f t="shared" si="13"/>
        <v>13.09</v>
      </c>
      <c r="O167" s="18"/>
      <c r="P167" s="18" t="s">
        <v>152</v>
      </c>
    </row>
    <row r="168" spans="1:16" ht="15" customHeight="1" x14ac:dyDescent="0.25">
      <c r="A168" s="16">
        <f t="shared" si="7"/>
        <v>45415</v>
      </c>
      <c r="B168" s="18" t="s">
        <v>127</v>
      </c>
      <c r="C168" s="18" t="s">
        <v>8</v>
      </c>
      <c r="D168" s="18" t="s">
        <v>203</v>
      </c>
      <c r="E168" s="18" t="s">
        <v>81</v>
      </c>
      <c r="F168" s="18" t="s">
        <v>285</v>
      </c>
      <c r="G168" s="18" t="str">
        <f>IF(Table5[[#This Row],[ShiftCounter]]&gt;0,"Running","Down")</f>
        <v>Down</v>
      </c>
      <c r="H168" s="18" t="str">
        <f t="shared" si="14"/>
        <v>49</v>
      </c>
      <c r="I168" s="18" t="str">
        <f t="shared" si="15"/>
        <v>SHI SE350E</v>
      </c>
      <c r="J168" s="18">
        <v>0</v>
      </c>
      <c r="K168" s="15">
        <v>0</v>
      </c>
      <c r="L168" s="15">
        <v>0</v>
      </c>
      <c r="M168" s="15">
        <v>0</v>
      </c>
      <c r="N168" s="18">
        <f t="shared" si="13"/>
        <v>19.54</v>
      </c>
      <c r="O168" s="18"/>
      <c r="P168" s="18" t="s">
        <v>151</v>
      </c>
    </row>
    <row r="169" spans="1:16" ht="15" customHeight="1" x14ac:dyDescent="0.25">
      <c r="A169" s="16">
        <f t="shared" si="7"/>
        <v>45415</v>
      </c>
      <c r="B169" s="18" t="s">
        <v>124</v>
      </c>
      <c r="C169" s="18" t="s">
        <v>8</v>
      </c>
      <c r="D169" s="18" t="s">
        <v>340</v>
      </c>
      <c r="E169" s="18" t="s">
        <v>126</v>
      </c>
      <c r="F169" s="18" t="s">
        <v>199</v>
      </c>
      <c r="G169" s="18" t="str">
        <f>IF(Table5[[#This Row],[ShiftCounter]]&gt;0,"Running","Down")</f>
        <v>Down</v>
      </c>
      <c r="H169" s="18" t="str">
        <f t="shared" si="14"/>
        <v>07</v>
      </c>
      <c r="I169" s="18" t="str">
        <f t="shared" si="15"/>
        <v>SHI SE350E</v>
      </c>
      <c r="J169" s="18">
        <v>0</v>
      </c>
      <c r="K169" s="15">
        <v>0</v>
      </c>
      <c r="L169" s="15">
        <v>0</v>
      </c>
      <c r="M169" s="15">
        <v>0</v>
      </c>
      <c r="N169" s="18">
        <f t="shared" si="13"/>
        <v>12.59</v>
      </c>
      <c r="O169" s="18"/>
      <c r="P169" s="18" t="s">
        <v>149</v>
      </c>
    </row>
    <row r="170" spans="1:16" ht="15" customHeight="1" x14ac:dyDescent="0.25">
      <c r="A170" s="16">
        <f t="shared" si="7"/>
        <v>45415</v>
      </c>
      <c r="B170" s="18" t="s">
        <v>122</v>
      </c>
      <c r="C170" s="18" t="s">
        <v>8</v>
      </c>
      <c r="D170" s="18" t="s">
        <v>356</v>
      </c>
      <c r="E170" s="18" t="s">
        <v>56</v>
      </c>
      <c r="F170" s="18" t="s">
        <v>285</v>
      </c>
      <c r="G170" s="18" t="str">
        <f>IF(Table5[[#This Row],[ShiftCounter]]&gt;0,"Running","Down")</f>
        <v>Down</v>
      </c>
      <c r="H170" s="18" t="str">
        <f t="shared" si="14"/>
        <v>08</v>
      </c>
      <c r="I170" s="18" t="str">
        <f t="shared" si="15"/>
        <v>SHI SE350E</v>
      </c>
      <c r="J170" s="18">
        <v>0</v>
      </c>
      <c r="K170" s="15">
        <v>0</v>
      </c>
      <c r="L170" s="15">
        <v>0</v>
      </c>
      <c r="M170" s="15">
        <v>0</v>
      </c>
      <c r="N170" s="18">
        <f t="shared" si="13"/>
        <v>21.28</v>
      </c>
      <c r="O170" s="18"/>
      <c r="P170" s="18" t="s">
        <v>148</v>
      </c>
    </row>
    <row r="171" spans="1:16" ht="15" customHeight="1" x14ac:dyDescent="0.25">
      <c r="A171" s="16">
        <f t="shared" si="7"/>
        <v>45415</v>
      </c>
      <c r="B171" s="18" t="s">
        <v>120</v>
      </c>
      <c r="C171" s="18" t="s">
        <v>8</v>
      </c>
      <c r="D171" s="18" t="s">
        <v>333</v>
      </c>
      <c r="E171" s="18" t="s">
        <v>357</v>
      </c>
      <c r="F171" s="18" t="s">
        <v>285</v>
      </c>
      <c r="G171" s="18" t="str">
        <f>IF(Table5[[#This Row],[ShiftCounter]]&gt;0,"Running","Down")</f>
        <v>Down</v>
      </c>
      <c r="H171" s="18" t="str">
        <f t="shared" si="14"/>
        <v>4A</v>
      </c>
      <c r="I171" s="18" t="str">
        <f t="shared" si="15"/>
        <v>SHI SE350E</v>
      </c>
      <c r="J171" s="18">
        <v>0</v>
      </c>
      <c r="K171" s="15">
        <v>0</v>
      </c>
      <c r="L171" s="15">
        <v>0</v>
      </c>
      <c r="M171" s="15">
        <v>0</v>
      </c>
      <c r="N171" s="18">
        <f t="shared" si="13"/>
        <v>26.06</v>
      </c>
      <c r="O171" s="18"/>
      <c r="P171" s="18" t="s">
        <v>151</v>
      </c>
    </row>
    <row r="172" spans="1:16" ht="15" customHeight="1" x14ac:dyDescent="0.25">
      <c r="A172" s="16">
        <f t="shared" si="7"/>
        <v>45415</v>
      </c>
      <c r="B172" s="18" t="s">
        <v>119</v>
      </c>
      <c r="C172" s="18" t="s">
        <v>8</v>
      </c>
      <c r="D172" s="18" t="s">
        <v>178</v>
      </c>
      <c r="E172" s="18" t="s">
        <v>358</v>
      </c>
      <c r="F172" s="18" t="s">
        <v>192</v>
      </c>
      <c r="G172" s="18" t="str">
        <f>IF(Table5[[#This Row],[ShiftCounter]]&gt;0,"Running","Down")</f>
        <v>Down</v>
      </c>
      <c r="H172" s="18" t="str">
        <f t="shared" si="14"/>
        <v>09</v>
      </c>
      <c r="I172" s="18" t="str">
        <f t="shared" si="15"/>
        <v>SHI SE350E</v>
      </c>
      <c r="J172" s="18">
        <v>0</v>
      </c>
      <c r="K172" s="15">
        <v>0</v>
      </c>
      <c r="L172" s="15">
        <v>0</v>
      </c>
      <c r="M172" s="15">
        <v>0</v>
      </c>
      <c r="N172" s="18">
        <f t="shared" si="13"/>
        <v>41.86</v>
      </c>
      <c r="O172" s="18"/>
      <c r="P172" s="18" t="s">
        <v>149</v>
      </c>
    </row>
    <row r="173" spans="1:16" ht="15" customHeight="1" x14ac:dyDescent="0.25">
      <c r="A173" s="16">
        <f t="shared" si="7"/>
        <v>45415</v>
      </c>
      <c r="B173" s="18" t="s">
        <v>117</v>
      </c>
      <c r="C173" s="18" t="s">
        <v>8</v>
      </c>
      <c r="D173" s="18" t="s">
        <v>349</v>
      </c>
      <c r="E173" s="18" t="s">
        <v>359</v>
      </c>
      <c r="F173" s="18" t="s">
        <v>90</v>
      </c>
      <c r="G173" s="18" t="str">
        <f>IF(Table5[[#This Row],[ShiftCounter]]&gt;0,"Running","Down")</f>
        <v>Down</v>
      </c>
      <c r="H173" s="18" t="str">
        <f t="shared" si="14"/>
        <v>0A</v>
      </c>
      <c r="I173" s="18" t="str">
        <f t="shared" si="15"/>
        <v>SHI SE350E</v>
      </c>
      <c r="J173" s="18">
        <v>0</v>
      </c>
      <c r="K173" s="15">
        <v>0</v>
      </c>
      <c r="L173" s="15">
        <v>0</v>
      </c>
      <c r="M173" s="15">
        <v>0</v>
      </c>
      <c r="N173" s="18">
        <f t="shared" si="13"/>
        <v>12.48</v>
      </c>
      <c r="O173" s="18"/>
      <c r="P173" s="18" t="s">
        <v>151</v>
      </c>
    </row>
    <row r="174" spans="1:16" ht="15" customHeight="1" x14ac:dyDescent="0.25">
      <c r="A174" s="16">
        <f t="shared" si="7"/>
        <v>45415</v>
      </c>
      <c r="B174" s="18" t="s">
        <v>39</v>
      </c>
      <c r="C174" s="18" t="s">
        <v>8</v>
      </c>
      <c r="D174" s="18" t="s">
        <v>177</v>
      </c>
      <c r="E174" s="18" t="s">
        <v>81</v>
      </c>
      <c r="F174" s="18" t="s">
        <v>90</v>
      </c>
      <c r="G174" s="18" t="str">
        <f>IF(Table5[[#This Row],[ShiftCounter]]&gt;0,"Running","Down")</f>
        <v>Down</v>
      </c>
      <c r="H174" s="18" t="str">
        <f t="shared" si="14"/>
        <v>4B</v>
      </c>
      <c r="I174" s="18" t="str">
        <f t="shared" si="15"/>
        <v>SHI SE350E</v>
      </c>
      <c r="J174" s="18">
        <v>0</v>
      </c>
      <c r="K174" s="15">
        <v>0</v>
      </c>
      <c r="L174" s="15">
        <v>0</v>
      </c>
      <c r="M174" s="15">
        <v>0</v>
      </c>
      <c r="N174" s="18">
        <f t="shared" si="13"/>
        <v>16.8</v>
      </c>
      <c r="O174" s="18"/>
      <c r="P174" s="18" t="s">
        <v>151</v>
      </c>
    </row>
    <row r="175" spans="1:16" ht="15" customHeight="1" x14ac:dyDescent="0.25">
      <c r="A175" s="16">
        <f t="shared" si="7"/>
        <v>45415</v>
      </c>
      <c r="B175" s="18" t="s">
        <v>113</v>
      </c>
      <c r="C175" s="18" t="s">
        <v>8</v>
      </c>
      <c r="D175" s="18" t="s">
        <v>188</v>
      </c>
      <c r="E175" s="18" t="s">
        <v>126</v>
      </c>
      <c r="F175" s="18" t="s">
        <v>199</v>
      </c>
      <c r="G175" s="18" t="str">
        <f>IF(Table5[[#This Row],[ShiftCounter]]&gt;0,"Running","Down")</f>
        <v>Down</v>
      </c>
      <c r="H175" s="18" t="str">
        <f t="shared" si="14"/>
        <v>0B</v>
      </c>
      <c r="I175" s="18" t="str">
        <f t="shared" si="15"/>
        <v>SHI SE350E</v>
      </c>
      <c r="J175" s="18">
        <v>0</v>
      </c>
      <c r="K175" s="15">
        <v>0</v>
      </c>
      <c r="L175" s="15">
        <v>0</v>
      </c>
      <c r="M175" s="15">
        <v>0</v>
      </c>
      <c r="N175" s="18">
        <f t="shared" si="13"/>
        <v>41.22</v>
      </c>
      <c r="O175" s="18"/>
      <c r="P175" s="18" t="s">
        <v>149</v>
      </c>
    </row>
    <row r="176" spans="1:16" ht="15" customHeight="1" x14ac:dyDescent="0.25">
      <c r="A176" s="16">
        <f t="shared" si="7"/>
        <v>45415</v>
      </c>
      <c r="B176" s="18" t="s">
        <v>111</v>
      </c>
      <c r="C176" s="18" t="s">
        <v>8</v>
      </c>
      <c r="D176" s="18" t="s">
        <v>189</v>
      </c>
      <c r="E176" s="18" t="s">
        <v>81</v>
      </c>
      <c r="F176" s="18" t="s">
        <v>285</v>
      </c>
      <c r="G176" s="18" t="str">
        <f>IF(Table5[[#This Row],[ShiftCounter]]&gt;0,"Running","Down")</f>
        <v>Down</v>
      </c>
      <c r="H176" s="18" t="str">
        <f t="shared" si="14"/>
        <v>0C</v>
      </c>
      <c r="I176" s="18" t="str">
        <f t="shared" si="15"/>
        <v>SHI SE350E</v>
      </c>
      <c r="J176" s="18">
        <v>0</v>
      </c>
      <c r="K176" s="15">
        <v>0</v>
      </c>
      <c r="L176" s="15">
        <v>0</v>
      </c>
      <c r="M176" s="15">
        <v>0</v>
      </c>
      <c r="N176" s="18">
        <f t="shared" si="13"/>
        <v>17.59</v>
      </c>
      <c r="O176" s="18"/>
      <c r="P176" s="18" t="s">
        <v>153</v>
      </c>
    </row>
    <row r="177" spans="1:16" ht="15" customHeight="1" x14ac:dyDescent="0.25">
      <c r="A177" s="16">
        <f t="shared" si="7"/>
        <v>45415</v>
      </c>
      <c r="B177" s="18" t="s">
        <v>109</v>
      </c>
      <c r="C177" s="18" t="s">
        <v>8</v>
      </c>
      <c r="D177" s="18" t="s">
        <v>142</v>
      </c>
      <c r="E177" s="18" t="s">
        <v>126</v>
      </c>
      <c r="F177" s="18" t="s">
        <v>199</v>
      </c>
      <c r="G177" s="18" t="str">
        <f>IF(Table5[[#This Row],[ShiftCounter]]&gt;0,"Running","Down")</f>
        <v>Down</v>
      </c>
      <c r="H177" s="18" t="str">
        <f t="shared" si="14"/>
        <v>0D</v>
      </c>
      <c r="I177" s="18" t="str">
        <f t="shared" si="15"/>
        <v>SHI SE350E</v>
      </c>
      <c r="J177" s="18">
        <v>0</v>
      </c>
      <c r="K177" s="15">
        <v>0</v>
      </c>
      <c r="L177" s="15">
        <v>0</v>
      </c>
      <c r="M177" s="15">
        <v>0</v>
      </c>
      <c r="N177" s="18">
        <f t="shared" si="13"/>
        <v>41.73</v>
      </c>
      <c r="O177" s="18"/>
      <c r="P177" s="18" t="s">
        <v>149</v>
      </c>
    </row>
    <row r="178" spans="1:16" ht="15" customHeight="1" x14ac:dyDescent="0.25">
      <c r="A178" s="16">
        <f t="shared" si="7"/>
        <v>45415</v>
      </c>
      <c r="B178" s="18" t="s">
        <v>107</v>
      </c>
      <c r="C178" s="18" t="s">
        <v>8</v>
      </c>
      <c r="D178" s="18" t="s">
        <v>280</v>
      </c>
      <c r="E178" s="18" t="s">
        <v>56</v>
      </c>
      <c r="F178" s="18" t="s">
        <v>93</v>
      </c>
      <c r="G178" s="18" t="str">
        <f>IF(Table5[[#This Row],[ShiftCounter]]&gt;0,"Running","Down")</f>
        <v>Down</v>
      </c>
      <c r="H178" s="18" t="str">
        <f t="shared" si="14"/>
        <v>0E</v>
      </c>
      <c r="I178" s="18" t="str">
        <f t="shared" si="15"/>
        <v>SHI SE350E</v>
      </c>
      <c r="J178" s="18">
        <v>0</v>
      </c>
      <c r="K178" s="15">
        <v>0</v>
      </c>
      <c r="L178" s="15">
        <v>0</v>
      </c>
      <c r="M178" s="15">
        <v>0</v>
      </c>
      <c r="N178" s="18">
        <f t="shared" si="13"/>
        <v>11.48</v>
      </c>
      <c r="O178" s="18"/>
      <c r="P178" s="18" t="s">
        <v>281</v>
      </c>
    </row>
    <row r="179" spans="1:16" ht="15" customHeight="1" x14ac:dyDescent="0.25">
      <c r="A179" s="16">
        <f t="shared" si="7"/>
        <v>45415</v>
      </c>
      <c r="B179" s="18" t="s">
        <v>41</v>
      </c>
      <c r="C179" s="18" t="s">
        <v>8</v>
      </c>
      <c r="D179" s="18" t="s">
        <v>311</v>
      </c>
      <c r="E179" s="18" t="s">
        <v>60</v>
      </c>
      <c r="F179" s="18" t="s">
        <v>90</v>
      </c>
      <c r="G179" s="18" t="str">
        <f>IF(Table5[[#This Row],[ShiftCounter]]&gt;0,"Running","Down")</f>
        <v>Down</v>
      </c>
      <c r="H179" s="18" t="str">
        <f t="shared" si="14"/>
        <v>0F</v>
      </c>
      <c r="I179" s="18" t="str">
        <f t="shared" si="15"/>
        <v>SHI SE350E</v>
      </c>
      <c r="J179" s="18">
        <v>0</v>
      </c>
      <c r="K179" s="15">
        <v>0</v>
      </c>
      <c r="L179" s="15">
        <v>0</v>
      </c>
      <c r="M179" s="15">
        <v>0</v>
      </c>
      <c r="N179" s="18">
        <f t="shared" si="13"/>
        <v>13.5</v>
      </c>
      <c r="O179" s="18"/>
      <c r="P179" s="18" t="s">
        <v>154</v>
      </c>
    </row>
    <row r="180" spans="1:16" ht="15" customHeight="1" x14ac:dyDescent="0.25">
      <c r="A180" s="16">
        <f t="shared" si="7"/>
        <v>45415</v>
      </c>
      <c r="B180" s="18" t="s">
        <v>43</v>
      </c>
      <c r="C180" s="18" t="s">
        <v>8</v>
      </c>
      <c r="D180" s="18" t="s">
        <v>282</v>
      </c>
      <c r="E180" s="18" t="s">
        <v>275</v>
      </c>
      <c r="F180" s="18" t="s">
        <v>285</v>
      </c>
      <c r="G180" s="18" t="str">
        <f>IF(Table5[[#This Row],[ShiftCounter]]&gt;0,"Running","Down")</f>
        <v>Down</v>
      </c>
      <c r="H180" s="18" t="str">
        <f t="shared" si="14"/>
        <v>10</v>
      </c>
      <c r="I180" s="18" t="str">
        <f t="shared" si="15"/>
        <v>SHI SE350E</v>
      </c>
      <c r="J180" s="18">
        <v>0</v>
      </c>
      <c r="K180" s="15">
        <v>0</v>
      </c>
      <c r="L180" s="15">
        <v>0</v>
      </c>
      <c r="M180" s="15">
        <v>0</v>
      </c>
      <c r="N180" s="18">
        <f t="shared" si="13"/>
        <v>10.64</v>
      </c>
      <c r="O180" s="18"/>
      <c r="P180" s="18" t="s">
        <v>154</v>
      </c>
    </row>
    <row r="181" spans="1:16" ht="15" customHeight="1" x14ac:dyDescent="0.25">
      <c r="A181" s="16">
        <f t="shared" si="7"/>
        <v>45415</v>
      </c>
      <c r="B181" s="18" t="s">
        <v>5</v>
      </c>
      <c r="C181" s="18" t="s">
        <v>8</v>
      </c>
      <c r="D181" s="18" t="s">
        <v>283</v>
      </c>
      <c r="E181" s="18" t="s">
        <v>352</v>
      </c>
      <c r="F181" s="18" t="s">
        <v>285</v>
      </c>
      <c r="G181" s="18" t="str">
        <f>IF(Table5[[#This Row],[ShiftCounter]]&gt;0,"Running","Down")</f>
        <v>Down</v>
      </c>
      <c r="H181" s="18" t="str">
        <f t="shared" si="14"/>
        <v>11</v>
      </c>
      <c r="I181" s="18" t="str">
        <f t="shared" si="15"/>
        <v>SHI SE350E</v>
      </c>
      <c r="J181" s="18">
        <v>0</v>
      </c>
      <c r="K181" s="15">
        <v>0</v>
      </c>
      <c r="L181" s="15">
        <v>0</v>
      </c>
      <c r="M181" s="15">
        <v>0</v>
      </c>
      <c r="N181" s="18">
        <f t="shared" si="13"/>
        <v>21.92</v>
      </c>
      <c r="O181" s="18"/>
      <c r="P181" s="18" t="s">
        <v>153</v>
      </c>
    </row>
    <row r="182" spans="1:16" ht="15" customHeight="1" x14ac:dyDescent="0.25">
      <c r="A182" s="16">
        <f t="shared" si="7"/>
        <v>45415</v>
      </c>
      <c r="B182" s="18" t="s">
        <v>9</v>
      </c>
      <c r="C182" s="18" t="s">
        <v>8</v>
      </c>
      <c r="D182" s="18" t="s">
        <v>189</v>
      </c>
      <c r="E182" s="18" t="s">
        <v>360</v>
      </c>
      <c r="F182" s="18" t="s">
        <v>276</v>
      </c>
      <c r="G182" s="18" t="str">
        <f>IF(Table5[[#This Row],[ShiftCounter]]&gt;0,"Running","Down")</f>
        <v>Down</v>
      </c>
      <c r="H182" s="18" t="str">
        <f t="shared" si="14"/>
        <v>12</v>
      </c>
      <c r="I182" s="18" t="str">
        <f t="shared" si="15"/>
        <v>SHI SE350E</v>
      </c>
      <c r="J182" s="18">
        <v>0</v>
      </c>
      <c r="K182" s="15">
        <v>0</v>
      </c>
      <c r="L182" s="15">
        <v>0</v>
      </c>
      <c r="M182" s="15">
        <v>0</v>
      </c>
      <c r="N182" s="18">
        <f t="shared" si="13"/>
        <v>23.85</v>
      </c>
      <c r="O182" s="18"/>
      <c r="P182" s="18" t="s">
        <v>153</v>
      </c>
    </row>
    <row r="183" spans="1:16" ht="15" customHeight="1" x14ac:dyDescent="0.25">
      <c r="A183" s="16">
        <f t="shared" si="7"/>
        <v>45415</v>
      </c>
      <c r="B183" s="18" t="s">
        <v>10</v>
      </c>
      <c r="C183" s="18" t="s">
        <v>8</v>
      </c>
      <c r="D183" s="18" t="s">
        <v>263</v>
      </c>
      <c r="E183" s="18" t="s">
        <v>361</v>
      </c>
      <c r="F183" s="18" t="s">
        <v>285</v>
      </c>
      <c r="G183" s="18" t="str">
        <f>IF(Table5[[#This Row],[ShiftCounter]]&gt;0,"Running","Down")</f>
        <v>Down</v>
      </c>
      <c r="H183" s="18" t="str">
        <f t="shared" si="14"/>
        <v>13</v>
      </c>
      <c r="I183" s="18" t="str">
        <f t="shared" si="15"/>
        <v>SHI SE350E</v>
      </c>
      <c r="J183" s="18">
        <v>0</v>
      </c>
      <c r="K183" s="15">
        <v>0</v>
      </c>
      <c r="L183" s="15">
        <v>0</v>
      </c>
      <c r="M183" s="15">
        <v>0</v>
      </c>
      <c r="N183" s="18">
        <f t="shared" si="13"/>
        <v>27.98</v>
      </c>
      <c r="O183" s="18"/>
      <c r="P183" s="18" t="s">
        <v>151</v>
      </c>
    </row>
    <row r="184" spans="1:16" ht="15" customHeight="1" x14ac:dyDescent="0.25">
      <c r="A184" s="16">
        <f t="shared" si="7"/>
        <v>45415</v>
      </c>
      <c r="B184" s="18" t="s">
        <v>11</v>
      </c>
      <c r="C184" s="18" t="s">
        <v>8</v>
      </c>
      <c r="D184" s="18" t="s">
        <v>205</v>
      </c>
      <c r="E184" s="18" t="s">
        <v>60</v>
      </c>
      <c r="F184" s="18" t="s">
        <v>93</v>
      </c>
      <c r="G184" s="18" t="str">
        <f>IF(Table5[[#This Row],[ShiftCounter]]&gt;0,"Running","Down")</f>
        <v>Down</v>
      </c>
      <c r="H184" s="18" t="str">
        <f t="shared" si="14"/>
        <v>14</v>
      </c>
      <c r="I184" s="18" t="str">
        <f t="shared" si="15"/>
        <v>SHI SE350E</v>
      </c>
      <c r="J184" s="18">
        <v>0</v>
      </c>
      <c r="K184" s="15">
        <v>0</v>
      </c>
      <c r="L184" s="15">
        <v>0</v>
      </c>
      <c r="M184" s="15">
        <v>0</v>
      </c>
      <c r="N184" s="18">
        <f t="shared" si="13"/>
        <v>12.79</v>
      </c>
      <c r="O184" s="18"/>
      <c r="P184" s="18" t="s">
        <v>147</v>
      </c>
    </row>
    <row r="185" spans="1:16" ht="15" customHeight="1" x14ac:dyDescent="0.25">
      <c r="A185" s="16">
        <f t="shared" si="7"/>
        <v>45415</v>
      </c>
      <c r="B185" s="18" t="s">
        <v>12</v>
      </c>
      <c r="C185" s="18" t="s">
        <v>8</v>
      </c>
      <c r="D185" s="18" t="s">
        <v>286</v>
      </c>
      <c r="E185" s="18" t="s">
        <v>352</v>
      </c>
      <c r="F185" s="18" t="s">
        <v>285</v>
      </c>
      <c r="G185" s="18" t="str">
        <f>IF(Table5[[#This Row],[ShiftCounter]]&gt;0,"Running","Down")</f>
        <v>Down</v>
      </c>
      <c r="H185" s="18" t="str">
        <f t="shared" si="14"/>
        <v>15</v>
      </c>
      <c r="I185" s="18" t="str">
        <f t="shared" si="15"/>
        <v>SHI SE350E</v>
      </c>
      <c r="J185" s="18">
        <v>0</v>
      </c>
      <c r="K185" s="15">
        <v>0</v>
      </c>
      <c r="L185" s="15">
        <v>0</v>
      </c>
      <c r="M185" s="15">
        <v>0</v>
      </c>
      <c r="N185" s="18">
        <f t="shared" si="13"/>
        <v>30.26</v>
      </c>
      <c r="O185" s="18"/>
      <c r="P185" s="18" t="s">
        <v>154</v>
      </c>
    </row>
    <row r="186" spans="1:16" ht="15" customHeight="1" x14ac:dyDescent="0.25">
      <c r="A186" s="16">
        <f t="shared" si="7"/>
        <v>45415</v>
      </c>
      <c r="B186" s="18" t="s">
        <v>105</v>
      </c>
      <c r="C186" s="18" t="s">
        <v>8</v>
      </c>
      <c r="D186" s="18" t="s">
        <v>115</v>
      </c>
      <c r="E186" s="18" t="s">
        <v>60</v>
      </c>
      <c r="F186" s="18" t="s">
        <v>93</v>
      </c>
      <c r="G186" s="18" t="str">
        <f>IF(Table5[[#This Row],[ShiftCounter]]&gt;0,"Running","Down")</f>
        <v>Down</v>
      </c>
      <c r="H186" s="18" t="str">
        <f t="shared" si="14"/>
        <v>16</v>
      </c>
      <c r="I186" s="18" t="str">
        <f t="shared" si="15"/>
        <v>SHI SE350E</v>
      </c>
      <c r="J186" s="18">
        <v>0</v>
      </c>
      <c r="K186" s="15">
        <v>0</v>
      </c>
      <c r="L186" s="15">
        <v>0</v>
      </c>
      <c r="M186" s="15">
        <v>0</v>
      </c>
      <c r="N186" s="18">
        <f t="shared" si="13"/>
        <v>12.39</v>
      </c>
      <c r="O186" s="18"/>
      <c r="P186" s="18" t="s">
        <v>147</v>
      </c>
    </row>
    <row r="187" spans="1:16" ht="15" customHeight="1" x14ac:dyDescent="0.25">
      <c r="A187" s="16">
        <f t="shared" si="7"/>
        <v>45415</v>
      </c>
      <c r="B187" s="18" t="s">
        <v>104</v>
      </c>
      <c r="C187" s="18" t="s">
        <v>8</v>
      </c>
      <c r="D187" s="18" t="s">
        <v>143</v>
      </c>
      <c r="E187" s="18" t="s">
        <v>81</v>
      </c>
      <c r="F187" s="18" t="s">
        <v>90</v>
      </c>
      <c r="G187" s="18" t="str">
        <f>IF(Table5[[#This Row],[ShiftCounter]]&gt;0,"Running","Down")</f>
        <v>Down</v>
      </c>
      <c r="H187" s="18" t="str">
        <f t="shared" si="14"/>
        <v>17</v>
      </c>
      <c r="I187" s="18" t="str">
        <f t="shared" si="15"/>
        <v>SHI SE350E</v>
      </c>
      <c r="J187" s="18">
        <v>0</v>
      </c>
      <c r="K187" s="15">
        <v>0</v>
      </c>
      <c r="L187" s="15">
        <v>0</v>
      </c>
      <c r="M187" s="15">
        <v>0</v>
      </c>
      <c r="N187" s="18">
        <f t="shared" si="13"/>
        <v>13.73</v>
      </c>
      <c r="O187" s="18"/>
      <c r="P187" s="18" t="s">
        <v>154</v>
      </c>
    </row>
    <row r="188" spans="1:16" ht="15" customHeight="1" x14ac:dyDescent="0.25">
      <c r="A188" s="16">
        <f t="shared" si="7"/>
        <v>45415</v>
      </c>
      <c r="B188" s="18" t="s">
        <v>13</v>
      </c>
      <c r="C188" s="18" t="s">
        <v>8</v>
      </c>
      <c r="D188" s="18" t="s">
        <v>350</v>
      </c>
      <c r="E188" s="18" t="s">
        <v>60</v>
      </c>
      <c r="F188" s="18" t="s">
        <v>93</v>
      </c>
      <c r="G188" s="18" t="str">
        <f>IF(Table5[[#This Row],[ShiftCounter]]&gt;0,"Running","Down")</f>
        <v>Down</v>
      </c>
      <c r="H188" s="18" t="str">
        <f t="shared" si="14"/>
        <v>18</v>
      </c>
      <c r="I188" s="18" t="str">
        <f t="shared" si="15"/>
        <v>SHI SE350E</v>
      </c>
      <c r="J188" s="18">
        <v>0</v>
      </c>
      <c r="K188" s="15">
        <v>0</v>
      </c>
      <c r="L188" s="15">
        <v>0</v>
      </c>
      <c r="M188" s="15">
        <v>0</v>
      </c>
      <c r="N188" s="18">
        <f t="shared" si="13"/>
        <v>12.4</v>
      </c>
      <c r="O188" s="18"/>
      <c r="P188" s="18" t="s">
        <v>147</v>
      </c>
    </row>
    <row r="189" spans="1:16" ht="15" customHeight="1" x14ac:dyDescent="0.25">
      <c r="A189" s="16">
        <f t="shared" si="7"/>
        <v>45415</v>
      </c>
      <c r="B189" s="18" t="s">
        <v>103</v>
      </c>
      <c r="C189" s="18" t="s">
        <v>8</v>
      </c>
      <c r="D189" s="18" t="s">
        <v>179</v>
      </c>
      <c r="E189" s="18" t="s">
        <v>81</v>
      </c>
      <c r="F189" s="18" t="s">
        <v>90</v>
      </c>
      <c r="G189" s="18" t="str">
        <f>IF(Table5[[#This Row],[ShiftCounter]]&gt;0,"Running","Down")</f>
        <v>Down</v>
      </c>
      <c r="H189" s="18" t="str">
        <f t="shared" si="14"/>
        <v>19</v>
      </c>
      <c r="I189" s="18" t="str">
        <f t="shared" si="15"/>
        <v>SHI SE450E</v>
      </c>
      <c r="J189" s="18">
        <v>0</v>
      </c>
      <c r="K189" s="15">
        <v>0</v>
      </c>
      <c r="L189" s="15">
        <v>0</v>
      </c>
      <c r="M189" s="15">
        <v>0</v>
      </c>
      <c r="N189" s="18">
        <f t="shared" si="13"/>
        <v>41.9</v>
      </c>
      <c r="O189" s="18"/>
      <c r="P189" s="18" t="s">
        <v>187</v>
      </c>
    </row>
    <row r="190" spans="1:16" ht="15" customHeight="1" x14ac:dyDescent="0.25">
      <c r="A190" s="16">
        <f t="shared" si="7"/>
        <v>45415</v>
      </c>
      <c r="B190" s="18" t="s">
        <v>101</v>
      </c>
      <c r="C190" s="18" t="s">
        <v>8</v>
      </c>
      <c r="D190" s="18" t="s">
        <v>249</v>
      </c>
      <c r="E190" s="18" t="s">
        <v>81</v>
      </c>
      <c r="F190" s="18" t="s">
        <v>285</v>
      </c>
      <c r="G190" s="18" t="str">
        <f>IF(Table5[[#This Row],[ShiftCounter]]&gt;0,"Running","Down")</f>
        <v>Down</v>
      </c>
      <c r="H190" s="18" t="str">
        <f t="shared" si="14"/>
        <v>1A</v>
      </c>
      <c r="I190" s="18" t="str">
        <f t="shared" si="15"/>
        <v>SHI SE350E</v>
      </c>
      <c r="J190" s="18">
        <v>0</v>
      </c>
      <c r="K190" s="15">
        <v>0</v>
      </c>
      <c r="L190" s="15">
        <v>0</v>
      </c>
      <c r="M190" s="15">
        <v>0</v>
      </c>
      <c r="N190" s="18">
        <f t="shared" si="13"/>
        <v>12.3</v>
      </c>
      <c r="O190" s="18"/>
      <c r="P190" s="18" t="s">
        <v>152</v>
      </c>
    </row>
    <row r="191" spans="1:16" ht="15" customHeight="1" x14ac:dyDescent="0.25">
      <c r="A191" s="16">
        <f t="shared" si="7"/>
        <v>45415</v>
      </c>
      <c r="B191" s="18" t="s">
        <v>99</v>
      </c>
      <c r="C191" s="18" t="s">
        <v>8</v>
      </c>
      <c r="D191" s="18" t="s">
        <v>252</v>
      </c>
      <c r="E191" s="18" t="s">
        <v>361</v>
      </c>
      <c r="F191" s="18" t="s">
        <v>285</v>
      </c>
      <c r="G191" s="18" t="str">
        <f>IF(Table5[[#This Row],[ShiftCounter]]&gt;0,"Running","Down")</f>
        <v>Down</v>
      </c>
      <c r="H191" s="18" t="str">
        <f t="shared" si="14"/>
        <v>1B</v>
      </c>
      <c r="I191" s="18" t="str">
        <f t="shared" si="15"/>
        <v/>
      </c>
      <c r="J191" s="18">
        <v>0</v>
      </c>
      <c r="K191" s="15">
        <v>0</v>
      </c>
      <c r="L191" s="15">
        <v>0</v>
      </c>
      <c r="M191" s="15">
        <v>0</v>
      </c>
      <c r="N191" s="18">
        <f t="shared" si="13"/>
        <v>41.52</v>
      </c>
      <c r="O191" s="18"/>
      <c r="P191" s="18" t="s">
        <v>152</v>
      </c>
    </row>
    <row r="192" spans="1:16" ht="15" customHeight="1" x14ac:dyDescent="0.25">
      <c r="A192" s="16">
        <f t="shared" si="7"/>
        <v>45415</v>
      </c>
      <c r="B192" s="18" t="s">
        <v>97</v>
      </c>
      <c r="C192" s="18" t="s">
        <v>8</v>
      </c>
      <c r="D192" s="18" t="s">
        <v>288</v>
      </c>
      <c r="E192" s="18" t="s">
        <v>352</v>
      </c>
      <c r="F192" s="18" t="s">
        <v>285</v>
      </c>
      <c r="G192" s="18" t="str">
        <f>IF(Table5[[#This Row],[ShiftCounter]]&gt;0,"Running","Down")</f>
        <v>Down</v>
      </c>
      <c r="H192" s="18" t="str">
        <f t="shared" si="14"/>
        <v>1C</v>
      </c>
      <c r="I192" s="18" t="str">
        <f t="shared" si="15"/>
        <v>SHI SE350E</v>
      </c>
      <c r="J192" s="18">
        <v>0</v>
      </c>
      <c r="K192" s="15">
        <v>0</v>
      </c>
      <c r="L192" s="15">
        <v>0</v>
      </c>
      <c r="M192" s="15">
        <v>0</v>
      </c>
      <c r="N192" s="18">
        <f t="shared" ref="N192:N223" si="16">N34</f>
        <v>18.39</v>
      </c>
      <c r="O192" s="18"/>
      <c r="P192" s="18" t="s">
        <v>148</v>
      </c>
    </row>
    <row r="193" spans="1:16" ht="15" customHeight="1" x14ac:dyDescent="0.25">
      <c r="A193" s="16">
        <f t="shared" si="7"/>
        <v>45415</v>
      </c>
      <c r="B193" s="18" t="s">
        <v>95</v>
      </c>
      <c r="C193" s="18" t="s">
        <v>8</v>
      </c>
      <c r="D193" s="18" t="s">
        <v>181</v>
      </c>
      <c r="E193" s="18" t="s">
        <v>81</v>
      </c>
      <c r="F193" s="18" t="s">
        <v>90</v>
      </c>
      <c r="G193" s="18" t="str">
        <f>IF(Table5[[#This Row],[ShiftCounter]]&gt;0,"Running","Down")</f>
        <v>Down</v>
      </c>
      <c r="H193" s="18" t="str">
        <f t="shared" si="14"/>
        <v>1D</v>
      </c>
      <c r="I193" s="18" t="str">
        <f t="shared" ref="I193:I224" si="17">IF(ISBLANK(I35),"",I35)</f>
        <v>SHI SE450E</v>
      </c>
      <c r="J193" s="18">
        <v>0</v>
      </c>
      <c r="K193" s="15">
        <v>0</v>
      </c>
      <c r="L193" s="15">
        <v>0</v>
      </c>
      <c r="M193" s="15">
        <v>0</v>
      </c>
      <c r="N193" s="18">
        <f t="shared" si="16"/>
        <v>21.63</v>
      </c>
      <c r="O193" s="18"/>
      <c r="P193" s="18" t="s">
        <v>152</v>
      </c>
    </row>
    <row r="194" spans="1:16" ht="15" customHeight="1" x14ac:dyDescent="0.25">
      <c r="A194" s="16">
        <f t="shared" si="7"/>
        <v>45415</v>
      </c>
      <c r="B194" s="18" t="s">
        <v>14</v>
      </c>
      <c r="C194" s="18" t="s">
        <v>8</v>
      </c>
      <c r="D194" s="18" t="s">
        <v>289</v>
      </c>
      <c r="E194" s="18" t="s">
        <v>352</v>
      </c>
      <c r="F194" s="18" t="s">
        <v>285</v>
      </c>
      <c r="G194" s="18" t="str">
        <f>IF(Table5[[#This Row],[ShiftCounter]]&gt;0,"Running","Down")</f>
        <v>Down</v>
      </c>
      <c r="H194" s="18" t="str">
        <f t="shared" si="14"/>
        <v>1E</v>
      </c>
      <c r="I194" s="18" t="str">
        <f t="shared" si="17"/>
        <v>SHI SE350E</v>
      </c>
      <c r="J194" s="18">
        <v>0</v>
      </c>
      <c r="K194" s="15">
        <v>0</v>
      </c>
      <c r="L194" s="15">
        <v>0</v>
      </c>
      <c r="M194" s="15">
        <v>0</v>
      </c>
      <c r="N194" s="18">
        <f t="shared" si="16"/>
        <v>22.39</v>
      </c>
      <c r="O194" s="18"/>
      <c r="P194" s="18" t="s">
        <v>151</v>
      </c>
    </row>
    <row r="195" spans="1:16" ht="15" customHeight="1" x14ac:dyDescent="0.25">
      <c r="A195" s="16">
        <f t="shared" si="7"/>
        <v>45415</v>
      </c>
      <c r="B195" s="18" t="s">
        <v>91</v>
      </c>
      <c r="C195" s="18" t="s">
        <v>8</v>
      </c>
      <c r="D195" s="18" t="s">
        <v>180</v>
      </c>
      <c r="E195" s="18" t="s">
        <v>81</v>
      </c>
      <c r="F195" s="18" t="s">
        <v>90</v>
      </c>
      <c r="G195" s="18" t="str">
        <f>IF(Table5[[#This Row],[ShiftCounter]]&gt;0,"Running","Down")</f>
        <v>Down</v>
      </c>
      <c r="H195" s="18" t="str">
        <f t="shared" si="14"/>
        <v>1F</v>
      </c>
      <c r="I195" s="18" t="str">
        <f t="shared" si="17"/>
        <v/>
      </c>
      <c r="J195" s="18">
        <v>0</v>
      </c>
      <c r="K195" s="15">
        <v>0</v>
      </c>
      <c r="L195" s="15">
        <v>0</v>
      </c>
      <c r="M195" s="15">
        <v>0</v>
      </c>
      <c r="N195" s="18">
        <f t="shared" si="16"/>
        <v>0</v>
      </c>
      <c r="O195" s="18"/>
      <c r="P195" s="18" t="s">
        <v>148</v>
      </c>
    </row>
    <row r="196" spans="1:16" ht="15" customHeight="1" x14ac:dyDescent="0.25">
      <c r="A196" s="16">
        <f t="shared" si="7"/>
        <v>45415</v>
      </c>
      <c r="B196" s="18" t="s">
        <v>15</v>
      </c>
      <c r="C196" s="18" t="s">
        <v>8</v>
      </c>
      <c r="D196" s="18" t="s">
        <v>140</v>
      </c>
      <c r="E196" s="18" t="s">
        <v>342</v>
      </c>
      <c r="F196" s="18" t="s">
        <v>93</v>
      </c>
      <c r="G196" s="18" t="str">
        <f>IF(Table5[[#This Row],[ShiftCounter]]&gt;0,"Running","Down")</f>
        <v>Down</v>
      </c>
      <c r="H196" s="18" t="str">
        <f t="shared" si="14"/>
        <v>20</v>
      </c>
      <c r="I196" s="18" t="str">
        <f t="shared" si="17"/>
        <v>SHI SE350E</v>
      </c>
      <c r="J196" s="18">
        <v>0</v>
      </c>
      <c r="K196" s="15">
        <v>0</v>
      </c>
      <c r="L196" s="15">
        <v>0</v>
      </c>
      <c r="M196" s="15">
        <v>0</v>
      </c>
      <c r="N196" s="18">
        <f t="shared" si="16"/>
        <v>18.489999999999998</v>
      </c>
      <c r="O196" s="18"/>
      <c r="P196" s="18" t="s">
        <v>148</v>
      </c>
    </row>
    <row r="197" spans="1:16" ht="15" customHeight="1" x14ac:dyDescent="0.25">
      <c r="A197" s="16">
        <f t="shared" si="7"/>
        <v>45415</v>
      </c>
      <c r="B197" s="18" t="s">
        <v>89</v>
      </c>
      <c r="C197" s="18" t="s">
        <v>8</v>
      </c>
      <c r="D197" s="18" t="s">
        <v>176</v>
      </c>
      <c r="E197" s="18" t="s">
        <v>321</v>
      </c>
      <c r="F197" s="18" t="s">
        <v>90</v>
      </c>
      <c r="G197" s="18" t="str">
        <f>IF(Table5[[#This Row],[ShiftCounter]]&gt;0,"Running","Down")</f>
        <v>Down</v>
      </c>
      <c r="H197" s="18" t="str">
        <f t="shared" si="14"/>
        <v>21</v>
      </c>
      <c r="I197" s="18" t="str">
        <f t="shared" si="17"/>
        <v>SHI SE450E</v>
      </c>
      <c r="J197" s="18">
        <v>0</v>
      </c>
      <c r="K197" s="15">
        <v>0</v>
      </c>
      <c r="L197" s="15">
        <v>0</v>
      </c>
      <c r="M197" s="15">
        <v>0</v>
      </c>
      <c r="N197" s="18">
        <f t="shared" si="16"/>
        <v>18.8</v>
      </c>
      <c r="O197" s="18"/>
      <c r="P197" s="18" t="s">
        <v>186</v>
      </c>
    </row>
    <row r="198" spans="1:16" ht="15" customHeight="1" x14ac:dyDescent="0.25">
      <c r="A198" s="16">
        <f t="shared" si="7"/>
        <v>45415</v>
      </c>
      <c r="B198" s="18" t="s">
        <v>16</v>
      </c>
      <c r="C198" s="18" t="s">
        <v>8</v>
      </c>
      <c r="D198" s="18" t="s">
        <v>194</v>
      </c>
      <c r="E198" s="18" t="s">
        <v>342</v>
      </c>
      <c r="F198" s="18" t="s">
        <v>93</v>
      </c>
      <c r="G198" s="18" t="str">
        <f>IF(Table5[[#This Row],[ShiftCounter]]&gt;0,"Running","Down")</f>
        <v>Down</v>
      </c>
      <c r="H198" s="18" t="str">
        <f t="shared" si="14"/>
        <v>22</v>
      </c>
      <c r="I198" s="18" t="str">
        <f t="shared" si="17"/>
        <v>SHI SE350E</v>
      </c>
      <c r="J198" s="18">
        <v>0</v>
      </c>
      <c r="K198" s="15">
        <v>0</v>
      </c>
      <c r="L198" s="15">
        <v>0</v>
      </c>
      <c r="M198" s="15">
        <v>0</v>
      </c>
      <c r="N198" s="18">
        <f t="shared" si="16"/>
        <v>24</v>
      </c>
      <c r="O198" s="18"/>
      <c r="P198" s="18" t="s">
        <v>151</v>
      </c>
    </row>
    <row r="199" spans="1:16" ht="15" customHeight="1" x14ac:dyDescent="0.25">
      <c r="A199" s="16">
        <f t="shared" ref="A199:A238" si="18">$A$2</f>
        <v>45415</v>
      </c>
      <c r="B199" s="18" t="s">
        <v>88</v>
      </c>
      <c r="C199" s="18" t="s">
        <v>8</v>
      </c>
      <c r="D199" s="18" t="s">
        <v>302</v>
      </c>
      <c r="E199" s="18" t="s">
        <v>335</v>
      </c>
      <c r="F199" s="18" t="s">
        <v>285</v>
      </c>
      <c r="G199" s="18" t="str">
        <f>IF(Table5[[#This Row],[ShiftCounter]]&gt;0,"Running","Down")</f>
        <v>Down</v>
      </c>
      <c r="H199" s="18" t="str">
        <f t="shared" si="14"/>
        <v>23</v>
      </c>
      <c r="I199" s="18" t="str">
        <f t="shared" si="17"/>
        <v/>
      </c>
      <c r="J199" s="18">
        <v>0</v>
      </c>
      <c r="K199" s="15">
        <v>0</v>
      </c>
      <c r="L199" s="15">
        <v>0</v>
      </c>
      <c r="M199" s="15">
        <v>0</v>
      </c>
      <c r="N199" s="18">
        <f t="shared" si="16"/>
        <v>41.63</v>
      </c>
      <c r="O199" s="18"/>
      <c r="P199" s="18" t="s">
        <v>148</v>
      </c>
    </row>
    <row r="200" spans="1:16" ht="15" customHeight="1" x14ac:dyDescent="0.25">
      <c r="A200" s="16">
        <f t="shared" si="18"/>
        <v>45415</v>
      </c>
      <c r="B200" s="18" t="s">
        <v>17</v>
      </c>
      <c r="C200" s="18" t="s">
        <v>8</v>
      </c>
      <c r="D200" s="18" t="s">
        <v>272</v>
      </c>
      <c r="E200" s="18" t="s">
        <v>275</v>
      </c>
      <c r="F200" s="18" t="s">
        <v>276</v>
      </c>
      <c r="G200" s="18" t="str">
        <f>IF(Table5[[#This Row],[ShiftCounter]]&gt;0,"Running","Down")</f>
        <v>Down</v>
      </c>
      <c r="H200" s="18" t="str">
        <f t="shared" si="14"/>
        <v>24</v>
      </c>
      <c r="I200" s="18" t="str">
        <f t="shared" si="17"/>
        <v>SHI SE350E</v>
      </c>
      <c r="J200" s="18">
        <v>0</v>
      </c>
      <c r="K200" s="15">
        <v>0</v>
      </c>
      <c r="L200" s="15">
        <v>0</v>
      </c>
      <c r="M200" s="15">
        <v>0</v>
      </c>
      <c r="N200" s="18">
        <f t="shared" si="16"/>
        <v>22.08</v>
      </c>
      <c r="O200" s="18"/>
      <c r="P200" s="18" t="s">
        <v>151</v>
      </c>
    </row>
    <row r="201" spans="1:16" ht="15" customHeight="1" x14ac:dyDescent="0.25">
      <c r="A201" s="16">
        <f t="shared" si="18"/>
        <v>45415</v>
      </c>
      <c r="B201" s="18" t="s">
        <v>19</v>
      </c>
      <c r="C201" s="18" t="s">
        <v>8</v>
      </c>
      <c r="D201" s="18" t="s">
        <v>343</v>
      </c>
      <c r="E201" s="18" t="s">
        <v>81</v>
      </c>
      <c r="F201" s="18" t="s">
        <v>253</v>
      </c>
      <c r="G201" s="18" t="str">
        <f>IF(Table5[[#This Row],[ShiftCounter]]&gt;0,"Running","Down")</f>
        <v>Down</v>
      </c>
      <c r="H201" s="18" t="str">
        <f t="shared" si="14"/>
        <v>25</v>
      </c>
      <c r="I201" s="18" t="str">
        <f t="shared" si="17"/>
        <v>SHI SE450E</v>
      </c>
      <c r="J201" s="18">
        <v>0</v>
      </c>
      <c r="K201" s="15">
        <v>0</v>
      </c>
      <c r="L201" s="15">
        <v>0</v>
      </c>
      <c r="M201" s="15">
        <v>0</v>
      </c>
      <c r="N201" s="18">
        <f t="shared" si="16"/>
        <v>41.85</v>
      </c>
      <c r="O201" s="18"/>
      <c r="P201" s="18" t="s">
        <v>151</v>
      </c>
    </row>
    <row r="202" spans="1:16" ht="15" customHeight="1" x14ac:dyDescent="0.25">
      <c r="A202" s="16">
        <f t="shared" si="18"/>
        <v>45415</v>
      </c>
      <c r="B202" s="18" t="s">
        <v>18</v>
      </c>
      <c r="C202" s="18" t="s">
        <v>8</v>
      </c>
      <c r="D202" s="18" t="s">
        <v>268</v>
      </c>
      <c r="E202" s="18" t="s">
        <v>275</v>
      </c>
      <c r="F202" s="18" t="s">
        <v>276</v>
      </c>
      <c r="G202" s="18" t="str">
        <f>IF(Table5[[#This Row],[ShiftCounter]]&gt;0,"Running","Down")</f>
        <v>Down</v>
      </c>
      <c r="H202" s="18" t="str">
        <f t="shared" si="14"/>
        <v>26</v>
      </c>
      <c r="I202" s="18" t="str">
        <f t="shared" si="17"/>
        <v>SHI SE350E</v>
      </c>
      <c r="J202" s="18">
        <v>0</v>
      </c>
      <c r="K202" s="15">
        <v>0</v>
      </c>
      <c r="L202" s="15">
        <v>0</v>
      </c>
      <c r="M202" s="15">
        <v>0</v>
      </c>
      <c r="N202" s="18">
        <f t="shared" si="16"/>
        <v>18.29</v>
      </c>
      <c r="O202" s="18"/>
      <c r="P202" s="18" t="s">
        <v>148</v>
      </c>
    </row>
    <row r="203" spans="1:16" ht="15" customHeight="1" x14ac:dyDescent="0.25">
      <c r="A203" s="16">
        <f t="shared" si="18"/>
        <v>45415</v>
      </c>
      <c r="B203" s="18" t="s">
        <v>87</v>
      </c>
      <c r="C203" s="18" t="s">
        <v>8</v>
      </c>
      <c r="D203" s="18"/>
      <c r="E203" s="18"/>
      <c r="F203" s="18"/>
      <c r="G203" s="18" t="str">
        <f>IF(Table5[[#This Row],[ShiftCounter]]&gt;0,"Running","Down")</f>
        <v>Down</v>
      </c>
      <c r="H203" s="18" t="str">
        <f t="shared" si="14"/>
        <v>27</v>
      </c>
      <c r="I203" s="18" t="str">
        <f t="shared" si="17"/>
        <v/>
      </c>
      <c r="J203" s="18">
        <v>0</v>
      </c>
      <c r="K203" s="15">
        <v>0</v>
      </c>
      <c r="L203" s="15">
        <v>0</v>
      </c>
      <c r="M203" s="15">
        <v>0</v>
      </c>
      <c r="N203" s="18">
        <f t="shared" si="16"/>
        <v>41146219</v>
      </c>
      <c r="O203" s="18"/>
      <c r="P203" s="18"/>
    </row>
    <row r="204" spans="1:16" ht="15" customHeight="1" x14ac:dyDescent="0.25">
      <c r="A204" s="16">
        <f t="shared" si="18"/>
        <v>45415</v>
      </c>
      <c r="B204" s="18" t="s">
        <v>42</v>
      </c>
      <c r="C204" s="18" t="s">
        <v>8</v>
      </c>
      <c r="D204" s="18" t="s">
        <v>246</v>
      </c>
      <c r="E204" s="18" t="s">
        <v>81</v>
      </c>
      <c r="F204" s="18" t="s">
        <v>253</v>
      </c>
      <c r="G204" s="18" t="str">
        <f>IF(Table5[[#This Row],[ShiftCounter]]&gt;0,"Running","Down")</f>
        <v>Down</v>
      </c>
      <c r="H204" s="18" t="str">
        <f t="shared" si="14"/>
        <v>28</v>
      </c>
      <c r="I204" s="18" t="str">
        <f t="shared" si="17"/>
        <v>SHI SE350E</v>
      </c>
      <c r="J204" s="18">
        <v>0</v>
      </c>
      <c r="K204" s="15">
        <v>0</v>
      </c>
      <c r="L204" s="15">
        <v>0</v>
      </c>
      <c r="M204" s="15">
        <v>0</v>
      </c>
      <c r="N204" s="18">
        <f t="shared" si="16"/>
        <v>17.71</v>
      </c>
      <c r="O204" s="18"/>
      <c r="P204" s="18" t="s">
        <v>148</v>
      </c>
    </row>
    <row r="205" spans="1:16" ht="15" customHeight="1" x14ac:dyDescent="0.25">
      <c r="A205" s="16">
        <f t="shared" si="18"/>
        <v>45415</v>
      </c>
      <c r="B205" s="18" t="s">
        <v>86</v>
      </c>
      <c r="C205" s="18" t="s">
        <v>8</v>
      </c>
      <c r="D205" s="18" t="s">
        <v>362</v>
      </c>
      <c r="E205" s="18" t="s">
        <v>81</v>
      </c>
      <c r="F205" s="18" t="s">
        <v>285</v>
      </c>
      <c r="G205" s="18" t="str">
        <f>IF(Table5[[#This Row],[ShiftCounter]]&gt;0,"Running","Down")</f>
        <v>Down</v>
      </c>
      <c r="H205" s="18" t="str">
        <f t="shared" si="14"/>
        <v>29</v>
      </c>
      <c r="I205" s="18" t="str">
        <f t="shared" si="17"/>
        <v>SHI SE450E</v>
      </c>
      <c r="J205" s="18">
        <v>0</v>
      </c>
      <c r="K205" s="15">
        <v>0</v>
      </c>
      <c r="L205" s="15">
        <v>0</v>
      </c>
      <c r="M205" s="15">
        <v>0</v>
      </c>
      <c r="N205" s="18">
        <f t="shared" si="16"/>
        <v>22978211</v>
      </c>
      <c r="O205" s="18"/>
      <c r="P205" s="18" t="s">
        <v>152</v>
      </c>
    </row>
    <row r="206" spans="1:16" ht="15" customHeight="1" x14ac:dyDescent="0.25">
      <c r="A206" s="16">
        <f t="shared" si="18"/>
        <v>45415</v>
      </c>
      <c r="B206" s="18" t="s">
        <v>38</v>
      </c>
      <c r="C206" s="18" t="s">
        <v>8</v>
      </c>
      <c r="D206" s="18" t="s">
        <v>141</v>
      </c>
      <c r="E206" s="18" t="s">
        <v>81</v>
      </c>
      <c r="F206" s="18" t="s">
        <v>253</v>
      </c>
      <c r="G206" s="18" t="str">
        <f>IF(Table5[[#This Row],[ShiftCounter]]&gt;0,"Running","Down")</f>
        <v>Down</v>
      </c>
      <c r="H206" s="18" t="str">
        <f t="shared" si="14"/>
        <v>2A</v>
      </c>
      <c r="I206" s="18" t="str">
        <f t="shared" si="17"/>
        <v>SHI SE350E</v>
      </c>
      <c r="J206" s="18">
        <v>0</v>
      </c>
      <c r="K206" s="15">
        <v>0</v>
      </c>
      <c r="L206" s="15">
        <v>0</v>
      </c>
      <c r="M206" s="15">
        <v>0</v>
      </c>
      <c r="N206" s="18">
        <f t="shared" si="16"/>
        <v>12.47</v>
      </c>
      <c r="O206" s="18"/>
      <c r="P206" s="18" t="s">
        <v>151</v>
      </c>
    </row>
    <row r="207" spans="1:16" ht="15" customHeight="1" x14ac:dyDescent="0.25">
      <c r="A207" s="16">
        <f t="shared" si="18"/>
        <v>45415</v>
      </c>
      <c r="B207" s="18" t="s">
        <v>83</v>
      </c>
      <c r="C207" s="18" t="s">
        <v>8</v>
      </c>
      <c r="D207" s="18"/>
      <c r="E207" s="18"/>
      <c r="F207" s="18"/>
      <c r="G207" s="18" t="str">
        <f>IF(Table5[[#This Row],[ShiftCounter]]&gt;0,"Running","Down")</f>
        <v>Down</v>
      </c>
      <c r="H207" s="18" t="str">
        <f t="shared" si="14"/>
        <v>2B</v>
      </c>
      <c r="I207" s="18" t="str">
        <f t="shared" si="17"/>
        <v/>
      </c>
      <c r="J207" s="18">
        <v>0</v>
      </c>
      <c r="K207" s="15">
        <v>0</v>
      </c>
      <c r="L207" s="15">
        <v>0</v>
      </c>
      <c r="M207" s="15">
        <v>0</v>
      </c>
      <c r="N207" s="18">
        <f t="shared" si="16"/>
        <v>41.18</v>
      </c>
      <c r="O207" s="18"/>
      <c r="P207" s="18"/>
    </row>
    <row r="208" spans="1:16" ht="15" customHeight="1" x14ac:dyDescent="0.25">
      <c r="A208" s="16">
        <f t="shared" si="18"/>
        <v>45415</v>
      </c>
      <c r="B208" s="18" t="s">
        <v>20</v>
      </c>
      <c r="C208" s="18" t="s">
        <v>8</v>
      </c>
      <c r="D208" s="18" t="s">
        <v>351</v>
      </c>
      <c r="E208" s="18" t="s">
        <v>352</v>
      </c>
      <c r="F208" s="18" t="s">
        <v>285</v>
      </c>
      <c r="G208" s="18" t="str">
        <f>IF(Table5[[#This Row],[ShiftCounter]]&gt;0,"Running","Down")</f>
        <v>Down</v>
      </c>
      <c r="H208" s="18" t="str">
        <f t="shared" si="14"/>
        <v>2C</v>
      </c>
      <c r="I208" s="18" t="str">
        <f t="shared" si="17"/>
        <v>SHI SE350E</v>
      </c>
      <c r="J208" s="18">
        <v>0</v>
      </c>
      <c r="K208" s="15">
        <v>0</v>
      </c>
      <c r="L208" s="15">
        <v>0</v>
      </c>
      <c r="M208" s="15">
        <v>0</v>
      </c>
      <c r="N208" s="18">
        <f t="shared" si="16"/>
        <v>10.62</v>
      </c>
      <c r="O208" s="18"/>
      <c r="P208" s="18" t="s">
        <v>151</v>
      </c>
    </row>
    <row r="209" spans="1:16" ht="15" customHeight="1" x14ac:dyDescent="0.25">
      <c r="A209" s="16">
        <f t="shared" si="18"/>
        <v>45415</v>
      </c>
      <c r="B209" s="18" t="s">
        <v>21</v>
      </c>
      <c r="C209" s="18" t="s">
        <v>8</v>
      </c>
      <c r="D209" s="18" t="s">
        <v>291</v>
      </c>
      <c r="E209" s="18" t="s">
        <v>352</v>
      </c>
      <c r="F209" s="18" t="s">
        <v>285</v>
      </c>
      <c r="G209" s="18" t="str">
        <f>IF(Table5[[#This Row],[ShiftCounter]]&gt;0,"Running","Down")</f>
        <v>Down</v>
      </c>
      <c r="H209" s="18" t="str">
        <f t="shared" si="14"/>
        <v>2D</v>
      </c>
      <c r="I209" s="18" t="str">
        <f t="shared" si="17"/>
        <v>SHI SE450E</v>
      </c>
      <c r="J209" s="18">
        <v>0</v>
      </c>
      <c r="K209" s="15">
        <v>0</v>
      </c>
      <c r="L209" s="15">
        <v>0</v>
      </c>
      <c r="M209" s="15">
        <v>0</v>
      </c>
      <c r="N209" s="18">
        <f t="shared" si="16"/>
        <v>22.62</v>
      </c>
      <c r="O209" s="18"/>
      <c r="P209" s="18" t="s">
        <v>152</v>
      </c>
    </row>
    <row r="210" spans="1:16" ht="15" customHeight="1" x14ac:dyDescent="0.25">
      <c r="A210" s="16">
        <f t="shared" si="18"/>
        <v>45415</v>
      </c>
      <c r="B210" s="18" t="s">
        <v>22</v>
      </c>
      <c r="C210" s="18" t="s">
        <v>8</v>
      </c>
      <c r="D210" s="18" t="s">
        <v>353</v>
      </c>
      <c r="E210" s="18" t="s">
        <v>352</v>
      </c>
      <c r="F210" s="18" t="s">
        <v>285</v>
      </c>
      <c r="G210" s="18" t="str">
        <f>IF(Table5[[#This Row],[ShiftCounter]]&gt;0,"Running","Down")</f>
        <v>Down</v>
      </c>
      <c r="H210" s="18" t="str">
        <f t="shared" si="14"/>
        <v>2E</v>
      </c>
      <c r="I210" s="18" t="str">
        <f t="shared" si="17"/>
        <v>SHI SE350E</v>
      </c>
      <c r="J210" s="18">
        <v>0</v>
      </c>
      <c r="K210" s="15">
        <v>0</v>
      </c>
      <c r="L210" s="15">
        <v>0</v>
      </c>
      <c r="M210" s="15">
        <v>0</v>
      </c>
      <c r="N210" s="18">
        <f t="shared" si="16"/>
        <v>14.6</v>
      </c>
      <c r="O210" s="18"/>
      <c r="P210" s="18" t="s">
        <v>148</v>
      </c>
    </row>
    <row r="211" spans="1:16" ht="15" customHeight="1" x14ac:dyDescent="0.25">
      <c r="A211" s="16">
        <f t="shared" si="18"/>
        <v>45415</v>
      </c>
      <c r="B211" s="18" t="s">
        <v>77</v>
      </c>
      <c r="C211" s="18" t="s">
        <v>8</v>
      </c>
      <c r="D211" s="18"/>
      <c r="E211" s="18"/>
      <c r="F211" s="18"/>
      <c r="G211" s="18" t="str">
        <f>IF(Table5[[#This Row],[ShiftCounter]]&gt;0,"Running","Down")</f>
        <v>Down</v>
      </c>
      <c r="H211" s="18" t="str">
        <f t="shared" si="14"/>
        <v>2F</v>
      </c>
      <c r="I211" s="18" t="str">
        <f t="shared" si="17"/>
        <v/>
      </c>
      <c r="J211" s="18">
        <v>0</v>
      </c>
      <c r="K211" s="15">
        <v>0</v>
      </c>
      <c r="L211" s="15">
        <v>0</v>
      </c>
      <c r="M211" s="15">
        <v>0</v>
      </c>
      <c r="N211" s="18">
        <f t="shared" si="16"/>
        <v>13.49</v>
      </c>
      <c r="O211" s="18"/>
      <c r="P211" s="18"/>
    </row>
    <row r="212" spans="1:16" ht="15" customHeight="1" x14ac:dyDescent="0.25">
      <c r="A212" s="16">
        <f t="shared" si="18"/>
        <v>45415</v>
      </c>
      <c r="B212" s="18" t="s">
        <v>23</v>
      </c>
      <c r="C212" s="18" t="s">
        <v>8</v>
      </c>
      <c r="D212" s="18" t="s">
        <v>299</v>
      </c>
      <c r="E212" s="18" t="s">
        <v>335</v>
      </c>
      <c r="F212" s="18" t="s">
        <v>285</v>
      </c>
      <c r="G212" s="18" t="str">
        <f>IF(Table5[[#This Row],[ShiftCounter]]&gt;0,"Running","Down")</f>
        <v>Down</v>
      </c>
      <c r="H212" s="18" t="str">
        <f t="shared" si="14"/>
        <v>30</v>
      </c>
      <c r="I212" s="18" t="str">
        <f t="shared" si="17"/>
        <v>SHI SE350E</v>
      </c>
      <c r="J212" s="18">
        <v>0</v>
      </c>
      <c r="K212" s="15">
        <v>0</v>
      </c>
      <c r="L212" s="15">
        <v>0</v>
      </c>
      <c r="M212" s="15">
        <v>0</v>
      </c>
      <c r="N212" s="18">
        <f t="shared" si="16"/>
        <v>12.39</v>
      </c>
      <c r="O212" s="18"/>
      <c r="P212" s="18" t="s">
        <v>148</v>
      </c>
    </row>
    <row r="213" spans="1:16" ht="15" customHeight="1" x14ac:dyDescent="0.25">
      <c r="A213" s="16">
        <f t="shared" si="18"/>
        <v>45415</v>
      </c>
      <c r="B213" s="18" t="s">
        <v>24</v>
      </c>
      <c r="C213" s="18" t="s">
        <v>8</v>
      </c>
      <c r="D213" s="18" t="s">
        <v>344</v>
      </c>
      <c r="E213" s="18" t="s">
        <v>81</v>
      </c>
      <c r="F213" s="18" t="s">
        <v>253</v>
      </c>
      <c r="G213" s="18" t="str">
        <f>IF(Table5[[#This Row],[ShiftCounter]]&gt;0,"Running","Down")</f>
        <v>Down</v>
      </c>
      <c r="H213" s="18" t="str">
        <f t="shared" si="14"/>
        <v>31</v>
      </c>
      <c r="I213" s="18" t="str">
        <f t="shared" si="17"/>
        <v>SHI SE450E</v>
      </c>
      <c r="J213" s="18">
        <v>0</v>
      </c>
      <c r="K213" s="15">
        <v>0</v>
      </c>
      <c r="L213" s="15">
        <v>0</v>
      </c>
      <c r="M213" s="15">
        <v>0</v>
      </c>
      <c r="N213" s="18">
        <f t="shared" si="16"/>
        <v>13.29</v>
      </c>
      <c r="O213" s="18"/>
      <c r="P213" s="18" t="s">
        <v>152</v>
      </c>
    </row>
    <row r="214" spans="1:16" ht="15" customHeight="1" x14ac:dyDescent="0.25">
      <c r="A214" s="16">
        <f t="shared" si="18"/>
        <v>45415</v>
      </c>
      <c r="B214" s="18" t="s">
        <v>75</v>
      </c>
      <c r="C214" s="18" t="s">
        <v>8</v>
      </c>
      <c r="D214" s="18" t="s">
        <v>364</v>
      </c>
      <c r="E214" s="18" t="s">
        <v>202</v>
      </c>
      <c r="F214" s="18" t="s">
        <v>346</v>
      </c>
      <c r="G214" s="18" t="str">
        <f>IF(Table5[[#This Row],[ShiftCounter]]&gt;0,"Running","Down")</f>
        <v>Down</v>
      </c>
      <c r="H214" s="18" t="str">
        <f t="shared" si="14"/>
        <v>32</v>
      </c>
      <c r="I214" s="18" t="str">
        <f t="shared" si="17"/>
        <v>SHI SE350E</v>
      </c>
      <c r="J214" s="18">
        <v>0</v>
      </c>
      <c r="K214" s="15">
        <v>0</v>
      </c>
      <c r="L214" s="15">
        <v>0</v>
      </c>
      <c r="M214" s="15">
        <v>0</v>
      </c>
      <c r="N214" s="18">
        <f t="shared" si="16"/>
        <v>14.5</v>
      </c>
      <c r="O214" s="18"/>
      <c r="P214" s="18" t="s">
        <v>273</v>
      </c>
    </row>
    <row r="215" spans="1:16" ht="15" customHeight="1" x14ac:dyDescent="0.25">
      <c r="A215" s="16">
        <f t="shared" si="18"/>
        <v>45415</v>
      </c>
      <c r="B215" s="18" t="s">
        <v>25</v>
      </c>
      <c r="C215" s="18" t="s">
        <v>8</v>
      </c>
      <c r="D215" s="18" t="s">
        <v>196</v>
      </c>
      <c r="E215" s="18" t="s">
        <v>81</v>
      </c>
      <c r="F215" s="18" t="s">
        <v>285</v>
      </c>
      <c r="G215" s="18" t="str">
        <f>IF(Table5[[#This Row],[ShiftCounter]]&gt;0,"Running","Down")</f>
        <v>Down</v>
      </c>
      <c r="H215" s="18" t="str">
        <f t="shared" si="14"/>
        <v>33</v>
      </c>
      <c r="I215" s="18" t="str">
        <f t="shared" si="17"/>
        <v>SHI SE450E</v>
      </c>
      <c r="J215" s="18">
        <v>0</v>
      </c>
      <c r="K215" s="15">
        <v>0</v>
      </c>
      <c r="L215" s="15">
        <v>0</v>
      </c>
      <c r="M215" s="15">
        <v>0</v>
      </c>
      <c r="N215" s="18">
        <f t="shared" si="16"/>
        <v>13.5</v>
      </c>
      <c r="O215" s="18"/>
      <c r="P215" s="18" t="s">
        <v>187</v>
      </c>
    </row>
    <row r="216" spans="1:16" ht="15" customHeight="1" x14ac:dyDescent="0.25">
      <c r="A216" s="16">
        <f t="shared" si="18"/>
        <v>45415</v>
      </c>
      <c r="B216" s="18" t="s">
        <v>74</v>
      </c>
      <c r="C216" s="18" t="s">
        <v>8</v>
      </c>
      <c r="D216" s="18" t="s">
        <v>292</v>
      </c>
      <c r="E216" s="18" t="s">
        <v>60</v>
      </c>
      <c r="F216" s="18" t="s">
        <v>346</v>
      </c>
      <c r="G216" s="18" t="str">
        <f>IF(Table5[[#This Row],[ShiftCounter]]&gt;0,"Running","Down")</f>
        <v>Down</v>
      </c>
      <c r="H216" s="18" t="str">
        <f t="shared" si="14"/>
        <v>34</v>
      </c>
      <c r="I216" s="18" t="str">
        <f t="shared" si="17"/>
        <v>SHI SE350E</v>
      </c>
      <c r="J216" s="18">
        <v>0</v>
      </c>
      <c r="K216" s="15">
        <v>0</v>
      </c>
      <c r="L216" s="15">
        <v>0</v>
      </c>
      <c r="M216" s="15">
        <v>0</v>
      </c>
      <c r="N216" s="18">
        <f t="shared" si="16"/>
        <v>14.8</v>
      </c>
      <c r="O216" s="18"/>
      <c r="P216" s="18" t="s">
        <v>293</v>
      </c>
    </row>
    <row r="217" spans="1:16" ht="15" customHeight="1" x14ac:dyDescent="0.25">
      <c r="A217" s="16">
        <f t="shared" si="18"/>
        <v>45415</v>
      </c>
      <c r="B217" s="18" t="s">
        <v>26</v>
      </c>
      <c r="C217" s="18" t="s">
        <v>8</v>
      </c>
      <c r="D217" s="18" t="s">
        <v>294</v>
      </c>
      <c r="E217" s="18" t="s">
        <v>56</v>
      </c>
      <c r="F217" s="18" t="s">
        <v>184</v>
      </c>
      <c r="G217" s="18" t="str">
        <f>IF(Table5[[#This Row],[ShiftCounter]]&gt;0,"Running","Down")</f>
        <v>Down</v>
      </c>
      <c r="H217" s="18" t="str">
        <f t="shared" si="14"/>
        <v>35</v>
      </c>
      <c r="I217" s="18" t="str">
        <f t="shared" si="17"/>
        <v>SHI SE450E</v>
      </c>
      <c r="J217" s="18">
        <v>0</v>
      </c>
      <c r="K217" s="15">
        <v>0</v>
      </c>
      <c r="L217" s="15">
        <v>0</v>
      </c>
      <c r="M217" s="15">
        <v>0</v>
      </c>
      <c r="N217" s="18">
        <f t="shared" si="16"/>
        <v>14</v>
      </c>
      <c r="O217" s="18"/>
      <c r="P217" s="18" t="s">
        <v>155</v>
      </c>
    </row>
    <row r="218" spans="1:16" ht="15" customHeight="1" x14ac:dyDescent="0.25">
      <c r="A218" s="16">
        <f t="shared" si="18"/>
        <v>45415</v>
      </c>
      <c r="B218" s="18" t="s">
        <v>27</v>
      </c>
      <c r="C218" s="18" t="s">
        <v>8</v>
      </c>
      <c r="D218" s="18" t="s">
        <v>277</v>
      </c>
      <c r="E218" s="18" t="s">
        <v>366</v>
      </c>
      <c r="F218" s="18" t="s">
        <v>346</v>
      </c>
      <c r="G218" s="18" t="str">
        <f>IF(Table5[[#This Row],[ShiftCounter]]&gt;0,"Running","Down")</f>
        <v>Down</v>
      </c>
      <c r="H218" s="18" t="str">
        <f t="shared" si="14"/>
        <v>36</v>
      </c>
      <c r="I218" s="18" t="str">
        <f t="shared" si="17"/>
        <v>SHI SE350E</v>
      </c>
      <c r="J218" s="18">
        <v>0</v>
      </c>
      <c r="K218" s="15">
        <v>0</v>
      </c>
      <c r="L218" s="15">
        <v>0</v>
      </c>
      <c r="M218" s="15">
        <v>0</v>
      </c>
      <c r="N218" s="18">
        <f t="shared" si="16"/>
        <v>13.5</v>
      </c>
      <c r="O218" s="18"/>
      <c r="P218" s="18" t="s">
        <v>201</v>
      </c>
    </row>
    <row r="219" spans="1:16" ht="15" customHeight="1" x14ac:dyDescent="0.25">
      <c r="A219" s="16">
        <f t="shared" si="18"/>
        <v>45415</v>
      </c>
      <c r="B219" s="18" t="s">
        <v>28</v>
      </c>
      <c r="C219" s="18" t="s">
        <v>8</v>
      </c>
      <c r="D219" s="18" t="s">
        <v>182</v>
      </c>
      <c r="E219" s="18" t="s">
        <v>56</v>
      </c>
      <c r="F219" s="18" t="s">
        <v>338</v>
      </c>
      <c r="G219" s="18" t="str">
        <f>IF(Table5[[#This Row],[ShiftCounter]]&gt;0,"Running","Down")</f>
        <v>Down</v>
      </c>
      <c r="H219" s="18" t="str">
        <f t="shared" si="14"/>
        <v>37</v>
      </c>
      <c r="I219" s="18" t="str">
        <f t="shared" si="17"/>
        <v>SHI SE450E</v>
      </c>
      <c r="J219" s="18">
        <v>0</v>
      </c>
      <c r="K219" s="15">
        <v>0</v>
      </c>
      <c r="L219" s="15">
        <v>0</v>
      </c>
      <c r="M219" s="15">
        <v>0</v>
      </c>
      <c r="N219" s="18">
        <f t="shared" si="16"/>
        <v>13.6</v>
      </c>
      <c r="O219" s="18"/>
      <c r="P219" s="18" t="s">
        <v>155</v>
      </c>
    </row>
    <row r="220" spans="1:16" ht="15" customHeight="1" x14ac:dyDescent="0.25">
      <c r="A220" s="16">
        <f t="shared" si="18"/>
        <v>45415</v>
      </c>
      <c r="B220" s="18" t="s">
        <v>72</v>
      </c>
      <c r="C220" s="18" t="s">
        <v>8</v>
      </c>
      <c r="D220" s="18" t="s">
        <v>322</v>
      </c>
      <c r="E220" s="18" t="s">
        <v>202</v>
      </c>
      <c r="F220" s="18" t="s">
        <v>346</v>
      </c>
      <c r="G220" s="18" t="str">
        <f>IF(Table5[[#This Row],[ShiftCounter]]&gt;0,"Running","Down")</f>
        <v>Down</v>
      </c>
      <c r="H220" s="18" t="str">
        <f t="shared" si="14"/>
        <v>39</v>
      </c>
      <c r="I220" s="18" t="str">
        <f t="shared" si="17"/>
        <v>SHI SE350E</v>
      </c>
      <c r="J220" s="18">
        <v>0</v>
      </c>
      <c r="K220" s="15">
        <v>0</v>
      </c>
      <c r="L220" s="15">
        <v>0</v>
      </c>
      <c r="M220" s="15">
        <v>0</v>
      </c>
      <c r="N220" s="18">
        <f t="shared" si="16"/>
        <v>15.09</v>
      </c>
      <c r="O220" s="18"/>
      <c r="P220" s="18" t="s">
        <v>157</v>
      </c>
    </row>
    <row r="221" spans="1:16" ht="15" customHeight="1" x14ac:dyDescent="0.25">
      <c r="A221" s="16">
        <f t="shared" si="18"/>
        <v>45415</v>
      </c>
      <c r="B221" s="18" t="s">
        <v>29</v>
      </c>
      <c r="C221" s="18" t="s">
        <v>8</v>
      </c>
      <c r="D221" s="18" t="s">
        <v>315</v>
      </c>
      <c r="E221" s="18" t="s">
        <v>56</v>
      </c>
      <c r="F221" s="18" t="s">
        <v>338</v>
      </c>
      <c r="G221" s="18" t="str">
        <f>IF(Table5[[#This Row],[ShiftCounter]]&gt;0,"Running","Down")</f>
        <v>Down</v>
      </c>
      <c r="H221" s="18" t="str">
        <f t="shared" si="14"/>
        <v>39</v>
      </c>
      <c r="I221" s="18" t="str">
        <f t="shared" si="17"/>
        <v>SHI SE450E</v>
      </c>
      <c r="J221" s="18">
        <v>0</v>
      </c>
      <c r="K221" s="15">
        <v>0</v>
      </c>
      <c r="L221" s="15">
        <v>0</v>
      </c>
      <c r="M221" s="15">
        <v>0</v>
      </c>
      <c r="N221" s="18">
        <f t="shared" si="16"/>
        <v>15.09</v>
      </c>
      <c r="O221" s="18"/>
      <c r="P221" s="18" t="s">
        <v>156</v>
      </c>
    </row>
    <row r="222" spans="1:16" ht="15" customHeight="1" x14ac:dyDescent="0.25">
      <c r="A222" s="16">
        <f t="shared" si="18"/>
        <v>45415</v>
      </c>
      <c r="B222" s="18" t="s">
        <v>30</v>
      </c>
      <c r="C222" s="18" t="s">
        <v>8</v>
      </c>
      <c r="D222" s="18" t="s">
        <v>296</v>
      </c>
      <c r="E222" s="18" t="s">
        <v>73</v>
      </c>
      <c r="F222" s="18" t="s">
        <v>346</v>
      </c>
      <c r="G222" s="18" t="str">
        <f>IF(Table5[[#This Row],[ShiftCounter]]&gt;0,"Running","Down")</f>
        <v>Down</v>
      </c>
      <c r="H222" s="18" t="str">
        <f t="shared" si="14"/>
        <v>3A</v>
      </c>
      <c r="I222" s="18" t="str">
        <f t="shared" si="17"/>
        <v>SHI SE350E</v>
      </c>
      <c r="J222" s="18">
        <v>0</v>
      </c>
      <c r="K222" s="15">
        <v>0</v>
      </c>
      <c r="L222" s="15">
        <v>0</v>
      </c>
      <c r="M222" s="15">
        <v>0</v>
      </c>
      <c r="N222" s="18">
        <f t="shared" si="16"/>
        <v>18.149999999999999</v>
      </c>
      <c r="O222" s="18"/>
      <c r="P222" s="18" t="s">
        <v>197</v>
      </c>
    </row>
    <row r="223" spans="1:16" ht="15" customHeight="1" x14ac:dyDescent="0.25">
      <c r="A223" s="16">
        <f t="shared" si="18"/>
        <v>45415</v>
      </c>
      <c r="B223" s="18" t="s">
        <v>31</v>
      </c>
      <c r="C223" s="18" t="s">
        <v>8</v>
      </c>
      <c r="D223" s="18"/>
      <c r="E223" s="18" t="s">
        <v>56</v>
      </c>
      <c r="F223" s="18"/>
      <c r="G223" s="18" t="str">
        <f>IF(Table5[[#This Row],[ShiftCounter]]&gt;0,"Running","Down")</f>
        <v>Down</v>
      </c>
      <c r="H223" s="18" t="str">
        <f t="shared" si="14"/>
        <v>3B</v>
      </c>
      <c r="I223" s="18" t="str">
        <f t="shared" si="17"/>
        <v>SHI SE450E</v>
      </c>
      <c r="J223" s="18">
        <v>0</v>
      </c>
      <c r="K223" s="15">
        <v>0</v>
      </c>
      <c r="L223" s="15">
        <v>0</v>
      </c>
      <c r="M223" s="15">
        <v>0</v>
      </c>
      <c r="N223" s="18">
        <f t="shared" si="16"/>
        <v>13.5</v>
      </c>
      <c r="O223" s="18"/>
      <c r="P223" s="18" t="s">
        <v>156</v>
      </c>
    </row>
    <row r="224" spans="1:16" ht="15" customHeight="1" x14ac:dyDescent="0.25">
      <c r="A224" s="16">
        <f t="shared" si="18"/>
        <v>45415</v>
      </c>
      <c r="B224" s="18" t="s">
        <v>32</v>
      </c>
      <c r="C224" s="18" t="s">
        <v>8</v>
      </c>
      <c r="D224" s="18" t="s">
        <v>247</v>
      </c>
      <c r="E224" s="18" t="s">
        <v>73</v>
      </c>
      <c r="F224" s="18" t="s">
        <v>346</v>
      </c>
      <c r="G224" s="18" t="str">
        <f>IF(Table5[[#This Row],[ShiftCounter]]&gt;0,"Running","Down")</f>
        <v>Down</v>
      </c>
      <c r="H224" s="18" t="str">
        <f t="shared" si="14"/>
        <v>3C</v>
      </c>
      <c r="I224" s="18" t="str">
        <f t="shared" si="17"/>
        <v>SHI SE350E</v>
      </c>
      <c r="J224" s="18">
        <v>0</v>
      </c>
      <c r="K224" s="15">
        <v>0</v>
      </c>
      <c r="L224" s="15">
        <v>0</v>
      </c>
      <c r="M224" s="15">
        <v>0</v>
      </c>
      <c r="N224" s="18">
        <f t="shared" ref="N224:N228" si="19">N66</f>
        <v>13</v>
      </c>
      <c r="O224" s="18"/>
      <c r="P224" s="18" t="s">
        <v>197</v>
      </c>
    </row>
    <row r="225" spans="1:16" ht="15" customHeight="1" x14ac:dyDescent="0.25">
      <c r="A225" s="16">
        <f t="shared" si="18"/>
        <v>45415</v>
      </c>
      <c r="B225" s="18" t="s">
        <v>67</v>
      </c>
      <c r="C225" s="18" t="s">
        <v>8</v>
      </c>
      <c r="D225" s="18" t="s">
        <v>354</v>
      </c>
      <c r="E225" s="18" t="s">
        <v>56</v>
      </c>
      <c r="F225" s="18" t="s">
        <v>367</v>
      </c>
      <c r="G225" s="18" t="str">
        <f>IF(Table5[[#This Row],[ShiftCounter]]&gt;0,"Running","Down")</f>
        <v>Down</v>
      </c>
      <c r="H225" s="18" t="str">
        <f t="shared" ref="H225:I238" si="20">IF(ISBLANK(H67),"",H67)</f>
        <v>3D</v>
      </c>
      <c r="I225" s="18" t="str">
        <f t="shared" si="20"/>
        <v>SHI SE450E</v>
      </c>
      <c r="J225" s="18">
        <v>0</v>
      </c>
      <c r="K225" s="15">
        <v>0</v>
      </c>
      <c r="L225" s="15">
        <v>0</v>
      </c>
      <c r="M225" s="15">
        <v>0</v>
      </c>
      <c r="N225" s="18">
        <f t="shared" si="19"/>
        <v>12.89</v>
      </c>
      <c r="O225" s="18"/>
      <c r="P225" s="18" t="s">
        <v>156</v>
      </c>
    </row>
    <row r="226" spans="1:16" ht="15" customHeight="1" x14ac:dyDescent="0.25">
      <c r="A226" s="16">
        <f t="shared" si="18"/>
        <v>45415</v>
      </c>
      <c r="B226" s="18" t="s">
        <v>33</v>
      </c>
      <c r="C226" s="18" t="s">
        <v>8</v>
      </c>
      <c r="D226" s="18" t="s">
        <v>304</v>
      </c>
      <c r="E226" s="18" t="s">
        <v>73</v>
      </c>
      <c r="F226" s="18" t="s">
        <v>346</v>
      </c>
      <c r="G226" s="18" t="str">
        <f>IF(Table5[[#This Row],[ShiftCounter]]&gt;0,"Running","Down")</f>
        <v>Down</v>
      </c>
      <c r="H226" s="18" t="str">
        <f t="shared" si="20"/>
        <v>3E</v>
      </c>
      <c r="I226" s="18" t="str">
        <f t="shared" si="20"/>
        <v>SHI SE350E</v>
      </c>
      <c r="J226" s="18">
        <v>0</v>
      </c>
      <c r="K226" s="15">
        <v>0</v>
      </c>
      <c r="L226" s="15">
        <v>0</v>
      </c>
      <c r="M226" s="15">
        <v>0</v>
      </c>
      <c r="N226" s="18">
        <f t="shared" si="19"/>
        <v>14.99</v>
      </c>
      <c r="O226" s="18"/>
      <c r="P226" s="18" t="s">
        <v>201</v>
      </c>
    </row>
    <row r="227" spans="1:16" ht="15" customHeight="1" x14ac:dyDescent="0.25">
      <c r="A227" s="16">
        <f t="shared" si="18"/>
        <v>45415</v>
      </c>
      <c r="B227" s="18" t="s">
        <v>34</v>
      </c>
      <c r="C227" s="18" t="s">
        <v>8</v>
      </c>
      <c r="D227" s="18" t="s">
        <v>368</v>
      </c>
      <c r="E227" s="18" t="s">
        <v>56</v>
      </c>
      <c r="F227" s="18" t="s">
        <v>369</v>
      </c>
      <c r="G227" s="18" t="str">
        <f>IF(Table5[[#This Row],[ShiftCounter]]&gt;0,"Running","Down")</f>
        <v>Down</v>
      </c>
      <c r="H227" s="18" t="str">
        <f t="shared" si="20"/>
        <v>3F</v>
      </c>
      <c r="I227" s="18" t="str">
        <f t="shared" si="20"/>
        <v>SHI SE450E</v>
      </c>
      <c r="J227" s="18">
        <v>0</v>
      </c>
      <c r="K227" s="15">
        <v>0</v>
      </c>
      <c r="L227" s="15">
        <v>0</v>
      </c>
      <c r="M227" s="15">
        <v>0</v>
      </c>
      <c r="N227" s="18">
        <f t="shared" si="19"/>
        <v>14.89</v>
      </c>
      <c r="O227" s="18"/>
      <c r="P227" s="18" t="s">
        <v>370</v>
      </c>
    </row>
    <row r="228" spans="1:16" ht="15" customHeight="1" x14ac:dyDescent="0.25">
      <c r="A228" s="16">
        <f t="shared" si="18"/>
        <v>45415</v>
      </c>
      <c r="B228" s="18" t="s">
        <v>35</v>
      </c>
      <c r="C228" s="18" t="s">
        <v>8</v>
      </c>
      <c r="D228" s="18" t="s">
        <v>331</v>
      </c>
      <c r="E228" s="18" t="s">
        <v>60</v>
      </c>
      <c r="F228" s="18" t="s">
        <v>346</v>
      </c>
      <c r="G228" s="18" t="str">
        <f>IF(Table5[[#This Row],[ShiftCounter]]&gt;0,"Running","Down")</f>
        <v>Down</v>
      </c>
      <c r="H228" s="18" t="str">
        <f t="shared" si="20"/>
        <v>40</v>
      </c>
      <c r="I228" s="18" t="str">
        <f t="shared" si="20"/>
        <v>SHI SE350E</v>
      </c>
      <c r="J228" s="18">
        <v>0</v>
      </c>
      <c r="K228" s="15">
        <v>0</v>
      </c>
      <c r="L228" s="15">
        <v>0</v>
      </c>
      <c r="M228" s="15">
        <v>0</v>
      </c>
      <c r="N228" s="18">
        <f t="shared" si="19"/>
        <v>14.39</v>
      </c>
      <c r="O228" s="18"/>
      <c r="P228" s="18" t="s">
        <v>336</v>
      </c>
    </row>
    <row r="229" spans="1:16" ht="15" customHeight="1" x14ac:dyDescent="0.25">
      <c r="A229" s="16">
        <f t="shared" si="18"/>
        <v>45415</v>
      </c>
      <c r="B229" s="18" t="s">
        <v>63</v>
      </c>
      <c r="C229" s="18" t="s">
        <v>8</v>
      </c>
      <c r="D229" s="18"/>
      <c r="E229" s="18"/>
      <c r="F229" s="18"/>
      <c r="G229" s="18" t="str">
        <f>IF(Table5[[#This Row],[ShiftCounter]]&gt;0,"Running","Down")</f>
        <v>Down</v>
      </c>
      <c r="H229" s="18" t="str">
        <f t="shared" si="20"/>
        <v>41</v>
      </c>
      <c r="I229" s="18" t="str">
        <f t="shared" si="20"/>
        <v/>
      </c>
      <c r="J229" s="18">
        <v>0</v>
      </c>
      <c r="K229" s="18">
        <v>0</v>
      </c>
      <c r="L229" s="18">
        <v>0</v>
      </c>
      <c r="M229" s="18">
        <v>0</v>
      </c>
      <c r="N229" s="18">
        <f t="shared" ref="N229:N238" si="21">N71</f>
        <v>18.8</v>
      </c>
      <c r="O229" s="18"/>
      <c r="P229" s="18"/>
    </row>
    <row r="230" spans="1:16" ht="15" customHeight="1" x14ac:dyDescent="0.25">
      <c r="A230" s="16">
        <f t="shared" si="18"/>
        <v>45415</v>
      </c>
      <c r="B230" s="18" t="s">
        <v>36</v>
      </c>
      <c r="C230" s="18" t="s">
        <v>8</v>
      </c>
      <c r="D230" s="18" t="s">
        <v>295</v>
      </c>
      <c r="E230" s="18" t="s">
        <v>81</v>
      </c>
      <c r="F230" s="18" t="s">
        <v>369</v>
      </c>
      <c r="G230" s="18" t="str">
        <f>IF(Table5[[#This Row],[ShiftCounter]]&gt;0,"Running","Down")</f>
        <v>Down</v>
      </c>
      <c r="H230" s="18" t="str">
        <f t="shared" si="20"/>
        <v>42</v>
      </c>
      <c r="I230" s="18" t="str">
        <f t="shared" si="20"/>
        <v>SHI SE350E</v>
      </c>
      <c r="J230" s="18">
        <v>0</v>
      </c>
      <c r="K230" s="18">
        <v>0</v>
      </c>
      <c r="L230" s="18">
        <v>0</v>
      </c>
      <c r="M230" s="18">
        <v>0</v>
      </c>
      <c r="N230" s="18">
        <f t="shared" si="21"/>
        <v>133</v>
      </c>
      <c r="O230" s="18"/>
      <c r="P230" s="18" t="s">
        <v>371</v>
      </c>
    </row>
    <row r="231" spans="1:16" ht="15" customHeight="1" x14ac:dyDescent="0.25">
      <c r="A231" s="16">
        <f t="shared" si="18"/>
        <v>45415</v>
      </c>
      <c r="B231" s="18" t="s">
        <v>256</v>
      </c>
      <c r="C231" s="18" t="s">
        <v>8</v>
      </c>
      <c r="D231" s="18" t="s">
        <v>339</v>
      </c>
      <c r="E231" s="18" t="s">
        <v>60</v>
      </c>
      <c r="F231" s="18" t="s">
        <v>199</v>
      </c>
      <c r="G231" s="18" t="str">
        <f>IF(Table5[[#This Row],[ShiftCounter]]&gt;0,"Running","Down")</f>
        <v>Down</v>
      </c>
      <c r="H231" s="18" t="str">
        <f t="shared" si="20"/>
        <v/>
      </c>
      <c r="I231" s="18" t="str">
        <f t="shared" si="20"/>
        <v>SHI SE130D</v>
      </c>
      <c r="J231" s="18">
        <v>0</v>
      </c>
      <c r="K231" s="18">
        <v>0</v>
      </c>
      <c r="L231" s="18">
        <v>0</v>
      </c>
      <c r="M231" s="18">
        <v>0</v>
      </c>
      <c r="N231" s="18">
        <f t="shared" si="21"/>
        <v>0</v>
      </c>
      <c r="O231" s="18"/>
      <c r="P231" s="18" t="s">
        <v>149</v>
      </c>
    </row>
    <row r="232" spans="1:16" ht="15" customHeight="1" x14ac:dyDescent="0.25">
      <c r="A232" s="16">
        <f t="shared" si="18"/>
        <v>45415</v>
      </c>
      <c r="B232" s="18" t="s">
        <v>257</v>
      </c>
      <c r="C232" s="18" t="s">
        <v>8</v>
      </c>
      <c r="D232" s="18"/>
      <c r="E232" s="18" t="s">
        <v>345</v>
      </c>
      <c r="F232" s="18" t="s">
        <v>199</v>
      </c>
      <c r="G232" s="32" t="str">
        <f>IF(Table5[[#This Row],[ShiftCounter]]&gt;0,"Running","Down")</f>
        <v>Down</v>
      </c>
      <c r="H232" s="18" t="str">
        <f t="shared" si="20"/>
        <v/>
      </c>
      <c r="I232" s="18" t="str">
        <f t="shared" si="20"/>
        <v>SHI SE130D</v>
      </c>
      <c r="J232" s="18">
        <v>0</v>
      </c>
      <c r="K232" s="18">
        <v>0</v>
      </c>
      <c r="L232" s="18">
        <v>0</v>
      </c>
      <c r="M232" s="18">
        <v>0</v>
      </c>
      <c r="N232" s="18">
        <f t="shared" si="21"/>
        <v>0</v>
      </c>
      <c r="O232" s="18"/>
      <c r="P232" s="18"/>
    </row>
    <row r="233" spans="1:16" ht="15" customHeight="1" x14ac:dyDescent="0.25">
      <c r="A233" s="16">
        <f t="shared" si="18"/>
        <v>45415</v>
      </c>
      <c r="B233" s="18" t="s">
        <v>37</v>
      </c>
      <c r="C233" s="18" t="s">
        <v>8</v>
      </c>
      <c r="D233" s="18" t="s">
        <v>347</v>
      </c>
      <c r="E233" s="18" t="s">
        <v>348</v>
      </c>
      <c r="F233" s="18" t="s">
        <v>346</v>
      </c>
      <c r="G233" s="18" t="str">
        <f>IF(Table5[[#This Row],[ShiftCounter]]&gt;0,"Running","Down")</f>
        <v>Down</v>
      </c>
      <c r="H233" s="18" t="str">
        <f t="shared" si="20"/>
        <v>43</v>
      </c>
      <c r="I233" s="18" t="str">
        <f t="shared" si="20"/>
        <v>SHI SE350E</v>
      </c>
      <c r="J233" s="18">
        <v>0</v>
      </c>
      <c r="K233" s="18">
        <v>0</v>
      </c>
      <c r="L233" s="18">
        <v>0</v>
      </c>
      <c r="M233" s="18">
        <v>0</v>
      </c>
      <c r="N233" s="18">
        <f t="shared" si="21"/>
        <v>41.64</v>
      </c>
      <c r="O233" s="18"/>
      <c r="P233" s="18" t="s">
        <v>270</v>
      </c>
    </row>
    <row r="234" spans="1:16" ht="15" customHeight="1" x14ac:dyDescent="0.25">
      <c r="A234" s="16">
        <f t="shared" si="18"/>
        <v>45415</v>
      </c>
      <c r="B234" s="18" t="s">
        <v>258</v>
      </c>
      <c r="C234" s="18" t="s">
        <v>8</v>
      </c>
      <c r="D234" s="18" t="s">
        <v>278</v>
      </c>
      <c r="E234" s="18" t="s">
        <v>279</v>
      </c>
      <c r="F234" s="18" t="s">
        <v>276</v>
      </c>
      <c r="G234" s="18" t="str">
        <f>IF(Table5[[#This Row],[ShiftCounter]]&gt;0,"Running","Down")</f>
        <v>Down</v>
      </c>
      <c r="H234" s="18" t="str">
        <f t="shared" si="20"/>
        <v>44</v>
      </c>
      <c r="I234" s="18" t="str">
        <f t="shared" si="20"/>
        <v>SHI SE130D</v>
      </c>
      <c r="J234" s="18">
        <v>0</v>
      </c>
      <c r="K234" s="18">
        <v>0</v>
      </c>
      <c r="L234" s="18">
        <v>0</v>
      </c>
      <c r="M234" s="18">
        <v>0</v>
      </c>
      <c r="N234" s="18">
        <f t="shared" si="21"/>
        <v>74.010000000000005</v>
      </c>
      <c r="O234" s="18"/>
      <c r="P234" s="18" t="s">
        <v>150</v>
      </c>
    </row>
    <row r="235" spans="1:16" ht="15" customHeight="1" x14ac:dyDescent="0.25">
      <c r="A235" s="16">
        <f t="shared" si="18"/>
        <v>45415</v>
      </c>
      <c r="B235" s="18" t="s">
        <v>259</v>
      </c>
      <c r="C235" s="18" t="s">
        <v>8</v>
      </c>
      <c r="D235" s="18" t="s">
        <v>204</v>
      </c>
      <c r="E235" s="18" t="s">
        <v>81</v>
      </c>
      <c r="F235" s="18" t="s">
        <v>310</v>
      </c>
      <c r="G235" s="32" t="str">
        <f>IF(Table5[[#This Row],[ShiftCounter]]&gt;0,"Running","Down")</f>
        <v>Down</v>
      </c>
      <c r="H235" s="18" t="str">
        <f t="shared" si="20"/>
        <v>44</v>
      </c>
      <c r="I235" s="18" t="str">
        <f t="shared" si="20"/>
        <v>SHI SE130D</v>
      </c>
      <c r="J235" s="18">
        <v>0</v>
      </c>
      <c r="K235" s="18">
        <v>0</v>
      </c>
      <c r="L235" s="18">
        <v>0</v>
      </c>
      <c r="M235" s="18">
        <v>0</v>
      </c>
      <c r="N235" s="18">
        <f t="shared" si="21"/>
        <v>73.989999999999995</v>
      </c>
      <c r="O235" s="18"/>
      <c r="P235" s="18" t="s">
        <v>148</v>
      </c>
    </row>
    <row r="236" spans="1:16" ht="15" customHeight="1" x14ac:dyDescent="0.25">
      <c r="A236" s="16">
        <f t="shared" si="18"/>
        <v>45415</v>
      </c>
      <c r="B236" s="18" t="s">
        <v>260</v>
      </c>
      <c r="C236" s="18" t="s">
        <v>8</v>
      </c>
      <c r="D236" s="18" t="s">
        <v>372</v>
      </c>
      <c r="E236" s="18" t="s">
        <v>60</v>
      </c>
      <c r="F236" s="18" t="s">
        <v>334</v>
      </c>
      <c r="G236" s="18" t="str">
        <f>IF(Table5[[#This Row],[ShiftCounter]]&gt;0,"Running","Down")</f>
        <v>Down</v>
      </c>
      <c r="H236" s="18" t="str">
        <f t="shared" si="20"/>
        <v>45</v>
      </c>
      <c r="I236" s="18" t="str">
        <f t="shared" si="20"/>
        <v>SHI SE130D</v>
      </c>
      <c r="J236" s="18">
        <v>0</v>
      </c>
      <c r="K236" s="18">
        <v>0</v>
      </c>
      <c r="L236" s="18">
        <v>0</v>
      </c>
      <c r="M236" s="18">
        <v>0</v>
      </c>
      <c r="N236" s="18">
        <f t="shared" si="21"/>
        <v>41.85</v>
      </c>
      <c r="O236" s="18"/>
      <c r="P236" s="18"/>
    </row>
    <row r="237" spans="1:16" ht="15" customHeight="1" x14ac:dyDescent="0.25">
      <c r="A237" s="16">
        <f t="shared" si="18"/>
        <v>45415</v>
      </c>
      <c r="B237" s="18" t="s">
        <v>261</v>
      </c>
      <c r="C237" s="18" t="s">
        <v>8</v>
      </c>
      <c r="D237" s="18" t="s">
        <v>330</v>
      </c>
      <c r="E237" s="18" t="s">
        <v>81</v>
      </c>
      <c r="F237" s="18" t="s">
        <v>285</v>
      </c>
      <c r="G237" s="32" t="str">
        <f>IF(Table5[[#This Row],[ShiftCounter]]&gt;0,"Running","Down")</f>
        <v>Down</v>
      </c>
      <c r="H237" s="18" t="str">
        <f t="shared" si="20"/>
        <v>45</v>
      </c>
      <c r="I237" s="18" t="str">
        <f t="shared" si="20"/>
        <v>SHI SE130D</v>
      </c>
      <c r="J237" s="18">
        <v>0</v>
      </c>
      <c r="K237" s="18">
        <v>0</v>
      </c>
      <c r="L237" s="18">
        <v>0</v>
      </c>
      <c r="M237" s="18">
        <v>0</v>
      </c>
      <c r="N237" s="18">
        <f t="shared" si="21"/>
        <v>41.85</v>
      </c>
      <c r="O237" s="18"/>
      <c r="P237" s="18"/>
    </row>
    <row r="238" spans="1:16" ht="15" customHeight="1" x14ac:dyDescent="0.25">
      <c r="A238" s="16">
        <f t="shared" si="18"/>
        <v>45415</v>
      </c>
      <c r="B238" s="18" t="s">
        <v>54</v>
      </c>
      <c r="C238" s="18" t="s">
        <v>8</v>
      </c>
      <c r="D238" s="18" t="s">
        <v>55</v>
      </c>
      <c r="E238" s="18" t="s">
        <v>185</v>
      </c>
      <c r="F238" s="18" t="s">
        <v>57</v>
      </c>
      <c r="G238" s="18" t="str">
        <f>IF(Table5[[#This Row],[ShiftCounter]]&gt;0,"Running","Down")</f>
        <v>Down</v>
      </c>
      <c r="H238" s="18" t="str">
        <f t="shared" si="20"/>
        <v>46</v>
      </c>
      <c r="I238" s="18" t="str">
        <f t="shared" si="20"/>
        <v>SHI SE350E</v>
      </c>
      <c r="J238" s="18">
        <v>0</v>
      </c>
      <c r="K238" s="18">
        <v>0</v>
      </c>
      <c r="L238" s="18">
        <v>0</v>
      </c>
      <c r="M238" s="18">
        <v>0</v>
      </c>
      <c r="N238" s="18">
        <f t="shared" si="21"/>
        <v>16.489999999999998</v>
      </c>
      <c r="O238" s="18"/>
      <c r="P238" s="18" t="s">
        <v>159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82"/>
  <sheetViews>
    <sheetView tabSelected="1" zoomScale="115" zoomScaleNormal="115" workbookViewId="0">
      <selection activeCell="G15" sqref="G15"/>
    </sheetView>
  </sheetViews>
  <sheetFormatPr defaultRowHeight="15" x14ac:dyDescent="0.25"/>
  <cols>
    <col min="1" max="1" width="17.140625" style="18" bestFit="1" customWidth="1"/>
    <col min="2" max="2" width="19.42578125" style="18" bestFit="1" customWidth="1"/>
    <col min="3" max="5" width="8.28515625" style="29" bestFit="1" customWidth="1"/>
    <col min="6" max="6" width="12.28515625" bestFit="1" customWidth="1"/>
    <col min="7" max="7" width="11.85546875" style="18" bestFit="1" customWidth="1"/>
    <col min="8" max="8" width="12" style="29" bestFit="1" customWidth="1"/>
    <col min="9" max="10" width="5.7109375" customWidth="1"/>
    <col min="11" max="11" width="18.5703125" customWidth="1"/>
    <col min="12" max="12" width="6.28515625" customWidth="1"/>
    <col min="13" max="14" width="5.7109375" customWidth="1"/>
    <col min="15" max="15" width="6" customWidth="1"/>
    <col min="17" max="18" width="5.7109375" customWidth="1"/>
    <col min="20" max="20" width="10.42578125" bestFit="1" customWidth="1"/>
  </cols>
  <sheetData>
    <row r="1" spans="1:20" s="26" customFormat="1" x14ac:dyDescent="0.25">
      <c r="A1" s="35" t="s">
        <v>0</v>
      </c>
      <c r="B1" s="24" t="s">
        <v>1</v>
      </c>
      <c r="C1" s="30" t="s">
        <v>6</v>
      </c>
      <c r="D1" s="30" t="s">
        <v>7</v>
      </c>
      <c r="E1" s="30" t="s">
        <v>8</v>
      </c>
      <c r="F1" s="25" t="s">
        <v>145</v>
      </c>
      <c r="G1" s="25" t="s">
        <v>244</v>
      </c>
      <c r="H1" s="28" t="s">
        <v>169</v>
      </c>
      <c r="K1" s="27" t="s">
        <v>0</v>
      </c>
      <c r="L1" s="27" t="s">
        <v>1</v>
      </c>
      <c r="O1" s="27" t="s">
        <v>1</v>
      </c>
      <c r="P1" s="27" t="s">
        <v>145</v>
      </c>
      <c r="S1" s="18" t="s">
        <v>170</v>
      </c>
      <c r="T1"/>
    </row>
    <row r="2" spans="1:20" x14ac:dyDescent="0.25">
      <c r="A2" s="17">
        <v>45415</v>
      </c>
      <c r="B2" s="19" t="s">
        <v>107</v>
      </c>
      <c r="C2" s="34">
        <v>1648</v>
      </c>
      <c r="D2" s="34">
        <v>2120</v>
      </c>
      <c r="E2" s="34">
        <v>1900</v>
      </c>
      <c r="F2" s="19">
        <v>12.59</v>
      </c>
      <c r="G2" s="19">
        <v>12.7</v>
      </c>
      <c r="H2" s="19">
        <v>-1</v>
      </c>
      <c r="K2" s="20">
        <v>45415</v>
      </c>
      <c r="L2" s="27" t="s">
        <v>107</v>
      </c>
      <c r="O2" t="s">
        <v>136</v>
      </c>
      <c r="P2">
        <v>22.35</v>
      </c>
      <c r="S2" s="23">
        <f>COUNTIF(CustomData[[Shift1]:[CycleTime]],"-1")/COUNT(CustomData[[Shift1]:[CycleTime]])</f>
        <v>3.3950617283950615E-2</v>
      </c>
    </row>
    <row r="3" spans="1:20" x14ac:dyDescent="0.25">
      <c r="A3" s="17">
        <v>45415</v>
      </c>
      <c r="B3" s="19" t="s">
        <v>11</v>
      </c>
      <c r="C3" s="19">
        <v>2520</v>
      </c>
      <c r="D3" s="19">
        <v>2585</v>
      </c>
      <c r="E3" s="19">
        <v>2531</v>
      </c>
      <c r="F3" s="19">
        <v>11.39</v>
      </c>
      <c r="G3" s="19">
        <v>13</v>
      </c>
      <c r="H3" s="19">
        <v>-1</v>
      </c>
      <c r="J3" s="18"/>
      <c r="K3" s="20">
        <v>45415</v>
      </c>
      <c r="L3" t="s">
        <v>11</v>
      </c>
      <c r="O3" t="s">
        <v>135</v>
      </c>
      <c r="P3">
        <v>27.29</v>
      </c>
      <c r="S3" s="18"/>
    </row>
    <row r="4" spans="1:20" x14ac:dyDescent="0.25">
      <c r="A4" s="17">
        <v>45415</v>
      </c>
      <c r="B4" s="19" t="s">
        <v>105</v>
      </c>
      <c r="C4" s="19">
        <v>2269</v>
      </c>
      <c r="D4" s="19">
        <v>2425</v>
      </c>
      <c r="E4" s="19">
        <v>2371</v>
      </c>
      <c r="F4" s="19">
        <v>12.39</v>
      </c>
      <c r="G4" s="19">
        <v>12.6</v>
      </c>
      <c r="H4" s="19">
        <v>-1</v>
      </c>
      <c r="J4" s="18"/>
      <c r="K4" s="20">
        <v>45415</v>
      </c>
      <c r="L4" s="18" t="s">
        <v>105</v>
      </c>
      <c r="O4" t="s">
        <v>134</v>
      </c>
      <c r="P4">
        <v>24.55</v>
      </c>
      <c r="S4" s="18" t="s">
        <v>171</v>
      </c>
    </row>
    <row r="5" spans="1:20" x14ac:dyDescent="0.25">
      <c r="A5" s="17">
        <v>45415</v>
      </c>
      <c r="B5" s="19" t="s">
        <v>13</v>
      </c>
      <c r="C5" s="19">
        <v>2255</v>
      </c>
      <c r="D5" s="19">
        <v>2292</v>
      </c>
      <c r="E5" s="19">
        <v>2263</v>
      </c>
      <c r="F5" s="19">
        <v>12.4</v>
      </c>
      <c r="G5" s="19">
        <v>12.8</v>
      </c>
      <c r="H5" s="19">
        <v>-1</v>
      </c>
      <c r="J5" s="18"/>
      <c r="K5" s="20">
        <v>45415</v>
      </c>
      <c r="L5" s="18" t="s">
        <v>13</v>
      </c>
      <c r="O5" t="s">
        <v>132</v>
      </c>
      <c r="P5">
        <v>37.49</v>
      </c>
      <c r="S5" s="23">
        <f>COUNTIF(CustomData[[Shift1]:[Shift3]],"-1")/COUNT(CustomData[[Shift1]:[Shift3]])</f>
        <v>4.5267489711934158E-2</v>
      </c>
    </row>
    <row r="6" spans="1:20" x14ac:dyDescent="0.25">
      <c r="A6" s="17">
        <v>45415</v>
      </c>
      <c r="B6" s="19" t="s">
        <v>75</v>
      </c>
      <c r="C6" s="37">
        <v>168</v>
      </c>
      <c r="D6" s="37">
        <v>1089</v>
      </c>
      <c r="E6" s="37">
        <v>1834</v>
      </c>
      <c r="F6" s="19">
        <v>12.9</v>
      </c>
      <c r="G6" s="19">
        <v>14.9</v>
      </c>
      <c r="H6" s="19">
        <v>-1</v>
      </c>
      <c r="J6" s="18"/>
      <c r="K6" s="20">
        <v>45415</v>
      </c>
      <c r="L6" s="18" t="s">
        <v>75</v>
      </c>
      <c r="O6" t="s">
        <v>131</v>
      </c>
      <c r="P6">
        <v>21.49</v>
      </c>
      <c r="S6" s="18"/>
    </row>
    <row r="7" spans="1:20" x14ac:dyDescent="0.25">
      <c r="A7" s="17">
        <v>45415</v>
      </c>
      <c r="B7" s="19" t="s">
        <v>27</v>
      </c>
      <c r="C7" s="19">
        <v>2077</v>
      </c>
      <c r="D7" s="19">
        <v>2106</v>
      </c>
      <c r="E7" s="19">
        <v>2045</v>
      </c>
      <c r="F7" s="19">
        <v>13.89</v>
      </c>
      <c r="G7" s="19">
        <v>14</v>
      </c>
      <c r="H7" s="19">
        <v>-1</v>
      </c>
      <c r="J7" s="18"/>
      <c r="K7" s="20">
        <v>45415</v>
      </c>
      <c r="L7" s="18" t="s">
        <v>27</v>
      </c>
      <c r="O7" t="s">
        <v>130</v>
      </c>
      <c r="P7">
        <v>18.559999999999999</v>
      </c>
      <c r="S7" s="18" t="s">
        <v>172</v>
      </c>
    </row>
    <row r="8" spans="1:20" x14ac:dyDescent="0.25">
      <c r="A8" s="17">
        <v>45415</v>
      </c>
      <c r="B8" s="19" t="s">
        <v>28</v>
      </c>
      <c r="C8" s="19">
        <v>1484</v>
      </c>
      <c r="D8" s="19">
        <v>2076</v>
      </c>
      <c r="E8" s="19">
        <v>1976</v>
      </c>
      <c r="F8" s="19">
        <v>13.99</v>
      </c>
      <c r="G8" s="19">
        <v>14.5</v>
      </c>
      <c r="H8" s="19">
        <v>-1</v>
      </c>
      <c r="J8" s="18"/>
      <c r="K8" s="20">
        <v>45415</v>
      </c>
      <c r="L8" t="s">
        <v>28</v>
      </c>
      <c r="O8" t="s">
        <v>128</v>
      </c>
      <c r="P8">
        <v>41.26</v>
      </c>
      <c r="S8" s="23">
        <f>COUNTIF(CustomData[CycleTime],"-1")/COUNT(CustomData[CycleTime])</f>
        <v>0</v>
      </c>
    </row>
    <row r="9" spans="1:20" x14ac:dyDescent="0.25">
      <c r="A9" s="17">
        <v>45415</v>
      </c>
      <c r="B9" s="19" t="s">
        <v>29</v>
      </c>
      <c r="C9" s="19">
        <v>1283</v>
      </c>
      <c r="D9" s="19">
        <v>2041</v>
      </c>
      <c r="E9" s="19">
        <v>1922</v>
      </c>
      <c r="F9" s="19">
        <v>13.98</v>
      </c>
      <c r="G9" s="19">
        <v>14.69</v>
      </c>
      <c r="H9" s="19">
        <v>-1</v>
      </c>
      <c r="J9" s="18"/>
      <c r="K9" s="20">
        <v>45415</v>
      </c>
      <c r="L9" t="s">
        <v>29</v>
      </c>
      <c r="O9" t="s">
        <v>40</v>
      </c>
      <c r="P9">
        <v>12.19</v>
      </c>
    </row>
    <row r="10" spans="1:20" x14ac:dyDescent="0.25">
      <c r="A10" s="17">
        <v>45415</v>
      </c>
      <c r="B10" s="19" t="s">
        <v>67</v>
      </c>
      <c r="C10" s="19">
        <v>1988</v>
      </c>
      <c r="D10" s="19">
        <v>2088</v>
      </c>
      <c r="E10" s="19">
        <v>1960</v>
      </c>
      <c r="F10" s="19">
        <v>13.9</v>
      </c>
      <c r="G10" s="19">
        <v>14.4</v>
      </c>
      <c r="H10" s="19">
        <v>-1</v>
      </c>
      <c r="J10" s="18"/>
      <c r="K10" s="20">
        <v>45415</v>
      </c>
      <c r="L10" t="s">
        <v>67</v>
      </c>
      <c r="O10" t="s">
        <v>127</v>
      </c>
      <c r="P10">
        <v>21.7</v>
      </c>
    </row>
    <row r="11" spans="1:20" x14ac:dyDescent="0.25">
      <c r="A11" s="17">
        <v>45415</v>
      </c>
      <c r="B11" s="19" t="s">
        <v>34</v>
      </c>
      <c r="C11" s="19">
        <v>1488</v>
      </c>
      <c r="D11" s="19">
        <v>0</v>
      </c>
      <c r="E11" s="19">
        <v>0</v>
      </c>
      <c r="F11" s="19">
        <v>15.6</v>
      </c>
      <c r="G11" s="19">
        <v>15.7</v>
      </c>
      <c r="H11" s="19">
        <v>-1</v>
      </c>
      <c r="J11" s="18"/>
      <c r="K11" s="20">
        <v>45415</v>
      </c>
      <c r="L11" t="s">
        <v>34</v>
      </c>
      <c r="O11" t="s">
        <v>124</v>
      </c>
      <c r="P11">
        <v>41.88</v>
      </c>
    </row>
    <row r="12" spans="1:20" x14ac:dyDescent="0.25">
      <c r="A12" s="17">
        <v>45415</v>
      </c>
      <c r="B12" s="19" t="s">
        <v>35</v>
      </c>
      <c r="C12" s="19">
        <v>878</v>
      </c>
      <c r="D12" s="19">
        <v>1525</v>
      </c>
      <c r="E12" s="19">
        <v>1910</v>
      </c>
      <c r="F12" s="19">
        <v>14.64</v>
      </c>
      <c r="G12" s="19">
        <v>14.7</v>
      </c>
      <c r="H12" s="19">
        <v>-1</v>
      </c>
      <c r="J12" s="18"/>
      <c r="K12" s="20">
        <v>45415</v>
      </c>
      <c r="L12" t="s">
        <v>35</v>
      </c>
      <c r="O12" t="s">
        <v>122</v>
      </c>
      <c r="P12">
        <v>21.89</v>
      </c>
      <c r="T12" s="16"/>
    </row>
    <row r="13" spans="1:20" x14ac:dyDescent="0.25">
      <c r="A13" s="17">
        <v>45415</v>
      </c>
      <c r="B13" s="19" t="s">
        <v>36</v>
      </c>
      <c r="C13" s="19">
        <v>2199</v>
      </c>
      <c r="D13" s="19">
        <v>2088</v>
      </c>
      <c r="E13" s="19">
        <v>2023</v>
      </c>
      <c r="F13" s="19">
        <v>38472557</v>
      </c>
      <c r="G13" s="19">
        <v>13.2</v>
      </c>
      <c r="H13" s="19">
        <v>13.2</v>
      </c>
      <c r="J13" s="18"/>
      <c r="K13" s="20">
        <v>45415</v>
      </c>
      <c r="L13" t="s">
        <v>36</v>
      </c>
      <c r="O13" t="s">
        <v>120</v>
      </c>
      <c r="P13">
        <v>26.43</v>
      </c>
      <c r="T13" s="16"/>
    </row>
    <row r="14" spans="1:20" x14ac:dyDescent="0.25">
      <c r="A14" s="17">
        <v>45416</v>
      </c>
      <c r="B14" s="19" t="s">
        <v>107</v>
      </c>
      <c r="C14" s="19">
        <v>2005</v>
      </c>
      <c r="D14" s="19">
        <v>2016</v>
      </c>
      <c r="E14" s="19">
        <v>2170</v>
      </c>
      <c r="F14" s="19">
        <v>12.09</v>
      </c>
      <c r="G14" s="19">
        <v>12.7</v>
      </c>
      <c r="H14" s="19">
        <v>-1</v>
      </c>
      <c r="J14" s="18"/>
      <c r="K14" s="20">
        <v>45416</v>
      </c>
      <c r="L14" t="s">
        <v>107</v>
      </c>
      <c r="O14" t="s">
        <v>119</v>
      </c>
      <c r="P14">
        <v>41.15</v>
      </c>
    </row>
    <row r="15" spans="1:20" x14ac:dyDescent="0.25">
      <c r="A15" s="17">
        <v>45416</v>
      </c>
      <c r="B15" s="19" t="s">
        <v>11</v>
      </c>
      <c r="C15" s="19">
        <v>2471</v>
      </c>
      <c r="D15" s="19">
        <v>2547</v>
      </c>
      <c r="E15" s="19">
        <v>2503</v>
      </c>
      <c r="F15" s="19">
        <v>11.39</v>
      </c>
      <c r="G15" s="19">
        <v>13</v>
      </c>
      <c r="H15" s="19">
        <v>-1</v>
      </c>
      <c r="J15" s="18"/>
      <c r="K15" s="20">
        <v>45416</v>
      </c>
      <c r="L15" t="s">
        <v>11</v>
      </c>
      <c r="O15" t="s">
        <v>117</v>
      </c>
      <c r="P15">
        <v>12.39</v>
      </c>
    </row>
    <row r="16" spans="1:20" x14ac:dyDescent="0.25">
      <c r="A16" s="17">
        <v>45416</v>
      </c>
      <c r="B16" s="19" t="s">
        <v>105</v>
      </c>
      <c r="C16" s="19">
        <v>2329</v>
      </c>
      <c r="D16" s="19">
        <v>2404</v>
      </c>
      <c r="E16" s="19">
        <v>2342</v>
      </c>
      <c r="F16" s="19">
        <v>12.39</v>
      </c>
      <c r="G16" s="19">
        <v>12.6</v>
      </c>
      <c r="H16" s="19">
        <v>-1</v>
      </c>
      <c r="J16" s="18"/>
      <c r="K16" s="20">
        <v>45416</v>
      </c>
      <c r="L16" t="s">
        <v>105</v>
      </c>
      <c r="O16" t="s">
        <v>39</v>
      </c>
      <c r="P16">
        <v>24.11</v>
      </c>
    </row>
    <row r="17" spans="1:16" x14ac:dyDescent="0.25">
      <c r="A17" s="17">
        <v>45416</v>
      </c>
      <c r="B17" s="19" t="s">
        <v>13</v>
      </c>
      <c r="C17" s="19">
        <v>2203</v>
      </c>
      <c r="D17" s="19">
        <v>2204</v>
      </c>
      <c r="E17" s="19">
        <v>2211</v>
      </c>
      <c r="F17" s="19">
        <v>12.4</v>
      </c>
      <c r="G17" s="19">
        <v>12.8</v>
      </c>
      <c r="H17" s="19">
        <v>-1</v>
      </c>
      <c r="J17" s="18"/>
      <c r="K17" s="20">
        <v>45416</v>
      </c>
      <c r="L17" t="s">
        <v>13</v>
      </c>
      <c r="O17" t="s">
        <v>113</v>
      </c>
      <c r="P17">
        <v>46.36</v>
      </c>
    </row>
    <row r="18" spans="1:16" x14ac:dyDescent="0.25">
      <c r="A18" s="17">
        <v>45416</v>
      </c>
      <c r="B18" s="19" t="s">
        <v>75</v>
      </c>
      <c r="C18" s="19">
        <v>1785</v>
      </c>
      <c r="D18" s="19">
        <v>1117</v>
      </c>
      <c r="E18" s="19">
        <v>444</v>
      </c>
      <c r="F18" s="19">
        <v>12.9</v>
      </c>
      <c r="G18" s="19">
        <v>14.9</v>
      </c>
      <c r="H18" s="19">
        <v>-1</v>
      </c>
      <c r="J18" s="18"/>
      <c r="K18" s="20">
        <v>45416</v>
      </c>
      <c r="L18" t="s">
        <v>75</v>
      </c>
      <c r="O18" t="s">
        <v>111</v>
      </c>
      <c r="P18">
        <v>21.58</v>
      </c>
    </row>
    <row r="19" spans="1:16" x14ac:dyDescent="0.25">
      <c r="A19" s="17">
        <v>45416</v>
      </c>
      <c r="B19" s="19" t="s">
        <v>27</v>
      </c>
      <c r="C19" s="19">
        <v>2083</v>
      </c>
      <c r="D19" s="19">
        <v>1355</v>
      </c>
      <c r="E19" s="19">
        <v>2067</v>
      </c>
      <c r="F19" s="19">
        <v>13.89</v>
      </c>
      <c r="G19" s="19">
        <v>14</v>
      </c>
      <c r="H19" s="19">
        <v>-1</v>
      </c>
      <c r="J19" s="18"/>
      <c r="K19" s="20">
        <v>45416</v>
      </c>
      <c r="L19" t="s">
        <v>27</v>
      </c>
      <c r="O19" t="s">
        <v>109</v>
      </c>
      <c r="P19">
        <v>41.5</v>
      </c>
    </row>
    <row r="20" spans="1:16" x14ac:dyDescent="0.25">
      <c r="A20" s="17">
        <v>45416</v>
      </c>
      <c r="B20" s="19" t="s">
        <v>28</v>
      </c>
      <c r="C20" s="19">
        <v>2007</v>
      </c>
      <c r="D20" s="19">
        <v>1770</v>
      </c>
      <c r="E20" s="19">
        <v>2057</v>
      </c>
      <c r="F20" s="19">
        <v>13.9</v>
      </c>
      <c r="G20" s="19">
        <v>14.5</v>
      </c>
      <c r="H20" s="19">
        <v>-1</v>
      </c>
      <c r="J20" s="18"/>
      <c r="K20" s="20">
        <v>45416</v>
      </c>
      <c r="L20" t="s">
        <v>28</v>
      </c>
      <c r="O20" t="s">
        <v>107</v>
      </c>
      <c r="P20">
        <v>12.7</v>
      </c>
    </row>
    <row r="21" spans="1:16" x14ac:dyDescent="0.25">
      <c r="A21" s="17">
        <v>45416</v>
      </c>
      <c r="B21" s="19" t="s">
        <v>29</v>
      </c>
      <c r="C21" s="19">
        <v>2014</v>
      </c>
      <c r="D21" s="19">
        <v>2065</v>
      </c>
      <c r="E21" s="19">
        <v>1970</v>
      </c>
      <c r="F21" s="19">
        <v>13.98</v>
      </c>
      <c r="G21" s="19">
        <v>14.69</v>
      </c>
      <c r="H21" s="19">
        <v>-1</v>
      </c>
      <c r="J21" s="18"/>
      <c r="K21" s="20">
        <v>45416</v>
      </c>
      <c r="L21" t="s">
        <v>29</v>
      </c>
      <c r="O21" t="s">
        <v>41</v>
      </c>
      <c r="P21">
        <v>13</v>
      </c>
    </row>
    <row r="22" spans="1:16" x14ac:dyDescent="0.25">
      <c r="A22" s="17">
        <v>45416</v>
      </c>
      <c r="B22" s="19" t="s">
        <v>67</v>
      </c>
      <c r="C22" s="19">
        <v>1477</v>
      </c>
      <c r="D22" s="19">
        <v>0</v>
      </c>
      <c r="E22" s="19">
        <v>0</v>
      </c>
      <c r="F22" s="19">
        <v>13.8</v>
      </c>
      <c r="G22" s="19">
        <v>14.4</v>
      </c>
      <c r="H22" s="19">
        <v>-1</v>
      </c>
      <c r="J22" s="18"/>
      <c r="K22" s="20">
        <v>45416</v>
      </c>
      <c r="L22" t="s">
        <v>67</v>
      </c>
      <c r="O22" t="s">
        <v>43</v>
      </c>
      <c r="P22">
        <v>10.220000000000001</v>
      </c>
    </row>
    <row r="23" spans="1:16" x14ac:dyDescent="0.25">
      <c r="A23" s="17">
        <v>45416</v>
      </c>
      <c r="B23" s="19" t="s">
        <v>34</v>
      </c>
      <c r="C23" s="19">
        <v>707</v>
      </c>
      <c r="D23" s="19">
        <v>1020</v>
      </c>
      <c r="E23" s="19">
        <v>1732</v>
      </c>
      <c r="F23" s="19">
        <v>15.6</v>
      </c>
      <c r="G23" s="19">
        <v>15.7</v>
      </c>
      <c r="H23" s="19">
        <v>-1</v>
      </c>
      <c r="J23" s="18"/>
      <c r="K23" s="20">
        <v>45416</v>
      </c>
      <c r="L23" t="s">
        <v>34</v>
      </c>
      <c r="O23" t="s">
        <v>5</v>
      </c>
      <c r="P23">
        <v>23.41</v>
      </c>
    </row>
    <row r="24" spans="1:16" x14ac:dyDescent="0.25">
      <c r="A24" s="17">
        <v>45416</v>
      </c>
      <c r="B24" s="19" t="s">
        <v>35</v>
      </c>
      <c r="C24" s="19">
        <v>1908</v>
      </c>
      <c r="D24" s="19">
        <v>1330</v>
      </c>
      <c r="E24" s="19">
        <v>1942</v>
      </c>
      <c r="F24" s="19">
        <v>14.64</v>
      </c>
      <c r="G24" s="19">
        <v>14.7</v>
      </c>
      <c r="H24" s="19">
        <v>-1</v>
      </c>
      <c r="J24" s="18"/>
      <c r="K24" s="20">
        <v>45416</v>
      </c>
      <c r="L24" t="s">
        <v>35</v>
      </c>
      <c r="O24" t="s">
        <v>9</v>
      </c>
      <c r="P24">
        <v>24.88</v>
      </c>
    </row>
    <row r="25" spans="1:16" x14ac:dyDescent="0.25">
      <c r="A25" s="17">
        <v>45416</v>
      </c>
      <c r="B25" s="19" t="s">
        <v>36</v>
      </c>
      <c r="C25" s="19">
        <v>2085</v>
      </c>
      <c r="D25" s="19">
        <v>1526</v>
      </c>
      <c r="E25" s="19">
        <v>2105</v>
      </c>
      <c r="F25" s="19">
        <v>38472557</v>
      </c>
      <c r="G25" s="19">
        <v>13.2</v>
      </c>
      <c r="H25" s="19">
        <v>13.2</v>
      </c>
      <c r="J25" s="18"/>
      <c r="K25" s="20">
        <v>45416</v>
      </c>
      <c r="L25" t="s">
        <v>36</v>
      </c>
      <c r="O25" t="s">
        <v>10</v>
      </c>
      <c r="P25">
        <v>24.69</v>
      </c>
    </row>
    <row r="26" spans="1:16" x14ac:dyDescent="0.25">
      <c r="A26" s="17">
        <v>45417</v>
      </c>
      <c r="B26" s="19" t="s">
        <v>107</v>
      </c>
      <c r="C26" s="19">
        <v>2094</v>
      </c>
      <c r="D26" s="19">
        <v>2116</v>
      </c>
      <c r="E26" s="19">
        <v>1980</v>
      </c>
      <c r="F26" s="19">
        <v>12.09</v>
      </c>
      <c r="G26" s="19">
        <v>12.7</v>
      </c>
      <c r="H26" s="19">
        <v>-1</v>
      </c>
      <c r="J26" s="18"/>
      <c r="K26" s="20">
        <v>45417</v>
      </c>
      <c r="L26" t="s">
        <v>107</v>
      </c>
      <c r="O26" t="s">
        <v>11</v>
      </c>
      <c r="P26">
        <v>13</v>
      </c>
    </row>
    <row r="27" spans="1:16" x14ac:dyDescent="0.25">
      <c r="A27" s="17">
        <v>45417</v>
      </c>
      <c r="B27" s="19" t="s">
        <v>11</v>
      </c>
      <c r="C27" s="19">
        <v>2476</v>
      </c>
      <c r="D27" s="19">
        <v>2205</v>
      </c>
      <c r="E27" s="19">
        <v>2498</v>
      </c>
      <c r="F27" s="19">
        <v>11.39</v>
      </c>
      <c r="G27" s="19">
        <v>13</v>
      </c>
      <c r="H27" s="19">
        <v>-1</v>
      </c>
      <c r="J27" s="18"/>
      <c r="K27" s="20">
        <v>45417</v>
      </c>
      <c r="L27" t="s">
        <v>11</v>
      </c>
      <c r="O27" t="s">
        <v>12</v>
      </c>
      <c r="P27">
        <v>9.68</v>
      </c>
    </row>
    <row r="28" spans="1:16" x14ac:dyDescent="0.25">
      <c r="A28" s="17">
        <v>45417</v>
      </c>
      <c r="B28" s="19" t="s">
        <v>105</v>
      </c>
      <c r="C28" s="19">
        <v>2357</v>
      </c>
      <c r="D28" s="19">
        <v>2337</v>
      </c>
      <c r="E28" s="19">
        <v>2359</v>
      </c>
      <c r="F28" s="19">
        <v>12.39</v>
      </c>
      <c r="G28" s="19">
        <v>12.6</v>
      </c>
      <c r="H28" s="19">
        <v>-1</v>
      </c>
      <c r="J28" s="18"/>
      <c r="K28" s="20">
        <v>45417</v>
      </c>
      <c r="L28" t="s">
        <v>105</v>
      </c>
      <c r="O28" t="s">
        <v>105</v>
      </c>
      <c r="P28">
        <v>12.6</v>
      </c>
    </row>
    <row r="29" spans="1:16" x14ac:dyDescent="0.25">
      <c r="A29" s="17">
        <v>45417</v>
      </c>
      <c r="B29" s="19" t="s">
        <v>13</v>
      </c>
      <c r="C29" s="19">
        <v>2221</v>
      </c>
      <c r="D29" s="19">
        <v>2225</v>
      </c>
      <c r="E29" s="19">
        <v>2223</v>
      </c>
      <c r="F29" s="19">
        <v>12.4</v>
      </c>
      <c r="G29" s="19">
        <v>12.8</v>
      </c>
      <c r="H29" s="19">
        <v>-1</v>
      </c>
      <c r="J29" s="18"/>
      <c r="K29" s="20">
        <v>45417</v>
      </c>
      <c r="L29" t="s">
        <v>13</v>
      </c>
      <c r="O29" t="s">
        <v>104</v>
      </c>
      <c r="P29">
        <v>14.79</v>
      </c>
    </row>
    <row r="30" spans="1:16" x14ac:dyDescent="0.25">
      <c r="A30" s="17">
        <v>45417</v>
      </c>
      <c r="B30" s="19" t="s">
        <v>27</v>
      </c>
      <c r="C30" s="19">
        <v>2061</v>
      </c>
      <c r="D30" s="19">
        <v>2130</v>
      </c>
      <c r="E30" s="19">
        <v>2043</v>
      </c>
      <c r="F30" s="19">
        <v>13.89</v>
      </c>
      <c r="G30" s="19">
        <v>14</v>
      </c>
      <c r="H30" s="19">
        <v>-1</v>
      </c>
      <c r="J30" s="18"/>
      <c r="K30" s="20">
        <v>45417</v>
      </c>
      <c r="L30" t="s">
        <v>27</v>
      </c>
      <c r="O30" t="s">
        <v>13</v>
      </c>
      <c r="P30">
        <v>12.8</v>
      </c>
    </row>
    <row r="31" spans="1:16" x14ac:dyDescent="0.25">
      <c r="A31" s="17">
        <v>45417</v>
      </c>
      <c r="B31" s="19" t="s">
        <v>28</v>
      </c>
      <c r="C31" s="19">
        <v>2035</v>
      </c>
      <c r="D31" s="19">
        <v>2170</v>
      </c>
      <c r="E31" s="19">
        <v>2045</v>
      </c>
      <c r="F31" s="19">
        <v>13.9</v>
      </c>
      <c r="G31" s="19">
        <v>14.5</v>
      </c>
      <c r="H31" s="19">
        <v>-1</v>
      </c>
      <c r="J31" s="18"/>
      <c r="K31" s="20">
        <v>45417</v>
      </c>
      <c r="L31" t="s">
        <v>28</v>
      </c>
      <c r="O31" t="s">
        <v>103</v>
      </c>
      <c r="P31">
        <v>32.909999999999997</v>
      </c>
    </row>
    <row r="32" spans="1:16" x14ac:dyDescent="0.25">
      <c r="A32" s="17">
        <v>45417</v>
      </c>
      <c r="B32" s="19" t="s">
        <v>29</v>
      </c>
      <c r="C32" s="19">
        <v>2015</v>
      </c>
      <c r="D32" s="19">
        <v>2066</v>
      </c>
      <c r="E32" s="19">
        <v>1937</v>
      </c>
      <c r="F32" s="19">
        <v>13.98</v>
      </c>
      <c r="G32" s="19">
        <v>14.69</v>
      </c>
      <c r="H32" s="19">
        <v>-1</v>
      </c>
      <c r="J32" s="18"/>
      <c r="K32" s="20">
        <v>45417</v>
      </c>
      <c r="L32" t="s">
        <v>29</v>
      </c>
      <c r="O32" t="s">
        <v>101</v>
      </c>
      <c r="P32">
        <v>13.4</v>
      </c>
    </row>
    <row r="33" spans="1:16" x14ac:dyDescent="0.25">
      <c r="A33" s="17">
        <v>45417</v>
      </c>
      <c r="B33" s="19" t="s">
        <v>67</v>
      </c>
      <c r="C33" s="19">
        <v>1416</v>
      </c>
      <c r="D33" s="19">
        <v>2131</v>
      </c>
      <c r="E33" s="19">
        <v>2020</v>
      </c>
      <c r="F33" s="19">
        <v>13.8</v>
      </c>
      <c r="G33" s="19">
        <v>14.4</v>
      </c>
      <c r="H33" s="19">
        <v>-1</v>
      </c>
      <c r="J33" s="18"/>
      <c r="K33" s="20">
        <v>45417</v>
      </c>
      <c r="L33" t="s">
        <v>67</v>
      </c>
      <c r="O33" t="s">
        <v>99</v>
      </c>
      <c r="P33">
        <v>10.87</v>
      </c>
    </row>
    <row r="34" spans="1:16" x14ac:dyDescent="0.25">
      <c r="A34" s="17">
        <v>45417</v>
      </c>
      <c r="B34" s="19" t="s">
        <v>34</v>
      </c>
      <c r="C34" s="19">
        <v>1580</v>
      </c>
      <c r="D34" s="19">
        <v>1775</v>
      </c>
      <c r="E34" s="19">
        <v>1611</v>
      </c>
      <c r="F34" s="19">
        <v>15.6</v>
      </c>
      <c r="G34" s="19">
        <v>15.7</v>
      </c>
      <c r="H34" s="19">
        <v>-1</v>
      </c>
      <c r="J34" s="18"/>
      <c r="K34" s="20">
        <v>45417</v>
      </c>
      <c r="L34" t="s">
        <v>34</v>
      </c>
      <c r="O34" t="s">
        <v>97</v>
      </c>
      <c r="P34">
        <v>22.9</v>
      </c>
    </row>
    <row r="35" spans="1:16" x14ac:dyDescent="0.25">
      <c r="A35" s="17">
        <v>45417</v>
      </c>
      <c r="B35" s="19" t="s">
        <v>35</v>
      </c>
      <c r="C35" s="19">
        <v>1939</v>
      </c>
      <c r="D35" s="19">
        <v>1936</v>
      </c>
      <c r="E35" s="19">
        <v>1922</v>
      </c>
      <c r="F35" s="19">
        <v>14.64</v>
      </c>
      <c r="G35" s="19">
        <v>14.7</v>
      </c>
      <c r="H35" s="19">
        <v>-1</v>
      </c>
      <c r="J35" s="18"/>
      <c r="K35" s="20">
        <v>45417</v>
      </c>
      <c r="L35" t="s">
        <v>35</v>
      </c>
      <c r="O35" t="s">
        <v>95</v>
      </c>
      <c r="P35">
        <v>22.27</v>
      </c>
    </row>
    <row r="36" spans="1:16" x14ac:dyDescent="0.25">
      <c r="A36" s="17">
        <v>45417</v>
      </c>
      <c r="B36" s="19" t="s">
        <v>36</v>
      </c>
      <c r="C36" s="19">
        <v>2105</v>
      </c>
      <c r="D36" s="19">
        <v>537</v>
      </c>
      <c r="E36" s="19">
        <v>0</v>
      </c>
      <c r="F36" s="19">
        <v>38472557</v>
      </c>
      <c r="G36" s="19">
        <v>13.2</v>
      </c>
      <c r="H36" s="19">
        <v>13.2</v>
      </c>
      <c r="J36" s="18"/>
      <c r="K36" s="20">
        <v>45417</v>
      </c>
      <c r="L36" t="s">
        <v>36</v>
      </c>
      <c r="O36" t="s">
        <v>14</v>
      </c>
      <c r="P36">
        <v>22.39</v>
      </c>
    </row>
    <row r="37" spans="1:16" x14ac:dyDescent="0.25">
      <c r="A37" s="17">
        <v>45418</v>
      </c>
      <c r="B37" s="19" t="s">
        <v>107</v>
      </c>
      <c r="C37" s="19">
        <v>2041</v>
      </c>
      <c r="D37" s="19">
        <v>2205</v>
      </c>
      <c r="E37" s="19">
        <v>2088</v>
      </c>
      <c r="F37" s="19">
        <v>12.09</v>
      </c>
      <c r="G37" s="19">
        <v>12.7</v>
      </c>
      <c r="H37" s="19">
        <v>-1</v>
      </c>
      <c r="J37" s="18"/>
      <c r="K37" s="20">
        <v>45418</v>
      </c>
      <c r="L37" t="s">
        <v>107</v>
      </c>
      <c r="O37" t="s">
        <v>91</v>
      </c>
      <c r="P37">
        <v>24.39</v>
      </c>
    </row>
    <row r="38" spans="1:16" x14ac:dyDescent="0.25">
      <c r="A38" s="17">
        <v>45418</v>
      </c>
      <c r="B38" s="19" t="s">
        <v>11</v>
      </c>
      <c r="C38" s="19">
        <v>2400</v>
      </c>
      <c r="D38" s="19">
        <v>2559</v>
      </c>
      <c r="E38" s="19">
        <v>2551</v>
      </c>
      <c r="F38" s="19">
        <v>11.39</v>
      </c>
      <c r="G38" s="19">
        <v>13</v>
      </c>
      <c r="H38" s="19">
        <v>-1</v>
      </c>
      <c r="J38" s="18"/>
      <c r="K38" s="20">
        <v>45418</v>
      </c>
      <c r="L38" t="s">
        <v>11</v>
      </c>
      <c r="O38" t="s">
        <v>15</v>
      </c>
      <c r="P38">
        <v>18.09</v>
      </c>
    </row>
    <row r="39" spans="1:16" x14ac:dyDescent="0.25">
      <c r="A39" s="17">
        <v>45418</v>
      </c>
      <c r="B39" s="19" t="s">
        <v>105</v>
      </c>
      <c r="C39" s="19">
        <v>2294</v>
      </c>
      <c r="D39" s="19">
        <v>2413</v>
      </c>
      <c r="E39" s="19">
        <v>2415</v>
      </c>
      <c r="F39" s="19">
        <v>12.39</v>
      </c>
      <c r="G39" s="19">
        <v>12.6</v>
      </c>
      <c r="H39" s="19">
        <v>-1</v>
      </c>
      <c r="J39" s="18"/>
      <c r="K39" s="20">
        <v>45418</v>
      </c>
      <c r="L39" t="s">
        <v>105</v>
      </c>
      <c r="O39" t="s">
        <v>89</v>
      </c>
      <c r="P39">
        <v>0</v>
      </c>
    </row>
    <row r="40" spans="1:16" x14ac:dyDescent="0.25">
      <c r="A40" s="17">
        <v>45418</v>
      </c>
      <c r="B40" s="19" t="s">
        <v>13</v>
      </c>
      <c r="C40" s="19">
        <v>2160</v>
      </c>
      <c r="D40" s="19">
        <v>2261</v>
      </c>
      <c r="E40" s="19">
        <v>2266</v>
      </c>
      <c r="F40" s="19">
        <v>12.4</v>
      </c>
      <c r="G40" s="19">
        <v>12.8</v>
      </c>
      <c r="H40" s="19">
        <v>-1</v>
      </c>
      <c r="J40" s="18"/>
      <c r="K40" s="20">
        <v>45418</v>
      </c>
      <c r="L40" t="s">
        <v>13</v>
      </c>
      <c r="O40" t="s">
        <v>16</v>
      </c>
      <c r="P40">
        <v>21.1</v>
      </c>
    </row>
    <row r="41" spans="1:16" x14ac:dyDescent="0.25">
      <c r="A41" s="17">
        <v>45418</v>
      </c>
      <c r="B41" s="19" t="s">
        <v>27</v>
      </c>
      <c r="C41" s="19">
        <v>1970</v>
      </c>
      <c r="D41" s="19">
        <v>2198</v>
      </c>
      <c r="E41" s="19">
        <v>1995</v>
      </c>
      <c r="F41" s="19">
        <v>13.89</v>
      </c>
      <c r="G41" s="19">
        <v>14</v>
      </c>
      <c r="H41" s="19">
        <v>-1</v>
      </c>
      <c r="K41" s="20">
        <v>45418</v>
      </c>
      <c r="L41" t="s">
        <v>27</v>
      </c>
      <c r="O41" t="s">
        <v>88</v>
      </c>
      <c r="P41">
        <v>0</v>
      </c>
    </row>
    <row r="42" spans="1:16" x14ac:dyDescent="0.25">
      <c r="A42" s="17">
        <v>45418</v>
      </c>
      <c r="B42" s="19" t="s">
        <v>28</v>
      </c>
      <c r="C42" s="19">
        <v>2030</v>
      </c>
      <c r="D42" s="19">
        <v>2217</v>
      </c>
      <c r="E42" s="19">
        <v>2068</v>
      </c>
      <c r="F42" s="19">
        <v>13.9</v>
      </c>
      <c r="G42" s="19">
        <v>14.5</v>
      </c>
      <c r="H42" s="19">
        <v>-1</v>
      </c>
      <c r="K42" s="20">
        <v>45418</v>
      </c>
      <c r="L42" t="s">
        <v>28</v>
      </c>
      <c r="O42" t="s">
        <v>17</v>
      </c>
      <c r="P42">
        <v>24.29</v>
      </c>
    </row>
    <row r="43" spans="1:16" x14ac:dyDescent="0.25">
      <c r="A43" s="17">
        <v>45418</v>
      </c>
      <c r="B43" s="19" t="s">
        <v>29</v>
      </c>
      <c r="C43" s="19">
        <v>1118</v>
      </c>
      <c r="D43" s="19">
        <v>1626</v>
      </c>
      <c r="E43" s="19">
        <v>0</v>
      </c>
      <c r="F43" s="19">
        <v>13.98</v>
      </c>
      <c r="G43" s="19">
        <v>14.69</v>
      </c>
      <c r="H43" s="19">
        <v>-1</v>
      </c>
      <c r="K43" s="20">
        <v>45418</v>
      </c>
      <c r="L43" t="s">
        <v>29</v>
      </c>
      <c r="O43" t="s">
        <v>19</v>
      </c>
      <c r="P43">
        <v>24.79</v>
      </c>
    </row>
    <row r="44" spans="1:16" x14ac:dyDescent="0.25">
      <c r="A44" s="17">
        <v>45418</v>
      </c>
      <c r="B44" s="19" t="s">
        <v>67</v>
      </c>
      <c r="C44" s="19">
        <v>2001</v>
      </c>
      <c r="D44" s="19">
        <v>2174</v>
      </c>
      <c r="E44" s="19">
        <v>1934</v>
      </c>
      <c r="F44" s="19">
        <v>13.8</v>
      </c>
      <c r="G44" s="19">
        <v>14.4</v>
      </c>
      <c r="H44" s="19">
        <v>-1</v>
      </c>
      <c r="K44" s="20">
        <v>45418</v>
      </c>
      <c r="L44" t="s">
        <v>67</v>
      </c>
      <c r="O44" t="s">
        <v>18</v>
      </c>
      <c r="P44">
        <v>18.89</v>
      </c>
    </row>
    <row r="45" spans="1:16" x14ac:dyDescent="0.25">
      <c r="A45" s="17">
        <v>45419</v>
      </c>
      <c r="B45" s="19" t="s">
        <v>107</v>
      </c>
      <c r="C45" s="19">
        <v>2192</v>
      </c>
      <c r="D45" s="19">
        <v>2148</v>
      </c>
      <c r="E45" s="19">
        <v>2203</v>
      </c>
      <c r="F45" s="19">
        <v>12.09</v>
      </c>
      <c r="G45" s="19">
        <v>12.7</v>
      </c>
      <c r="H45" s="19">
        <v>-1</v>
      </c>
      <c r="K45" s="20">
        <v>45419</v>
      </c>
      <c r="L45" t="s">
        <v>107</v>
      </c>
      <c r="O45" t="s">
        <v>87</v>
      </c>
      <c r="P45">
        <v>0</v>
      </c>
    </row>
    <row r="46" spans="1:16" x14ac:dyDescent="0.25">
      <c r="A46" s="17">
        <v>45419</v>
      </c>
      <c r="B46" s="19" t="s">
        <v>11</v>
      </c>
      <c r="C46" s="19">
        <v>2520</v>
      </c>
      <c r="D46" s="19">
        <v>2552</v>
      </c>
      <c r="E46" s="19">
        <v>2531</v>
      </c>
      <c r="F46" s="19">
        <v>11.39</v>
      </c>
      <c r="G46" s="19">
        <v>13</v>
      </c>
      <c r="H46" s="19">
        <v>-1</v>
      </c>
      <c r="K46" s="20">
        <v>45419</v>
      </c>
      <c r="L46" t="s">
        <v>11</v>
      </c>
      <c r="O46" t="s">
        <v>42</v>
      </c>
      <c r="P46">
        <v>14.85</v>
      </c>
    </row>
    <row r="47" spans="1:16" x14ac:dyDescent="0.25">
      <c r="A47" s="17">
        <v>45419</v>
      </c>
      <c r="B47" s="19" t="s">
        <v>105</v>
      </c>
      <c r="C47" s="19">
        <v>2380</v>
      </c>
      <c r="D47" s="19">
        <v>2422</v>
      </c>
      <c r="E47" s="19">
        <v>2387</v>
      </c>
      <c r="F47" s="19">
        <v>12.39</v>
      </c>
      <c r="G47" s="19">
        <v>12.6</v>
      </c>
      <c r="H47" s="19">
        <v>-1</v>
      </c>
      <c r="K47" s="20">
        <v>45419</v>
      </c>
      <c r="L47" t="s">
        <v>105</v>
      </c>
      <c r="O47" t="s">
        <v>86</v>
      </c>
      <c r="P47">
        <v>24.82</v>
      </c>
    </row>
    <row r="48" spans="1:16" x14ac:dyDescent="0.25">
      <c r="A48" s="17">
        <v>45419</v>
      </c>
      <c r="B48" s="19" t="s">
        <v>13</v>
      </c>
      <c r="C48" s="19">
        <v>2230</v>
      </c>
      <c r="D48" s="19">
        <v>2286</v>
      </c>
      <c r="E48" s="19">
        <v>2241</v>
      </c>
      <c r="F48" s="19">
        <v>12.4</v>
      </c>
      <c r="G48" s="19">
        <v>12.8</v>
      </c>
      <c r="H48" s="19">
        <v>-1</v>
      </c>
      <c r="K48" s="20">
        <v>45419</v>
      </c>
      <c r="L48" t="s">
        <v>13</v>
      </c>
      <c r="O48" t="s">
        <v>38</v>
      </c>
      <c r="P48">
        <v>19.8</v>
      </c>
    </row>
    <row r="49" spans="1:16" x14ac:dyDescent="0.25">
      <c r="A49" s="17">
        <v>45419</v>
      </c>
      <c r="B49" s="19" t="s">
        <v>27</v>
      </c>
      <c r="C49" s="19">
        <v>1981</v>
      </c>
      <c r="D49" s="19">
        <v>2153</v>
      </c>
      <c r="E49" s="19">
        <v>2015</v>
      </c>
      <c r="F49" s="19">
        <v>13.89</v>
      </c>
      <c r="G49" s="19">
        <v>14</v>
      </c>
      <c r="H49" s="19">
        <v>-1</v>
      </c>
      <c r="K49" s="20">
        <v>45419</v>
      </c>
      <c r="L49" t="s">
        <v>27</v>
      </c>
      <c r="O49" t="s">
        <v>83</v>
      </c>
      <c r="P49">
        <v>0</v>
      </c>
    </row>
    <row r="50" spans="1:16" x14ac:dyDescent="0.25">
      <c r="A50" s="17">
        <v>45419</v>
      </c>
      <c r="B50" s="19" t="s">
        <v>28</v>
      </c>
      <c r="C50" s="19">
        <v>2003</v>
      </c>
      <c r="D50" s="19">
        <v>2194</v>
      </c>
      <c r="E50" s="19">
        <v>2035</v>
      </c>
      <c r="F50" s="19">
        <v>13.9</v>
      </c>
      <c r="G50" s="19">
        <v>14.5</v>
      </c>
      <c r="H50" s="19">
        <v>-1</v>
      </c>
      <c r="K50" s="20">
        <v>45419</v>
      </c>
      <c r="L50" t="s">
        <v>28</v>
      </c>
      <c r="O50" t="s">
        <v>20</v>
      </c>
      <c r="P50">
        <v>20.25</v>
      </c>
    </row>
    <row r="51" spans="1:16" x14ac:dyDescent="0.25">
      <c r="A51" s="17">
        <v>45419</v>
      </c>
      <c r="B51" s="19" t="s">
        <v>29</v>
      </c>
      <c r="C51" s="19">
        <v>1168</v>
      </c>
      <c r="D51" s="19">
        <v>2034</v>
      </c>
      <c r="E51" s="19">
        <v>1990</v>
      </c>
      <c r="F51" s="19">
        <v>13.98</v>
      </c>
      <c r="G51" s="19">
        <v>14.69</v>
      </c>
      <c r="H51" s="19">
        <v>-1</v>
      </c>
      <c r="K51" s="20">
        <v>45419</v>
      </c>
      <c r="L51" t="s">
        <v>29</v>
      </c>
      <c r="O51" t="s">
        <v>21</v>
      </c>
      <c r="P51">
        <v>24.26</v>
      </c>
    </row>
    <row r="52" spans="1:16" x14ac:dyDescent="0.25">
      <c r="A52" s="17">
        <v>45419</v>
      </c>
      <c r="B52" s="19" t="s">
        <v>67</v>
      </c>
      <c r="C52" s="19">
        <v>2000</v>
      </c>
      <c r="D52" s="19">
        <v>2134</v>
      </c>
      <c r="E52" s="19">
        <v>2000</v>
      </c>
      <c r="F52" s="19">
        <v>13.8</v>
      </c>
      <c r="G52" s="19">
        <v>14.4</v>
      </c>
      <c r="H52" s="19">
        <v>-1</v>
      </c>
      <c r="K52" s="20">
        <v>45419</v>
      </c>
      <c r="L52" t="s">
        <v>67</v>
      </c>
      <c r="O52" t="s">
        <v>22</v>
      </c>
      <c r="P52">
        <v>17.5</v>
      </c>
    </row>
    <row r="53" spans="1:16" x14ac:dyDescent="0.25">
      <c r="A53" s="17">
        <v>45420</v>
      </c>
      <c r="B53" s="19" t="s">
        <v>107</v>
      </c>
      <c r="C53" s="19">
        <v>2153</v>
      </c>
      <c r="D53" s="19">
        <v>2149</v>
      </c>
      <c r="E53" s="19">
        <v>1982</v>
      </c>
      <c r="F53" s="19">
        <v>12.09</v>
      </c>
      <c r="G53" s="19">
        <v>12.7</v>
      </c>
      <c r="H53" s="19">
        <v>-1</v>
      </c>
      <c r="K53" s="20">
        <v>45420</v>
      </c>
      <c r="L53" t="s">
        <v>107</v>
      </c>
      <c r="O53" t="s">
        <v>77</v>
      </c>
      <c r="P53">
        <v>0</v>
      </c>
    </row>
    <row r="54" spans="1:16" x14ac:dyDescent="0.25">
      <c r="A54" s="17">
        <v>45420</v>
      </c>
      <c r="B54" s="19" t="s">
        <v>11</v>
      </c>
      <c r="C54" s="19">
        <v>2378</v>
      </c>
      <c r="D54" s="19">
        <v>2634</v>
      </c>
      <c r="E54" s="19">
        <v>2512</v>
      </c>
      <c r="F54" s="19">
        <v>11.39</v>
      </c>
      <c r="G54" s="19">
        <v>13</v>
      </c>
      <c r="H54" s="19">
        <v>-1</v>
      </c>
      <c r="K54" s="20">
        <v>45420</v>
      </c>
      <c r="L54" t="s">
        <v>11</v>
      </c>
      <c r="O54" t="s">
        <v>23</v>
      </c>
      <c r="P54">
        <v>13.41</v>
      </c>
    </row>
    <row r="55" spans="1:16" x14ac:dyDescent="0.25">
      <c r="A55" s="17">
        <v>45420</v>
      </c>
      <c r="B55" s="19" t="s">
        <v>105</v>
      </c>
      <c r="C55" s="19">
        <v>2230</v>
      </c>
      <c r="D55" s="19">
        <v>2482</v>
      </c>
      <c r="E55" s="19">
        <v>2364</v>
      </c>
      <c r="F55" s="19">
        <v>12.39</v>
      </c>
      <c r="G55" s="19">
        <v>12.6</v>
      </c>
      <c r="H55" s="19">
        <v>-1</v>
      </c>
      <c r="K55" s="20">
        <v>45420</v>
      </c>
      <c r="L55" t="s">
        <v>105</v>
      </c>
      <c r="O55" t="s">
        <v>24</v>
      </c>
      <c r="P55">
        <v>15</v>
      </c>
    </row>
    <row r="56" spans="1:16" x14ac:dyDescent="0.25">
      <c r="A56" s="17">
        <v>45420</v>
      </c>
      <c r="B56" s="19" t="s">
        <v>13</v>
      </c>
      <c r="C56" s="19">
        <v>2110</v>
      </c>
      <c r="D56" s="19">
        <v>2332</v>
      </c>
      <c r="E56" s="19">
        <v>2195</v>
      </c>
      <c r="F56" s="19">
        <v>12.4</v>
      </c>
      <c r="G56" s="19">
        <v>12.8</v>
      </c>
      <c r="H56" s="19">
        <v>-1</v>
      </c>
      <c r="K56" s="20">
        <v>45420</v>
      </c>
      <c r="L56" t="s">
        <v>13</v>
      </c>
      <c r="O56" t="s">
        <v>75</v>
      </c>
      <c r="P56">
        <v>14.9</v>
      </c>
    </row>
    <row r="57" spans="1:16" x14ac:dyDescent="0.25">
      <c r="A57" s="17">
        <v>45420</v>
      </c>
      <c r="B57" s="19" t="s">
        <v>74</v>
      </c>
      <c r="C57" s="19">
        <v>1300</v>
      </c>
      <c r="D57" s="19">
        <v>1940</v>
      </c>
      <c r="E57" s="19">
        <v>1731</v>
      </c>
      <c r="F57" s="19">
        <v>15.61</v>
      </c>
      <c r="G57" s="19">
        <v>15.7</v>
      </c>
      <c r="H57" s="19">
        <v>-1</v>
      </c>
      <c r="K57" s="20">
        <v>45420</v>
      </c>
      <c r="L57" t="s">
        <v>74</v>
      </c>
      <c r="O57" t="s">
        <v>25</v>
      </c>
      <c r="P57">
        <v>14.3</v>
      </c>
    </row>
    <row r="58" spans="1:16" x14ac:dyDescent="0.25">
      <c r="A58" s="17">
        <v>45420</v>
      </c>
      <c r="B58" s="19" t="s">
        <v>27</v>
      </c>
      <c r="C58" s="19">
        <v>1975</v>
      </c>
      <c r="D58" s="19">
        <v>2200</v>
      </c>
      <c r="E58" s="19">
        <v>2013</v>
      </c>
      <c r="F58" s="19">
        <v>13.89</v>
      </c>
      <c r="G58" s="19">
        <v>14</v>
      </c>
      <c r="H58" s="19">
        <v>-1</v>
      </c>
      <c r="K58" s="20">
        <v>45420</v>
      </c>
      <c r="L58" t="s">
        <v>27</v>
      </c>
      <c r="O58" t="s">
        <v>74</v>
      </c>
      <c r="P58">
        <v>15.7</v>
      </c>
    </row>
    <row r="59" spans="1:16" x14ac:dyDescent="0.25">
      <c r="A59" s="17">
        <v>45420</v>
      </c>
      <c r="B59" s="19" t="s">
        <v>28</v>
      </c>
      <c r="C59" s="19">
        <v>2024</v>
      </c>
      <c r="D59" s="19">
        <v>2240</v>
      </c>
      <c r="E59" s="19">
        <v>2024</v>
      </c>
      <c r="F59" s="19">
        <v>13.9</v>
      </c>
      <c r="G59" s="19">
        <v>14.5</v>
      </c>
      <c r="H59" s="19">
        <v>-1</v>
      </c>
      <c r="K59" s="20">
        <v>45420</v>
      </c>
      <c r="L59" t="s">
        <v>28</v>
      </c>
      <c r="O59" t="s">
        <v>26</v>
      </c>
      <c r="P59">
        <v>15.4</v>
      </c>
    </row>
    <row r="60" spans="1:16" x14ac:dyDescent="0.25">
      <c r="A60" s="17">
        <v>45420</v>
      </c>
      <c r="B60" s="19" t="s">
        <v>29</v>
      </c>
      <c r="C60" s="19">
        <v>1946</v>
      </c>
      <c r="D60" s="19">
        <v>2131</v>
      </c>
      <c r="E60" s="19">
        <v>1945</v>
      </c>
      <c r="F60" s="19">
        <v>13.98</v>
      </c>
      <c r="G60" s="19">
        <v>14.69</v>
      </c>
      <c r="H60" s="19">
        <v>-1</v>
      </c>
      <c r="K60" s="20">
        <v>45420</v>
      </c>
      <c r="L60" t="s">
        <v>29</v>
      </c>
      <c r="O60" t="s">
        <v>27</v>
      </c>
      <c r="P60">
        <v>14</v>
      </c>
    </row>
    <row r="61" spans="1:16" x14ac:dyDescent="0.25">
      <c r="A61" s="17">
        <v>45420</v>
      </c>
      <c r="B61" s="19" t="s">
        <v>67</v>
      </c>
      <c r="C61" s="19">
        <v>1980</v>
      </c>
      <c r="D61" s="19">
        <v>2185</v>
      </c>
      <c r="E61" s="19">
        <v>1979</v>
      </c>
      <c r="F61" s="19">
        <v>13.8</v>
      </c>
      <c r="G61" s="19">
        <v>14.4</v>
      </c>
      <c r="H61" s="19">
        <v>-1</v>
      </c>
      <c r="K61" s="20">
        <v>45420</v>
      </c>
      <c r="L61" t="s">
        <v>67</v>
      </c>
      <c r="O61" t="s">
        <v>28</v>
      </c>
      <c r="P61">
        <v>14.5</v>
      </c>
    </row>
    <row r="62" spans="1:16" x14ac:dyDescent="0.25">
      <c r="A62" s="17">
        <v>45420</v>
      </c>
      <c r="B62" s="19" t="s">
        <v>36</v>
      </c>
      <c r="C62" s="19">
        <v>100</v>
      </c>
      <c r="D62" s="19">
        <v>2323</v>
      </c>
      <c r="E62" s="19">
        <v>1577</v>
      </c>
      <c r="F62" s="19">
        <v>38472557</v>
      </c>
      <c r="G62" s="19">
        <v>13.2</v>
      </c>
      <c r="H62" s="19">
        <v>13.2</v>
      </c>
      <c r="K62" s="20">
        <v>45420</v>
      </c>
      <c r="L62" t="s">
        <v>36</v>
      </c>
      <c r="O62" t="s">
        <v>72</v>
      </c>
      <c r="P62">
        <v>14.49</v>
      </c>
    </row>
    <row r="63" spans="1:16" x14ac:dyDescent="0.25">
      <c r="A63" s="17">
        <v>45421</v>
      </c>
      <c r="B63" s="19" t="s">
        <v>107</v>
      </c>
      <c r="C63" s="19">
        <v>2292</v>
      </c>
      <c r="D63" s="19">
        <v>2241</v>
      </c>
      <c r="E63" s="19">
        <v>2254</v>
      </c>
      <c r="F63" s="19">
        <v>12.09</v>
      </c>
      <c r="G63" s="19">
        <v>12.7</v>
      </c>
      <c r="H63" s="19">
        <v>-1</v>
      </c>
      <c r="K63" s="20">
        <v>45421</v>
      </c>
      <c r="L63" t="s">
        <v>107</v>
      </c>
      <c r="O63" t="s">
        <v>29</v>
      </c>
      <c r="P63">
        <v>14.69</v>
      </c>
    </row>
    <row r="64" spans="1:16" x14ac:dyDescent="0.25">
      <c r="A64" s="17">
        <v>45421</v>
      </c>
      <c r="B64" s="19" t="s">
        <v>11</v>
      </c>
      <c r="C64" s="19">
        <v>2467</v>
      </c>
      <c r="D64" s="19">
        <v>2612</v>
      </c>
      <c r="E64" s="19">
        <v>2500</v>
      </c>
      <c r="F64" s="19">
        <v>11.39</v>
      </c>
      <c r="G64" s="19">
        <v>13</v>
      </c>
      <c r="H64" s="19">
        <v>-1</v>
      </c>
      <c r="K64" s="20">
        <v>45421</v>
      </c>
      <c r="L64" t="s">
        <v>11</v>
      </c>
      <c r="O64" t="s">
        <v>30</v>
      </c>
      <c r="P64">
        <v>13.7</v>
      </c>
    </row>
    <row r="65" spans="1:16" x14ac:dyDescent="0.25">
      <c r="A65" s="17">
        <v>45421</v>
      </c>
      <c r="B65" s="19" t="s">
        <v>105</v>
      </c>
      <c r="C65" s="19">
        <v>2279</v>
      </c>
      <c r="D65" s="19">
        <v>2440</v>
      </c>
      <c r="E65" s="19">
        <v>2320</v>
      </c>
      <c r="F65" s="19">
        <v>12.39</v>
      </c>
      <c r="G65" s="19">
        <v>12.6</v>
      </c>
      <c r="H65" s="19">
        <v>-1</v>
      </c>
      <c r="K65" s="20">
        <v>45421</v>
      </c>
      <c r="L65" t="s">
        <v>105</v>
      </c>
      <c r="O65" t="s">
        <v>31</v>
      </c>
      <c r="P65">
        <v>13.6</v>
      </c>
    </row>
    <row r="66" spans="1:16" x14ac:dyDescent="0.25">
      <c r="A66" s="17">
        <v>45421</v>
      </c>
      <c r="B66" s="19" t="s">
        <v>13</v>
      </c>
      <c r="C66" s="19">
        <v>2076</v>
      </c>
      <c r="D66" s="19">
        <v>2324</v>
      </c>
      <c r="E66" s="19">
        <v>2190</v>
      </c>
      <c r="F66" s="19">
        <v>12.4</v>
      </c>
      <c r="G66" s="19">
        <v>12.8</v>
      </c>
      <c r="H66" s="19">
        <v>-1</v>
      </c>
      <c r="K66" s="20">
        <v>45421</v>
      </c>
      <c r="L66" t="s">
        <v>13</v>
      </c>
      <c r="O66" t="s">
        <v>32</v>
      </c>
      <c r="P66">
        <v>13.99</v>
      </c>
    </row>
    <row r="67" spans="1:16" x14ac:dyDescent="0.25">
      <c r="A67" s="17">
        <v>45421</v>
      </c>
      <c r="B67" s="19" t="s">
        <v>74</v>
      </c>
      <c r="C67" s="19">
        <v>1516</v>
      </c>
      <c r="D67" s="19">
        <v>1820</v>
      </c>
      <c r="E67" s="19">
        <v>1342</v>
      </c>
      <c r="F67" s="19">
        <v>15.61</v>
      </c>
      <c r="G67" s="19">
        <v>15.7</v>
      </c>
      <c r="H67" s="19">
        <v>-1</v>
      </c>
      <c r="K67" s="20">
        <v>45421</v>
      </c>
      <c r="L67" t="s">
        <v>74</v>
      </c>
      <c r="O67" t="s">
        <v>67</v>
      </c>
      <c r="P67">
        <v>14.4</v>
      </c>
    </row>
    <row r="68" spans="1:16" x14ac:dyDescent="0.25">
      <c r="A68" s="17">
        <v>45421</v>
      </c>
      <c r="B68" s="19" t="s">
        <v>27</v>
      </c>
      <c r="C68" s="19">
        <v>2011</v>
      </c>
      <c r="D68" s="19">
        <v>2126</v>
      </c>
      <c r="E68" s="19">
        <v>2066</v>
      </c>
      <c r="F68" s="19">
        <v>13.89</v>
      </c>
      <c r="G68" s="19">
        <v>14</v>
      </c>
      <c r="H68" s="19">
        <v>-1</v>
      </c>
      <c r="K68" s="20">
        <v>45421</v>
      </c>
      <c r="L68" t="s">
        <v>27</v>
      </c>
      <c r="O68" t="s">
        <v>33</v>
      </c>
      <c r="P68">
        <v>12.6</v>
      </c>
    </row>
    <row r="69" spans="1:16" x14ac:dyDescent="0.25">
      <c r="A69" s="17">
        <v>45421</v>
      </c>
      <c r="B69" s="19" t="s">
        <v>28</v>
      </c>
      <c r="C69" s="19">
        <v>2063</v>
      </c>
      <c r="D69" s="19">
        <v>1976</v>
      </c>
      <c r="E69" s="19">
        <v>2012</v>
      </c>
      <c r="F69" s="19">
        <v>13.9</v>
      </c>
      <c r="G69" s="19">
        <v>14.5</v>
      </c>
      <c r="H69" s="19">
        <v>-1</v>
      </c>
      <c r="K69" s="20">
        <v>45421</v>
      </c>
      <c r="L69" t="s">
        <v>28</v>
      </c>
      <c r="O69" t="s">
        <v>34</v>
      </c>
      <c r="P69">
        <v>15.7</v>
      </c>
    </row>
    <row r="70" spans="1:16" x14ac:dyDescent="0.25">
      <c r="A70" s="17">
        <v>45421</v>
      </c>
      <c r="B70" s="19" t="s">
        <v>29</v>
      </c>
      <c r="C70" s="19">
        <v>1819</v>
      </c>
      <c r="D70" s="19">
        <v>2057</v>
      </c>
      <c r="E70" s="19">
        <v>1970</v>
      </c>
      <c r="F70" s="19">
        <v>13.98</v>
      </c>
      <c r="G70" s="19">
        <v>14.69</v>
      </c>
      <c r="H70" s="19">
        <v>-1</v>
      </c>
      <c r="K70" s="20">
        <v>45421</v>
      </c>
      <c r="L70" t="s">
        <v>29</v>
      </c>
      <c r="O70" t="s">
        <v>35</v>
      </c>
      <c r="P70">
        <v>14.7</v>
      </c>
    </row>
    <row r="71" spans="1:16" x14ac:dyDescent="0.25">
      <c r="A71" s="17">
        <v>45421</v>
      </c>
      <c r="B71" s="19" t="s">
        <v>67</v>
      </c>
      <c r="C71" s="19">
        <v>825</v>
      </c>
      <c r="D71" s="19">
        <v>2009</v>
      </c>
      <c r="E71" s="19">
        <v>2011</v>
      </c>
      <c r="F71" s="19">
        <v>13.8</v>
      </c>
      <c r="G71" s="19">
        <v>14.4</v>
      </c>
      <c r="H71" s="19">
        <v>-1</v>
      </c>
      <c r="K71" s="20">
        <v>45421</v>
      </c>
      <c r="L71" t="s">
        <v>67</v>
      </c>
      <c r="O71" t="s">
        <v>63</v>
      </c>
      <c r="P71">
        <v>0</v>
      </c>
    </row>
    <row r="72" spans="1:16" x14ac:dyDescent="0.25">
      <c r="A72" s="17">
        <v>45421</v>
      </c>
      <c r="B72" s="19" t="s">
        <v>36</v>
      </c>
      <c r="C72" s="19">
        <v>1639</v>
      </c>
      <c r="D72" s="19">
        <v>2261</v>
      </c>
      <c r="E72" s="19">
        <v>2024</v>
      </c>
      <c r="F72" s="19">
        <v>38472557</v>
      </c>
      <c r="G72" s="19">
        <v>13.2</v>
      </c>
      <c r="H72" s="19">
        <v>13.2</v>
      </c>
      <c r="K72" s="20">
        <v>45421</v>
      </c>
      <c r="L72" t="s">
        <v>36</v>
      </c>
      <c r="O72" t="s">
        <v>36</v>
      </c>
      <c r="P72">
        <v>13.2</v>
      </c>
    </row>
    <row r="73" spans="1:16" x14ac:dyDescent="0.25">
      <c r="A73" s="17">
        <v>45422</v>
      </c>
      <c r="B73" s="19" t="s">
        <v>107</v>
      </c>
      <c r="C73" s="19">
        <v>2223</v>
      </c>
      <c r="D73" s="19">
        <v>2232</v>
      </c>
      <c r="E73" s="19">
        <v>2243</v>
      </c>
      <c r="F73" s="19">
        <v>12.59</v>
      </c>
      <c r="G73" s="19">
        <v>12.7</v>
      </c>
      <c r="H73" s="19">
        <v>-1</v>
      </c>
      <c r="K73" s="20">
        <v>45422</v>
      </c>
      <c r="L73" t="s">
        <v>107</v>
      </c>
      <c r="O73" s="18" t="s">
        <v>256</v>
      </c>
      <c r="P73" s="18">
        <v>18.399999999999999</v>
      </c>
    </row>
    <row r="74" spans="1:16" x14ac:dyDescent="0.25">
      <c r="A74" s="17">
        <v>45422</v>
      </c>
      <c r="B74" s="19" t="s">
        <v>11</v>
      </c>
      <c r="C74" s="19">
        <v>2533</v>
      </c>
      <c r="D74" s="19">
        <v>-1</v>
      </c>
      <c r="E74" s="19">
        <v>-1</v>
      </c>
      <c r="F74" s="19">
        <v>11.4</v>
      </c>
      <c r="G74" s="19">
        <v>13</v>
      </c>
      <c r="H74" s="19">
        <v>-1</v>
      </c>
      <c r="K74" s="20">
        <v>45422</v>
      </c>
      <c r="L74" t="s">
        <v>11</v>
      </c>
      <c r="O74" t="s">
        <v>257</v>
      </c>
      <c r="P74">
        <v>18.399999999999999</v>
      </c>
    </row>
    <row r="75" spans="1:16" x14ac:dyDescent="0.25">
      <c r="A75" s="17">
        <v>45422</v>
      </c>
      <c r="B75" s="19" t="s">
        <v>105</v>
      </c>
      <c r="C75" s="19">
        <v>2378</v>
      </c>
      <c r="D75" s="19">
        <v>2445</v>
      </c>
      <c r="E75" s="19">
        <v>2313</v>
      </c>
      <c r="F75" s="19">
        <v>12.39</v>
      </c>
      <c r="G75" s="19">
        <v>12.6</v>
      </c>
      <c r="H75" s="19">
        <v>-1</v>
      </c>
      <c r="K75" s="20">
        <v>45422</v>
      </c>
      <c r="L75" t="s">
        <v>105</v>
      </c>
      <c r="O75" t="s">
        <v>37</v>
      </c>
      <c r="P75">
        <v>13.8</v>
      </c>
    </row>
    <row r="76" spans="1:16" x14ac:dyDescent="0.25">
      <c r="A76" s="17">
        <v>45422</v>
      </c>
      <c r="B76" s="19" t="s">
        <v>13</v>
      </c>
      <c r="C76" s="19">
        <v>2269</v>
      </c>
      <c r="D76" s="19">
        <v>2324</v>
      </c>
      <c r="E76" s="19">
        <v>2043</v>
      </c>
      <c r="F76" s="19">
        <v>12.4</v>
      </c>
      <c r="G76" s="19">
        <v>12.8</v>
      </c>
      <c r="H76" s="19">
        <v>-1</v>
      </c>
      <c r="K76" s="20">
        <v>45422</v>
      </c>
      <c r="L76" t="s">
        <v>13</v>
      </c>
      <c r="O76" t="s">
        <v>258</v>
      </c>
      <c r="P76">
        <v>14.5</v>
      </c>
    </row>
    <row r="77" spans="1:16" x14ac:dyDescent="0.25">
      <c r="A77" s="17">
        <v>45422</v>
      </c>
      <c r="B77" s="19" t="s">
        <v>74</v>
      </c>
      <c r="C77" s="19">
        <v>1632</v>
      </c>
      <c r="D77" s="19">
        <v>-1</v>
      </c>
      <c r="E77" s="19">
        <v>-1</v>
      </c>
      <c r="F77" s="19">
        <v>15.61</v>
      </c>
      <c r="G77" s="19">
        <v>15.7</v>
      </c>
      <c r="H77" s="19">
        <v>-1</v>
      </c>
      <c r="K77" s="20">
        <v>45422</v>
      </c>
      <c r="L77" t="s">
        <v>74</v>
      </c>
      <c r="O77" s="18" t="s">
        <v>259</v>
      </c>
      <c r="P77" s="18">
        <v>14.5</v>
      </c>
    </row>
    <row r="78" spans="1:16" x14ac:dyDescent="0.25">
      <c r="A78" s="17">
        <v>45422</v>
      </c>
      <c r="B78" s="19" t="s">
        <v>27</v>
      </c>
      <c r="C78" s="19">
        <v>2009</v>
      </c>
      <c r="D78" s="19">
        <v>-1</v>
      </c>
      <c r="E78" s="19">
        <v>-1</v>
      </c>
      <c r="F78" s="19">
        <v>13.9</v>
      </c>
      <c r="G78" s="19">
        <v>14</v>
      </c>
      <c r="H78" s="19">
        <v>-1</v>
      </c>
      <c r="K78" s="20">
        <v>45422</v>
      </c>
      <c r="L78" t="s">
        <v>27</v>
      </c>
      <c r="O78" s="18" t="s">
        <v>260</v>
      </c>
      <c r="P78" s="18">
        <v>22.5</v>
      </c>
    </row>
    <row r="79" spans="1:16" x14ac:dyDescent="0.25">
      <c r="A79" s="17">
        <v>45422</v>
      </c>
      <c r="B79" s="19" t="s">
        <v>28</v>
      </c>
      <c r="C79" s="19">
        <v>1921</v>
      </c>
      <c r="D79" s="19">
        <v>-1</v>
      </c>
      <c r="E79" s="19">
        <v>-1</v>
      </c>
      <c r="F79" s="19">
        <v>13.9</v>
      </c>
      <c r="G79" s="19">
        <v>14.5</v>
      </c>
      <c r="H79" s="19">
        <v>-1</v>
      </c>
      <c r="K79" s="20">
        <v>45422</v>
      </c>
      <c r="L79" t="s">
        <v>28</v>
      </c>
      <c r="O79" t="s">
        <v>261</v>
      </c>
      <c r="P79">
        <v>22.5</v>
      </c>
    </row>
    <row r="80" spans="1:16" x14ac:dyDescent="0.25">
      <c r="A80" s="17">
        <v>45422</v>
      </c>
      <c r="B80" s="19" t="s">
        <v>29</v>
      </c>
      <c r="C80" s="19">
        <v>1961</v>
      </c>
      <c r="D80" s="19">
        <v>2115</v>
      </c>
      <c r="E80" s="19">
        <v>1960</v>
      </c>
      <c r="F80" s="19">
        <v>13.98</v>
      </c>
      <c r="G80" s="19">
        <v>14.69</v>
      </c>
      <c r="H80" s="19">
        <v>-1</v>
      </c>
      <c r="K80" s="20">
        <v>45422</v>
      </c>
      <c r="L80" t="s">
        <v>29</v>
      </c>
      <c r="O80" t="s">
        <v>54</v>
      </c>
      <c r="P80">
        <v>16.59</v>
      </c>
    </row>
    <row r="81" spans="1:12" x14ac:dyDescent="0.25">
      <c r="A81" s="17">
        <v>45422</v>
      </c>
      <c r="B81" s="19" t="s">
        <v>67</v>
      </c>
      <c r="C81" s="19">
        <v>2052</v>
      </c>
      <c r="D81" s="19">
        <v>-1</v>
      </c>
      <c r="E81" s="19">
        <v>-1</v>
      </c>
      <c r="F81" s="19">
        <v>13.9</v>
      </c>
      <c r="G81" s="19">
        <v>14.4</v>
      </c>
      <c r="H81" s="19">
        <v>-1</v>
      </c>
      <c r="K81" s="20">
        <v>45422</v>
      </c>
      <c r="L81" t="s">
        <v>67</v>
      </c>
    </row>
    <row r="82" spans="1:12" x14ac:dyDescent="0.25">
      <c r="A82" s="17">
        <v>45422</v>
      </c>
      <c r="B82" s="19" t="s">
        <v>36</v>
      </c>
      <c r="C82" s="19">
        <v>-1</v>
      </c>
      <c r="D82" s="19">
        <v>2132</v>
      </c>
      <c r="E82" s="19">
        <v>2059</v>
      </c>
      <c r="F82" s="19">
        <v>38472557</v>
      </c>
      <c r="G82" s="19">
        <v>13.2</v>
      </c>
      <c r="H82" s="19">
        <v>13.2</v>
      </c>
      <c r="K82" s="20">
        <v>45422</v>
      </c>
      <c r="L82" t="s">
        <v>36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1887"/>
  <sheetViews>
    <sheetView zoomScale="130" zoomScaleNormal="130" workbookViewId="0">
      <selection activeCell="H16" sqref="H16"/>
    </sheetView>
  </sheetViews>
  <sheetFormatPr defaultRowHeight="15" x14ac:dyDescent="0.25"/>
  <cols>
    <col min="1" max="1" width="17.140625" style="18" bestFit="1" customWidth="1"/>
    <col min="2" max="2" width="19.42578125" style="18" bestFit="1" customWidth="1"/>
    <col min="3" max="3" width="9.85546875" style="18" bestFit="1" customWidth="1"/>
    <col min="4" max="4" width="12.28515625" style="18" bestFit="1" customWidth="1"/>
    <col min="5" max="5" width="14.42578125" style="18" bestFit="1" customWidth="1"/>
    <col min="6" max="6" width="12.28515625" bestFit="1" customWidth="1"/>
    <col min="7" max="7" width="9.140625" customWidth="1"/>
    <col min="8" max="16384" width="9.140625" style="12"/>
  </cols>
  <sheetData>
    <row r="1" spans="1:13" x14ac:dyDescent="0.25">
      <c r="A1" s="20" t="s">
        <v>0</v>
      </c>
      <c r="B1" s="19" t="s">
        <v>1</v>
      </c>
      <c r="C1" s="19" t="s">
        <v>3</v>
      </c>
      <c r="D1" s="19" t="s">
        <v>4</v>
      </c>
      <c r="E1" s="19" t="s">
        <v>2</v>
      </c>
      <c r="F1" s="21" t="s">
        <v>145</v>
      </c>
      <c r="H1" s="15"/>
    </row>
    <row r="2" spans="1:13" x14ac:dyDescent="0.25">
      <c r="A2" s="20">
        <v>45415</v>
      </c>
      <c r="B2" s="19" t="s">
        <v>136</v>
      </c>
      <c r="C2" s="19" t="s">
        <v>6</v>
      </c>
      <c r="D2" s="19" t="s">
        <v>138</v>
      </c>
      <c r="E2" s="19">
        <v>0</v>
      </c>
      <c r="F2" s="19">
        <v>-1</v>
      </c>
      <c r="L2" s="22"/>
    </row>
    <row r="3" spans="1:13" x14ac:dyDescent="0.25">
      <c r="A3" s="20">
        <v>45415</v>
      </c>
      <c r="B3" s="19" t="s">
        <v>136</v>
      </c>
      <c r="C3" s="19" t="s">
        <v>7</v>
      </c>
      <c r="D3" s="19" t="s">
        <v>138</v>
      </c>
      <c r="E3" s="19">
        <v>0</v>
      </c>
      <c r="F3" s="19">
        <v>-1</v>
      </c>
      <c r="L3" s="22"/>
      <c r="M3" s="18"/>
    </row>
    <row r="4" spans="1:13" x14ac:dyDescent="0.25">
      <c r="A4" s="20">
        <v>45415</v>
      </c>
      <c r="B4" s="19" t="s">
        <v>136</v>
      </c>
      <c r="C4" s="19" t="s">
        <v>8</v>
      </c>
      <c r="D4" s="19" t="s">
        <v>138</v>
      </c>
      <c r="E4" s="19">
        <v>0</v>
      </c>
      <c r="F4" s="19">
        <v>-1</v>
      </c>
      <c r="M4" s="18"/>
    </row>
    <row r="5" spans="1:13" x14ac:dyDescent="0.25">
      <c r="A5" s="20">
        <v>45415</v>
      </c>
      <c r="B5" s="19" t="s">
        <v>107</v>
      </c>
      <c r="C5" s="19" t="s">
        <v>6</v>
      </c>
      <c r="D5" s="19" t="s">
        <v>139</v>
      </c>
      <c r="E5" s="19">
        <v>1648</v>
      </c>
      <c r="F5" s="19">
        <v>-1</v>
      </c>
      <c r="L5" s="22"/>
      <c r="M5" s="18"/>
    </row>
    <row r="6" spans="1:13" x14ac:dyDescent="0.25">
      <c r="A6" s="20">
        <v>45415</v>
      </c>
      <c r="B6" s="19" t="s">
        <v>107</v>
      </c>
      <c r="C6" s="19" t="s">
        <v>7</v>
      </c>
      <c r="D6" s="19" t="s">
        <v>139</v>
      </c>
      <c r="E6" s="19">
        <v>2120</v>
      </c>
      <c r="F6" s="19">
        <v>-1</v>
      </c>
      <c r="M6" s="18"/>
    </row>
    <row r="7" spans="1:13" x14ac:dyDescent="0.25">
      <c r="A7" s="20">
        <v>45415</v>
      </c>
      <c r="B7" s="19" t="s">
        <v>107</v>
      </c>
      <c r="C7" s="19" t="s">
        <v>8</v>
      </c>
      <c r="D7" s="19" t="s">
        <v>139</v>
      </c>
      <c r="E7" s="19">
        <v>1900</v>
      </c>
      <c r="F7" s="19">
        <v>-1</v>
      </c>
      <c r="L7" s="22"/>
      <c r="M7" s="18"/>
    </row>
    <row r="8" spans="1:13" x14ac:dyDescent="0.25">
      <c r="A8" s="20">
        <v>45415</v>
      </c>
      <c r="B8" s="19" t="s">
        <v>135</v>
      </c>
      <c r="C8" s="19" t="s">
        <v>6</v>
      </c>
      <c r="D8" s="19" t="s">
        <v>138</v>
      </c>
      <c r="E8" s="19">
        <v>0</v>
      </c>
      <c r="F8" s="19">
        <v>-1</v>
      </c>
      <c r="M8" s="18"/>
    </row>
    <row r="9" spans="1:13" x14ac:dyDescent="0.25">
      <c r="A9" s="20">
        <v>45415</v>
      </c>
      <c r="B9" s="19" t="s">
        <v>135</v>
      </c>
      <c r="C9" s="19" t="s">
        <v>7</v>
      </c>
      <c r="D9" s="19" t="s">
        <v>138</v>
      </c>
      <c r="E9" s="19">
        <v>0</v>
      </c>
      <c r="F9" s="19">
        <v>-1</v>
      </c>
      <c r="M9" s="18"/>
    </row>
    <row r="10" spans="1:13" x14ac:dyDescent="0.25">
      <c r="A10" s="20">
        <v>45415</v>
      </c>
      <c r="B10" s="19" t="s">
        <v>135</v>
      </c>
      <c r="C10" s="19" t="s">
        <v>8</v>
      </c>
      <c r="D10" s="19" t="s">
        <v>138</v>
      </c>
      <c r="E10" s="19">
        <v>0</v>
      </c>
      <c r="F10" s="19">
        <v>-1</v>
      </c>
      <c r="M10" s="18"/>
    </row>
    <row r="11" spans="1:13" x14ac:dyDescent="0.25">
      <c r="A11" s="20">
        <v>45415</v>
      </c>
      <c r="B11" s="19" t="s">
        <v>11</v>
      </c>
      <c r="C11" s="19" t="s">
        <v>6</v>
      </c>
      <c r="D11" s="19" t="s">
        <v>139</v>
      </c>
      <c r="E11" s="19">
        <v>2520</v>
      </c>
      <c r="F11" s="19">
        <v>-1</v>
      </c>
      <c r="L11" s="22"/>
      <c r="M11" s="18"/>
    </row>
    <row r="12" spans="1:13" x14ac:dyDescent="0.25">
      <c r="A12" s="20">
        <v>45415</v>
      </c>
      <c r="B12" s="19" t="s">
        <v>11</v>
      </c>
      <c r="C12" s="19" t="s">
        <v>7</v>
      </c>
      <c r="D12" s="19" t="s">
        <v>139</v>
      </c>
      <c r="E12" s="19">
        <v>2585</v>
      </c>
      <c r="F12" s="19">
        <v>-1</v>
      </c>
      <c r="M12" s="18"/>
    </row>
    <row r="13" spans="1:13" x14ac:dyDescent="0.25">
      <c r="A13" s="20">
        <v>45415</v>
      </c>
      <c r="B13" s="19" t="s">
        <v>11</v>
      </c>
      <c r="C13" s="19" t="s">
        <v>8</v>
      </c>
      <c r="D13" s="19" t="s">
        <v>139</v>
      </c>
      <c r="E13" s="19">
        <v>2531</v>
      </c>
      <c r="F13" s="19">
        <v>-1</v>
      </c>
      <c r="M13" s="18"/>
    </row>
    <row r="14" spans="1:13" x14ac:dyDescent="0.25">
      <c r="A14" s="20">
        <v>45415</v>
      </c>
      <c r="B14" s="19" t="s">
        <v>134</v>
      </c>
      <c r="C14" s="19" t="s">
        <v>6</v>
      </c>
      <c r="D14" s="19" t="s">
        <v>138</v>
      </c>
      <c r="E14" s="19">
        <v>0</v>
      </c>
      <c r="F14" s="19">
        <v>-1</v>
      </c>
      <c r="L14" s="22"/>
      <c r="M14" s="18"/>
    </row>
    <row r="15" spans="1:13" x14ac:dyDescent="0.25">
      <c r="A15" s="20">
        <v>45415</v>
      </c>
      <c r="B15" s="19" t="s">
        <v>134</v>
      </c>
      <c r="C15" s="19" t="s">
        <v>7</v>
      </c>
      <c r="D15" s="19" t="s">
        <v>138</v>
      </c>
      <c r="E15" s="19">
        <v>0</v>
      </c>
      <c r="F15" s="19">
        <v>-1</v>
      </c>
      <c r="M15" s="18"/>
    </row>
    <row r="16" spans="1:13" x14ac:dyDescent="0.25">
      <c r="A16" s="20">
        <v>45415</v>
      </c>
      <c r="B16" s="19" t="s">
        <v>134</v>
      </c>
      <c r="C16" s="19" t="s">
        <v>8</v>
      </c>
      <c r="D16" s="19" t="s">
        <v>138</v>
      </c>
      <c r="E16" s="19">
        <v>0</v>
      </c>
      <c r="F16" s="19">
        <v>-1</v>
      </c>
      <c r="M16" s="18"/>
    </row>
    <row r="17" spans="1:13" x14ac:dyDescent="0.25">
      <c r="A17" s="20">
        <v>45415</v>
      </c>
      <c r="B17" s="19" t="s">
        <v>105</v>
      </c>
      <c r="C17" s="19" t="s">
        <v>6</v>
      </c>
      <c r="D17" s="19" t="s">
        <v>139</v>
      </c>
      <c r="E17" s="19">
        <v>2269</v>
      </c>
      <c r="F17" s="19">
        <v>-1</v>
      </c>
      <c r="M17" s="18"/>
    </row>
    <row r="18" spans="1:13" x14ac:dyDescent="0.25">
      <c r="A18" s="20">
        <v>45415</v>
      </c>
      <c r="B18" s="19" t="s">
        <v>105</v>
      </c>
      <c r="C18" s="19" t="s">
        <v>7</v>
      </c>
      <c r="D18" s="19" t="s">
        <v>139</v>
      </c>
      <c r="E18" s="19">
        <v>2425</v>
      </c>
      <c r="F18" s="19">
        <v>-1</v>
      </c>
      <c r="M18" s="18"/>
    </row>
    <row r="19" spans="1:13" x14ac:dyDescent="0.25">
      <c r="A19" s="20">
        <v>45415</v>
      </c>
      <c r="B19" s="19" t="s">
        <v>105</v>
      </c>
      <c r="C19" s="19" t="s">
        <v>8</v>
      </c>
      <c r="D19" s="19" t="s">
        <v>139</v>
      </c>
      <c r="E19" s="19">
        <v>2371</v>
      </c>
      <c r="F19" s="19">
        <v>-1</v>
      </c>
      <c r="M19" s="18"/>
    </row>
    <row r="20" spans="1:13" x14ac:dyDescent="0.25">
      <c r="A20" s="20">
        <v>45415</v>
      </c>
      <c r="B20" s="19" t="s">
        <v>132</v>
      </c>
      <c r="C20" s="19" t="s">
        <v>6</v>
      </c>
      <c r="D20" s="19" t="s">
        <v>138</v>
      </c>
      <c r="E20" s="19">
        <v>0</v>
      </c>
      <c r="F20" s="19">
        <v>-1</v>
      </c>
      <c r="M20" s="18"/>
    </row>
    <row r="21" spans="1:13" x14ac:dyDescent="0.25">
      <c r="A21" s="20">
        <v>45415</v>
      </c>
      <c r="B21" s="19" t="s">
        <v>132</v>
      </c>
      <c r="C21" s="19" t="s">
        <v>7</v>
      </c>
      <c r="D21" s="19" t="s">
        <v>138</v>
      </c>
      <c r="E21" s="19">
        <v>0</v>
      </c>
      <c r="F21" s="19">
        <v>-1</v>
      </c>
      <c r="M21" s="18"/>
    </row>
    <row r="22" spans="1:13" x14ac:dyDescent="0.25">
      <c r="A22" s="20">
        <v>45415</v>
      </c>
      <c r="B22" s="19" t="s">
        <v>132</v>
      </c>
      <c r="C22" s="19" t="s">
        <v>8</v>
      </c>
      <c r="D22" s="19" t="s">
        <v>138</v>
      </c>
      <c r="E22" s="19">
        <v>0</v>
      </c>
      <c r="F22" s="19">
        <v>-1</v>
      </c>
      <c r="L22" s="22"/>
      <c r="M22" s="18"/>
    </row>
    <row r="23" spans="1:13" x14ac:dyDescent="0.25">
      <c r="A23" s="20">
        <v>45415</v>
      </c>
      <c r="B23" s="19" t="s">
        <v>13</v>
      </c>
      <c r="C23" s="19" t="s">
        <v>6</v>
      </c>
      <c r="D23" s="19" t="s">
        <v>139</v>
      </c>
      <c r="E23" s="19">
        <v>2255</v>
      </c>
      <c r="F23" s="19">
        <v>-1</v>
      </c>
      <c r="M23" s="18"/>
    </row>
    <row r="24" spans="1:13" x14ac:dyDescent="0.25">
      <c r="A24" s="20">
        <v>45415</v>
      </c>
      <c r="B24" s="19" t="s">
        <v>13</v>
      </c>
      <c r="C24" s="19" t="s">
        <v>7</v>
      </c>
      <c r="D24" s="19" t="s">
        <v>139</v>
      </c>
      <c r="E24" s="19">
        <v>2292</v>
      </c>
      <c r="F24" s="19">
        <v>-1</v>
      </c>
      <c r="M24" s="18"/>
    </row>
    <row r="25" spans="1:13" x14ac:dyDescent="0.25">
      <c r="A25" s="20">
        <v>45415</v>
      </c>
      <c r="B25" s="19" t="s">
        <v>13</v>
      </c>
      <c r="C25" s="19" t="s">
        <v>8</v>
      </c>
      <c r="D25" s="19" t="s">
        <v>139</v>
      </c>
      <c r="E25" s="19">
        <v>2263</v>
      </c>
      <c r="F25" s="19">
        <v>-1</v>
      </c>
      <c r="M25" s="18"/>
    </row>
    <row r="26" spans="1:13" x14ac:dyDescent="0.25">
      <c r="A26" s="20">
        <v>45415</v>
      </c>
      <c r="B26" s="19" t="s">
        <v>131</v>
      </c>
      <c r="C26" s="19" t="s">
        <v>6</v>
      </c>
      <c r="D26" s="19" t="s">
        <v>138</v>
      </c>
      <c r="E26" s="19">
        <v>0</v>
      </c>
      <c r="F26" s="19">
        <v>-1</v>
      </c>
      <c r="L26" s="22"/>
      <c r="M26" s="18"/>
    </row>
    <row r="27" spans="1:13" x14ac:dyDescent="0.25">
      <c r="A27" s="20">
        <v>45415</v>
      </c>
      <c r="B27" s="19" t="s">
        <v>131</v>
      </c>
      <c r="C27" s="19" t="s">
        <v>7</v>
      </c>
      <c r="D27" s="19" t="s">
        <v>138</v>
      </c>
      <c r="E27" s="19">
        <v>0</v>
      </c>
      <c r="F27" s="19">
        <v>-1</v>
      </c>
      <c r="L27" s="22"/>
      <c r="M27" s="18"/>
    </row>
    <row r="28" spans="1:13" x14ac:dyDescent="0.25">
      <c r="A28" s="20">
        <v>45415</v>
      </c>
      <c r="B28" s="19" t="s">
        <v>131</v>
      </c>
      <c r="C28" s="19" t="s">
        <v>8</v>
      </c>
      <c r="D28" s="19" t="s">
        <v>138</v>
      </c>
      <c r="E28" s="19">
        <v>0</v>
      </c>
      <c r="F28" s="19">
        <v>-1</v>
      </c>
      <c r="L28" s="22"/>
      <c r="M28" s="18"/>
    </row>
    <row r="29" spans="1:13" x14ac:dyDescent="0.25">
      <c r="A29" s="20">
        <v>45415</v>
      </c>
      <c r="B29" s="19" t="s">
        <v>75</v>
      </c>
      <c r="C29" s="19" t="s">
        <v>6</v>
      </c>
      <c r="D29" s="19" t="s">
        <v>139</v>
      </c>
      <c r="E29" s="19">
        <v>168</v>
      </c>
      <c r="F29" s="19">
        <v>-1</v>
      </c>
      <c r="M29" s="18"/>
    </row>
    <row r="30" spans="1:13" x14ac:dyDescent="0.25">
      <c r="A30" s="20">
        <v>45415</v>
      </c>
      <c r="B30" s="19" t="s">
        <v>75</v>
      </c>
      <c r="C30" s="19" t="s">
        <v>7</v>
      </c>
      <c r="D30" s="19" t="s">
        <v>139</v>
      </c>
      <c r="E30" s="19">
        <v>1089</v>
      </c>
      <c r="F30" s="19">
        <v>-1</v>
      </c>
      <c r="L30" s="22"/>
      <c r="M30" s="18"/>
    </row>
    <row r="31" spans="1:13" x14ac:dyDescent="0.25">
      <c r="A31" s="20">
        <v>45415</v>
      </c>
      <c r="B31" s="19" t="s">
        <v>75</v>
      </c>
      <c r="C31" s="19" t="s">
        <v>8</v>
      </c>
      <c r="D31" s="19" t="s">
        <v>139</v>
      </c>
      <c r="E31" s="19">
        <v>1834</v>
      </c>
      <c r="F31" s="19">
        <v>-1</v>
      </c>
      <c r="M31" s="18"/>
    </row>
    <row r="32" spans="1:13" x14ac:dyDescent="0.25">
      <c r="A32" s="20">
        <v>45415</v>
      </c>
      <c r="B32" s="19" t="s">
        <v>130</v>
      </c>
      <c r="C32" s="19" t="s">
        <v>6</v>
      </c>
      <c r="D32" s="19" t="s">
        <v>138</v>
      </c>
      <c r="E32" s="19">
        <v>0</v>
      </c>
      <c r="F32" s="19">
        <v>-1</v>
      </c>
      <c r="L32" s="22"/>
      <c r="M32" s="18"/>
    </row>
    <row r="33" spans="1:13" x14ac:dyDescent="0.25">
      <c r="A33" s="20">
        <v>45415</v>
      </c>
      <c r="B33" s="19" t="s">
        <v>130</v>
      </c>
      <c r="C33" s="19" t="s">
        <v>7</v>
      </c>
      <c r="D33" s="19" t="s">
        <v>138</v>
      </c>
      <c r="E33" s="19">
        <v>0</v>
      </c>
      <c r="F33" s="19">
        <v>-1</v>
      </c>
      <c r="M33" s="18"/>
    </row>
    <row r="34" spans="1:13" x14ac:dyDescent="0.25">
      <c r="A34" s="20">
        <v>45415</v>
      </c>
      <c r="B34" s="19" t="s">
        <v>130</v>
      </c>
      <c r="C34" s="19" t="s">
        <v>8</v>
      </c>
      <c r="D34" s="19" t="s">
        <v>138</v>
      </c>
      <c r="E34" s="19">
        <v>0</v>
      </c>
      <c r="F34" s="19">
        <v>-1</v>
      </c>
      <c r="M34" s="18"/>
    </row>
    <row r="35" spans="1:13" x14ac:dyDescent="0.25">
      <c r="A35" s="20">
        <v>45415</v>
      </c>
      <c r="B35" s="19" t="s">
        <v>27</v>
      </c>
      <c r="C35" s="19" t="s">
        <v>6</v>
      </c>
      <c r="D35" s="19" t="s">
        <v>139</v>
      </c>
      <c r="E35" s="19">
        <v>2077</v>
      </c>
      <c r="F35" s="19">
        <v>-1</v>
      </c>
      <c r="M35" s="18"/>
    </row>
    <row r="36" spans="1:13" x14ac:dyDescent="0.25">
      <c r="A36" s="20">
        <v>45415</v>
      </c>
      <c r="B36" s="19" t="s">
        <v>27</v>
      </c>
      <c r="C36" s="19" t="s">
        <v>7</v>
      </c>
      <c r="D36" s="19" t="s">
        <v>139</v>
      </c>
      <c r="E36" s="19">
        <v>2106</v>
      </c>
      <c r="F36" s="19">
        <v>-1</v>
      </c>
      <c r="M36" s="18"/>
    </row>
    <row r="37" spans="1:13" x14ac:dyDescent="0.25">
      <c r="A37" s="20">
        <v>45415</v>
      </c>
      <c r="B37" s="19" t="s">
        <v>27</v>
      </c>
      <c r="C37" s="19" t="s">
        <v>8</v>
      </c>
      <c r="D37" s="19" t="s">
        <v>139</v>
      </c>
      <c r="E37" s="19">
        <v>2045</v>
      </c>
      <c r="F37" s="19">
        <v>-1</v>
      </c>
      <c r="M37" s="18"/>
    </row>
    <row r="38" spans="1:13" x14ac:dyDescent="0.25">
      <c r="A38" s="20">
        <v>45415</v>
      </c>
      <c r="B38" s="19" t="s">
        <v>128</v>
      </c>
      <c r="C38" s="19" t="s">
        <v>6</v>
      </c>
      <c r="D38" s="19" t="s">
        <v>138</v>
      </c>
      <c r="E38" s="19">
        <v>0</v>
      </c>
      <c r="F38" s="19">
        <v>-1</v>
      </c>
      <c r="M38" s="18"/>
    </row>
    <row r="39" spans="1:13" x14ac:dyDescent="0.25">
      <c r="A39" s="20">
        <v>45415</v>
      </c>
      <c r="B39" s="19" t="s">
        <v>128</v>
      </c>
      <c r="C39" s="19" t="s">
        <v>7</v>
      </c>
      <c r="D39" s="19" t="s">
        <v>138</v>
      </c>
      <c r="E39" s="19">
        <v>0</v>
      </c>
      <c r="F39" s="19">
        <v>-1</v>
      </c>
      <c r="M39" s="18"/>
    </row>
    <row r="40" spans="1:13" x14ac:dyDescent="0.25">
      <c r="A40" s="20">
        <v>45415</v>
      </c>
      <c r="B40" s="19" t="s">
        <v>128</v>
      </c>
      <c r="C40" s="19" t="s">
        <v>8</v>
      </c>
      <c r="D40" s="19" t="s">
        <v>138</v>
      </c>
      <c r="E40" s="19">
        <v>0</v>
      </c>
      <c r="F40" s="19">
        <v>-1</v>
      </c>
      <c r="L40" s="22"/>
      <c r="M40" s="18"/>
    </row>
    <row r="41" spans="1:13" x14ac:dyDescent="0.25">
      <c r="A41" s="20">
        <v>45415</v>
      </c>
      <c r="B41" s="19" t="s">
        <v>28</v>
      </c>
      <c r="C41" s="19" t="s">
        <v>6</v>
      </c>
      <c r="D41" s="19" t="s">
        <v>139</v>
      </c>
      <c r="E41" s="19">
        <v>1484</v>
      </c>
      <c r="F41" s="19">
        <v>-1</v>
      </c>
      <c r="M41" s="18"/>
    </row>
    <row r="42" spans="1:13" x14ac:dyDescent="0.25">
      <c r="A42" s="20">
        <v>45415</v>
      </c>
      <c r="B42" s="19" t="s">
        <v>28</v>
      </c>
      <c r="C42" s="19" t="s">
        <v>7</v>
      </c>
      <c r="D42" s="19" t="s">
        <v>139</v>
      </c>
      <c r="E42" s="19">
        <v>2076</v>
      </c>
      <c r="F42" s="19">
        <v>-1</v>
      </c>
      <c r="L42" s="22"/>
      <c r="M42" s="18"/>
    </row>
    <row r="43" spans="1:13" x14ac:dyDescent="0.25">
      <c r="A43" s="20">
        <v>45415</v>
      </c>
      <c r="B43" s="19" t="s">
        <v>28</v>
      </c>
      <c r="C43" s="19" t="s">
        <v>8</v>
      </c>
      <c r="D43" s="19" t="s">
        <v>139</v>
      </c>
      <c r="E43" s="19">
        <v>1976</v>
      </c>
      <c r="F43" s="19">
        <v>-1</v>
      </c>
      <c r="M43" s="18"/>
    </row>
    <row r="44" spans="1:13" x14ac:dyDescent="0.25">
      <c r="A44" s="20">
        <v>45415</v>
      </c>
      <c r="B44" s="19" t="s">
        <v>40</v>
      </c>
      <c r="C44" s="19" t="s">
        <v>6</v>
      </c>
      <c r="D44" s="19" t="s">
        <v>138</v>
      </c>
      <c r="E44" s="19">
        <v>0</v>
      </c>
      <c r="F44" s="19">
        <v>-1</v>
      </c>
      <c r="L44" s="22"/>
      <c r="M44" s="18"/>
    </row>
    <row r="45" spans="1:13" x14ac:dyDescent="0.25">
      <c r="A45" s="20">
        <v>45415</v>
      </c>
      <c r="B45" s="19" t="s">
        <v>40</v>
      </c>
      <c r="C45" s="19" t="s">
        <v>7</v>
      </c>
      <c r="D45" s="19" t="s">
        <v>138</v>
      </c>
      <c r="E45" s="19">
        <v>0</v>
      </c>
      <c r="F45" s="19">
        <v>-1</v>
      </c>
      <c r="M45" s="18"/>
    </row>
    <row r="46" spans="1:13" x14ac:dyDescent="0.25">
      <c r="A46" s="20">
        <v>45415</v>
      </c>
      <c r="B46" s="19" t="s">
        <v>40</v>
      </c>
      <c r="C46" s="19" t="s">
        <v>8</v>
      </c>
      <c r="D46" s="19" t="s">
        <v>138</v>
      </c>
      <c r="E46" s="19">
        <v>0</v>
      </c>
      <c r="F46" s="19">
        <v>-1</v>
      </c>
      <c r="L46" s="22"/>
      <c r="M46" s="18"/>
    </row>
    <row r="47" spans="1:13" x14ac:dyDescent="0.25">
      <c r="A47" s="20">
        <v>45415</v>
      </c>
      <c r="B47" s="19" t="s">
        <v>29</v>
      </c>
      <c r="C47" s="19" t="s">
        <v>6</v>
      </c>
      <c r="D47" s="19" t="s">
        <v>139</v>
      </c>
      <c r="E47" s="19">
        <v>1283</v>
      </c>
      <c r="F47" s="19">
        <v>-1</v>
      </c>
      <c r="M47" s="18"/>
    </row>
    <row r="48" spans="1:13" x14ac:dyDescent="0.25">
      <c r="A48" s="20">
        <v>45415</v>
      </c>
      <c r="B48" s="19" t="s">
        <v>29</v>
      </c>
      <c r="C48" s="19" t="s">
        <v>7</v>
      </c>
      <c r="D48" s="19" t="s">
        <v>139</v>
      </c>
      <c r="E48" s="19">
        <v>2041</v>
      </c>
      <c r="F48" s="19">
        <v>-1</v>
      </c>
      <c r="M48" s="18"/>
    </row>
    <row r="49" spans="1:13" x14ac:dyDescent="0.25">
      <c r="A49" s="20">
        <v>45415</v>
      </c>
      <c r="B49" s="19" t="s">
        <v>29</v>
      </c>
      <c r="C49" s="19" t="s">
        <v>8</v>
      </c>
      <c r="D49" s="19" t="s">
        <v>139</v>
      </c>
      <c r="E49" s="19">
        <v>1922</v>
      </c>
      <c r="F49" s="19">
        <v>-1</v>
      </c>
      <c r="M49" s="18"/>
    </row>
    <row r="50" spans="1:13" x14ac:dyDescent="0.25">
      <c r="A50" s="20">
        <v>45415</v>
      </c>
      <c r="B50" s="19" t="s">
        <v>127</v>
      </c>
      <c r="C50" s="19" t="s">
        <v>6</v>
      </c>
      <c r="D50" s="19" t="s">
        <v>138</v>
      </c>
      <c r="E50" s="19">
        <v>0</v>
      </c>
      <c r="F50" s="19">
        <v>-1</v>
      </c>
      <c r="L50" s="22"/>
      <c r="M50" s="18"/>
    </row>
    <row r="51" spans="1:13" x14ac:dyDescent="0.25">
      <c r="A51" s="20">
        <v>45415</v>
      </c>
      <c r="B51" s="19" t="s">
        <v>127</v>
      </c>
      <c r="C51" s="19" t="s">
        <v>7</v>
      </c>
      <c r="D51" s="19" t="s">
        <v>138</v>
      </c>
      <c r="E51" s="19">
        <v>0</v>
      </c>
      <c r="F51" s="19">
        <v>-1</v>
      </c>
      <c r="L51" s="22"/>
      <c r="M51" s="18"/>
    </row>
    <row r="52" spans="1:13" x14ac:dyDescent="0.25">
      <c r="A52" s="20">
        <v>45415</v>
      </c>
      <c r="B52" s="19" t="s">
        <v>127</v>
      </c>
      <c r="C52" s="19" t="s">
        <v>8</v>
      </c>
      <c r="D52" s="19" t="s">
        <v>138</v>
      </c>
      <c r="E52" s="19">
        <v>0</v>
      </c>
      <c r="F52" s="19">
        <v>-1</v>
      </c>
      <c r="M52" s="18"/>
    </row>
    <row r="53" spans="1:13" x14ac:dyDescent="0.25">
      <c r="A53" s="20">
        <v>45415</v>
      </c>
      <c r="B53" s="19" t="s">
        <v>67</v>
      </c>
      <c r="C53" s="19" t="s">
        <v>6</v>
      </c>
      <c r="D53" s="19" t="s">
        <v>139</v>
      </c>
      <c r="E53" s="19">
        <v>1988</v>
      </c>
      <c r="F53" s="19">
        <v>-1</v>
      </c>
      <c r="M53" s="18"/>
    </row>
    <row r="54" spans="1:13" x14ac:dyDescent="0.25">
      <c r="A54" s="20">
        <v>45415</v>
      </c>
      <c r="B54" s="19" t="s">
        <v>67</v>
      </c>
      <c r="C54" s="19" t="s">
        <v>7</v>
      </c>
      <c r="D54" s="19" t="s">
        <v>139</v>
      </c>
      <c r="E54" s="19">
        <v>2088</v>
      </c>
      <c r="F54" s="19">
        <v>-1</v>
      </c>
      <c r="M54" s="18"/>
    </row>
    <row r="55" spans="1:13" x14ac:dyDescent="0.25">
      <c r="A55" s="20">
        <v>45415</v>
      </c>
      <c r="B55" s="19" t="s">
        <v>67</v>
      </c>
      <c r="C55" s="19" t="s">
        <v>8</v>
      </c>
      <c r="D55" s="19" t="s">
        <v>139</v>
      </c>
      <c r="E55" s="19">
        <v>1960</v>
      </c>
      <c r="F55" s="19">
        <v>-1</v>
      </c>
      <c r="L55" s="22"/>
      <c r="M55" s="18"/>
    </row>
    <row r="56" spans="1:13" x14ac:dyDescent="0.25">
      <c r="A56" s="20">
        <v>45415</v>
      </c>
      <c r="B56" s="19" t="s">
        <v>124</v>
      </c>
      <c r="C56" s="19" t="s">
        <v>6</v>
      </c>
      <c r="D56" s="19" t="s">
        <v>138</v>
      </c>
      <c r="E56" s="19">
        <v>0</v>
      </c>
      <c r="F56" s="19">
        <v>-1</v>
      </c>
      <c r="M56" s="18"/>
    </row>
    <row r="57" spans="1:13" x14ac:dyDescent="0.25">
      <c r="A57" s="20">
        <v>45415</v>
      </c>
      <c r="B57" s="19" t="s">
        <v>124</v>
      </c>
      <c r="C57" s="19" t="s">
        <v>7</v>
      </c>
      <c r="D57" s="19" t="s">
        <v>138</v>
      </c>
      <c r="E57" s="19">
        <v>0</v>
      </c>
      <c r="F57" s="19">
        <v>-1</v>
      </c>
      <c r="L57" s="22"/>
      <c r="M57" s="18"/>
    </row>
    <row r="58" spans="1:13" x14ac:dyDescent="0.25">
      <c r="A58" s="20">
        <v>45415</v>
      </c>
      <c r="B58" s="19" t="s">
        <v>124</v>
      </c>
      <c r="C58" s="19" t="s">
        <v>8</v>
      </c>
      <c r="D58" s="19" t="s">
        <v>138</v>
      </c>
      <c r="E58" s="19">
        <v>0</v>
      </c>
      <c r="F58" s="19">
        <v>-1</v>
      </c>
      <c r="L58" s="22"/>
      <c r="M58" s="18"/>
    </row>
    <row r="59" spans="1:13" x14ac:dyDescent="0.25">
      <c r="A59" s="20">
        <v>45415</v>
      </c>
      <c r="B59" s="19" t="s">
        <v>34</v>
      </c>
      <c r="C59" s="19" t="s">
        <v>6</v>
      </c>
      <c r="D59" s="19" t="s">
        <v>139</v>
      </c>
      <c r="E59" s="19">
        <v>1488</v>
      </c>
      <c r="F59" s="19">
        <v>-1</v>
      </c>
      <c r="L59" s="22"/>
      <c r="M59" s="18"/>
    </row>
    <row r="60" spans="1:13" x14ac:dyDescent="0.25">
      <c r="A60" s="20">
        <v>45415</v>
      </c>
      <c r="B60" s="19" t="s">
        <v>34</v>
      </c>
      <c r="C60" s="19" t="s">
        <v>7</v>
      </c>
      <c r="D60" s="19" t="s">
        <v>138</v>
      </c>
      <c r="E60" s="19">
        <v>0</v>
      </c>
      <c r="F60" s="19">
        <v>-1</v>
      </c>
      <c r="L60" s="22"/>
      <c r="M60" s="18"/>
    </row>
    <row r="61" spans="1:13" x14ac:dyDescent="0.25">
      <c r="A61" s="20">
        <v>45415</v>
      </c>
      <c r="B61" s="19" t="s">
        <v>34</v>
      </c>
      <c r="C61" s="19" t="s">
        <v>8</v>
      </c>
      <c r="D61" s="19" t="s">
        <v>138</v>
      </c>
      <c r="E61" s="19">
        <v>0</v>
      </c>
      <c r="F61" s="19">
        <v>-1</v>
      </c>
      <c r="M61" s="18"/>
    </row>
    <row r="62" spans="1:13" x14ac:dyDescent="0.25">
      <c r="A62" s="20">
        <v>45415</v>
      </c>
      <c r="B62" s="19" t="s">
        <v>122</v>
      </c>
      <c r="C62" s="19" t="s">
        <v>6</v>
      </c>
      <c r="D62" s="19" t="s">
        <v>138</v>
      </c>
      <c r="E62" s="19">
        <v>0</v>
      </c>
      <c r="F62" s="19">
        <v>-1</v>
      </c>
      <c r="L62" s="22"/>
      <c r="M62" s="18"/>
    </row>
    <row r="63" spans="1:13" x14ac:dyDescent="0.25">
      <c r="A63" s="20">
        <v>45415</v>
      </c>
      <c r="B63" s="19" t="s">
        <v>122</v>
      </c>
      <c r="C63" s="19" t="s">
        <v>7</v>
      </c>
      <c r="D63" s="19" t="s">
        <v>138</v>
      </c>
      <c r="E63" s="19">
        <v>0</v>
      </c>
      <c r="F63" s="19">
        <v>-1</v>
      </c>
      <c r="L63" s="22"/>
      <c r="M63" s="18"/>
    </row>
    <row r="64" spans="1:13" x14ac:dyDescent="0.25">
      <c r="A64" s="20">
        <v>45415</v>
      </c>
      <c r="B64" s="19" t="s">
        <v>122</v>
      </c>
      <c r="C64" s="19" t="s">
        <v>8</v>
      </c>
      <c r="D64" s="19" t="s">
        <v>138</v>
      </c>
      <c r="E64" s="19">
        <v>0</v>
      </c>
      <c r="F64" s="19">
        <v>-1</v>
      </c>
      <c r="L64" s="22"/>
      <c r="M64" s="18"/>
    </row>
    <row r="65" spans="1:13" x14ac:dyDescent="0.25">
      <c r="A65" s="20">
        <v>45415</v>
      </c>
      <c r="B65" s="19" t="s">
        <v>35</v>
      </c>
      <c r="C65" s="19" t="s">
        <v>6</v>
      </c>
      <c r="D65" s="19" t="s">
        <v>139</v>
      </c>
      <c r="E65" s="19">
        <v>878</v>
      </c>
      <c r="F65" s="19">
        <v>-1</v>
      </c>
      <c r="L65" s="22"/>
      <c r="M65" s="18"/>
    </row>
    <row r="66" spans="1:13" x14ac:dyDescent="0.25">
      <c r="A66" s="20">
        <v>45415</v>
      </c>
      <c r="B66" s="19" t="s">
        <v>35</v>
      </c>
      <c r="C66" s="19" t="s">
        <v>7</v>
      </c>
      <c r="D66" s="19" t="s">
        <v>139</v>
      </c>
      <c r="E66" s="19">
        <v>1525</v>
      </c>
      <c r="F66" s="19">
        <v>-1</v>
      </c>
      <c r="L66" s="22"/>
      <c r="M66" s="18"/>
    </row>
    <row r="67" spans="1:13" x14ac:dyDescent="0.25">
      <c r="A67" s="20">
        <v>45415</v>
      </c>
      <c r="B67" s="19" t="s">
        <v>35</v>
      </c>
      <c r="C67" s="19" t="s">
        <v>8</v>
      </c>
      <c r="D67" s="19" t="s">
        <v>139</v>
      </c>
      <c r="E67" s="19">
        <v>1910</v>
      </c>
      <c r="F67" s="19">
        <v>-1</v>
      </c>
      <c r="M67" s="18"/>
    </row>
    <row r="68" spans="1:13" x14ac:dyDescent="0.25">
      <c r="A68" s="20">
        <v>45415</v>
      </c>
      <c r="B68" s="19" t="s">
        <v>120</v>
      </c>
      <c r="C68" s="19" t="s">
        <v>6</v>
      </c>
      <c r="D68" s="19" t="s">
        <v>138</v>
      </c>
      <c r="E68" s="19">
        <v>0</v>
      </c>
      <c r="F68" s="19">
        <v>-1</v>
      </c>
      <c r="L68" s="22"/>
      <c r="M68" s="18"/>
    </row>
    <row r="69" spans="1:13" x14ac:dyDescent="0.25">
      <c r="A69" s="20">
        <v>45415</v>
      </c>
      <c r="B69" s="19" t="s">
        <v>120</v>
      </c>
      <c r="C69" s="19" t="s">
        <v>7</v>
      </c>
      <c r="D69" s="19" t="s">
        <v>138</v>
      </c>
      <c r="E69" s="19">
        <v>0</v>
      </c>
      <c r="F69" s="19">
        <v>-1</v>
      </c>
      <c r="L69" s="22"/>
      <c r="M69" s="18"/>
    </row>
    <row r="70" spans="1:13" x14ac:dyDescent="0.25">
      <c r="A70" s="20">
        <v>45415</v>
      </c>
      <c r="B70" s="19" t="s">
        <v>120</v>
      </c>
      <c r="C70" s="19" t="s">
        <v>8</v>
      </c>
      <c r="D70" s="19" t="s">
        <v>138</v>
      </c>
      <c r="E70" s="19">
        <v>0</v>
      </c>
      <c r="F70" s="19">
        <v>-1</v>
      </c>
      <c r="M70" s="18"/>
    </row>
    <row r="71" spans="1:13" x14ac:dyDescent="0.25">
      <c r="A71" s="20">
        <v>45415</v>
      </c>
      <c r="B71" s="19" t="s">
        <v>36</v>
      </c>
      <c r="C71" s="19" t="s">
        <v>6</v>
      </c>
      <c r="D71" s="19" t="s">
        <v>139</v>
      </c>
      <c r="E71" s="19">
        <v>2199</v>
      </c>
      <c r="F71" s="19">
        <v>13.2</v>
      </c>
      <c r="M71" s="18"/>
    </row>
    <row r="72" spans="1:13" x14ac:dyDescent="0.25">
      <c r="A72" s="20">
        <v>45415</v>
      </c>
      <c r="B72" s="19" t="s">
        <v>36</v>
      </c>
      <c r="C72" s="19" t="s">
        <v>7</v>
      </c>
      <c r="D72" s="19" t="s">
        <v>139</v>
      </c>
      <c r="E72" s="19">
        <v>2088</v>
      </c>
      <c r="F72" s="19">
        <v>13.2</v>
      </c>
      <c r="M72" s="18"/>
    </row>
    <row r="73" spans="1:13" x14ac:dyDescent="0.25">
      <c r="A73" s="20">
        <v>45415</v>
      </c>
      <c r="B73" s="19" t="s">
        <v>36</v>
      </c>
      <c r="C73" s="19" t="s">
        <v>8</v>
      </c>
      <c r="D73" s="19" t="s">
        <v>139</v>
      </c>
      <c r="E73" s="19">
        <v>2023</v>
      </c>
      <c r="F73" s="19">
        <v>13.2</v>
      </c>
      <c r="M73" s="18"/>
    </row>
    <row r="74" spans="1:13" x14ac:dyDescent="0.25">
      <c r="A74" s="20">
        <v>45415</v>
      </c>
      <c r="B74" s="19" t="s">
        <v>119</v>
      </c>
      <c r="C74" s="19" t="s">
        <v>6</v>
      </c>
      <c r="D74" s="19" t="s">
        <v>138</v>
      </c>
      <c r="E74" s="19">
        <v>0</v>
      </c>
      <c r="F74" s="19">
        <v>-1</v>
      </c>
      <c r="M74" s="18"/>
    </row>
    <row r="75" spans="1:13" x14ac:dyDescent="0.25">
      <c r="A75" s="20">
        <v>45415</v>
      </c>
      <c r="B75" s="19" t="s">
        <v>119</v>
      </c>
      <c r="C75" s="19" t="s">
        <v>7</v>
      </c>
      <c r="D75" s="19" t="s">
        <v>138</v>
      </c>
      <c r="E75" s="19">
        <v>0</v>
      </c>
      <c r="F75" s="19">
        <v>-1</v>
      </c>
      <c r="M75" s="18"/>
    </row>
    <row r="76" spans="1:13" x14ac:dyDescent="0.25">
      <c r="A76" s="20">
        <v>45415</v>
      </c>
      <c r="B76" s="19" t="s">
        <v>119</v>
      </c>
      <c r="C76" s="19" t="s">
        <v>8</v>
      </c>
      <c r="D76" s="19" t="s">
        <v>138</v>
      </c>
      <c r="E76" s="19">
        <v>0</v>
      </c>
      <c r="F76" s="19">
        <v>-1</v>
      </c>
      <c r="M76" s="18"/>
    </row>
    <row r="77" spans="1:13" x14ac:dyDescent="0.25">
      <c r="A77" s="20">
        <v>45415</v>
      </c>
      <c r="B77" s="19" t="s">
        <v>117</v>
      </c>
      <c r="C77" s="19" t="s">
        <v>6</v>
      </c>
      <c r="D77" s="19" t="s">
        <v>138</v>
      </c>
      <c r="E77" s="19">
        <v>0</v>
      </c>
      <c r="F77" s="19">
        <v>-1</v>
      </c>
      <c r="M77" s="18"/>
    </row>
    <row r="78" spans="1:13" x14ac:dyDescent="0.25">
      <c r="A78" s="20">
        <v>45415</v>
      </c>
      <c r="B78" s="19" t="s">
        <v>117</v>
      </c>
      <c r="C78" s="19" t="s">
        <v>7</v>
      </c>
      <c r="D78" s="19" t="s">
        <v>138</v>
      </c>
      <c r="E78" s="19">
        <v>0</v>
      </c>
      <c r="F78" s="19">
        <v>-1</v>
      </c>
    </row>
    <row r="79" spans="1:13" x14ac:dyDescent="0.25">
      <c r="A79" s="20">
        <v>45415</v>
      </c>
      <c r="B79" s="19" t="s">
        <v>117</v>
      </c>
      <c r="C79" s="19" t="s">
        <v>8</v>
      </c>
      <c r="D79" s="19" t="s">
        <v>138</v>
      </c>
      <c r="E79" s="19">
        <v>0</v>
      </c>
      <c r="F79" s="19">
        <v>-1</v>
      </c>
    </row>
    <row r="80" spans="1:13" x14ac:dyDescent="0.25">
      <c r="A80" s="20">
        <v>45415</v>
      </c>
      <c r="B80" s="19" t="s">
        <v>39</v>
      </c>
      <c r="C80" s="19" t="s">
        <v>6</v>
      </c>
      <c r="D80" s="19" t="s">
        <v>138</v>
      </c>
      <c r="E80" s="19">
        <v>0</v>
      </c>
      <c r="F80" s="19">
        <v>-1</v>
      </c>
    </row>
    <row r="81" spans="1:6" x14ac:dyDescent="0.25">
      <c r="A81" s="20">
        <v>45415</v>
      </c>
      <c r="B81" s="19" t="s">
        <v>39</v>
      </c>
      <c r="C81" s="19" t="s">
        <v>7</v>
      </c>
      <c r="D81" s="19" t="s">
        <v>138</v>
      </c>
      <c r="E81" s="19">
        <v>0</v>
      </c>
      <c r="F81" s="19">
        <v>-1</v>
      </c>
    </row>
    <row r="82" spans="1:6" x14ac:dyDescent="0.25">
      <c r="A82" s="20">
        <v>45415</v>
      </c>
      <c r="B82" s="19" t="s">
        <v>39</v>
      </c>
      <c r="C82" s="19" t="s">
        <v>8</v>
      </c>
      <c r="D82" s="19" t="s">
        <v>138</v>
      </c>
      <c r="E82" s="19">
        <v>0</v>
      </c>
      <c r="F82" s="19">
        <v>-1</v>
      </c>
    </row>
    <row r="83" spans="1:6" x14ac:dyDescent="0.25">
      <c r="A83" s="20">
        <v>45415</v>
      </c>
      <c r="B83" s="19" t="s">
        <v>113</v>
      </c>
      <c r="C83" s="19" t="s">
        <v>6</v>
      </c>
      <c r="D83" s="19" t="s">
        <v>138</v>
      </c>
      <c r="E83" s="19">
        <v>0</v>
      </c>
      <c r="F83" s="19">
        <v>-1</v>
      </c>
    </row>
    <row r="84" spans="1:6" x14ac:dyDescent="0.25">
      <c r="A84" s="20">
        <v>45415</v>
      </c>
      <c r="B84" s="19" t="s">
        <v>113</v>
      </c>
      <c r="C84" s="19" t="s">
        <v>7</v>
      </c>
      <c r="D84" s="19" t="s">
        <v>138</v>
      </c>
      <c r="E84" s="19">
        <v>0</v>
      </c>
      <c r="F84" s="19">
        <v>-1</v>
      </c>
    </row>
    <row r="85" spans="1:6" x14ac:dyDescent="0.25">
      <c r="A85" s="20">
        <v>45415</v>
      </c>
      <c r="B85" s="19" t="s">
        <v>113</v>
      </c>
      <c r="C85" s="19" t="s">
        <v>8</v>
      </c>
      <c r="D85" s="19" t="s">
        <v>138</v>
      </c>
      <c r="E85" s="19">
        <v>0</v>
      </c>
      <c r="F85" s="19">
        <v>-1</v>
      </c>
    </row>
    <row r="86" spans="1:6" x14ac:dyDescent="0.25">
      <c r="A86" s="20">
        <v>45415</v>
      </c>
      <c r="B86" s="19" t="s">
        <v>111</v>
      </c>
      <c r="C86" s="19" t="s">
        <v>6</v>
      </c>
      <c r="D86" s="19" t="s">
        <v>138</v>
      </c>
      <c r="E86" s="19">
        <v>0</v>
      </c>
      <c r="F86" s="19">
        <v>-1</v>
      </c>
    </row>
    <row r="87" spans="1:6" x14ac:dyDescent="0.25">
      <c r="A87" s="20">
        <v>45415</v>
      </c>
      <c r="B87" s="19" t="s">
        <v>111</v>
      </c>
      <c r="C87" s="19" t="s">
        <v>7</v>
      </c>
      <c r="D87" s="19" t="s">
        <v>138</v>
      </c>
      <c r="E87" s="19">
        <v>0</v>
      </c>
      <c r="F87" s="19">
        <v>-1</v>
      </c>
    </row>
    <row r="88" spans="1:6" x14ac:dyDescent="0.25">
      <c r="A88" s="20">
        <v>45415</v>
      </c>
      <c r="B88" s="19" t="s">
        <v>111</v>
      </c>
      <c r="C88" s="19" t="s">
        <v>8</v>
      </c>
      <c r="D88" s="19" t="s">
        <v>138</v>
      </c>
      <c r="E88" s="19">
        <v>0</v>
      </c>
      <c r="F88" s="19">
        <v>-1</v>
      </c>
    </row>
    <row r="89" spans="1:6" x14ac:dyDescent="0.25">
      <c r="A89" s="20">
        <v>45415</v>
      </c>
      <c r="B89" s="19" t="s">
        <v>109</v>
      </c>
      <c r="C89" s="19" t="s">
        <v>6</v>
      </c>
      <c r="D89" s="19" t="s">
        <v>138</v>
      </c>
      <c r="E89" s="19">
        <v>0</v>
      </c>
      <c r="F89" s="19">
        <v>-1</v>
      </c>
    </row>
    <row r="90" spans="1:6" x14ac:dyDescent="0.25">
      <c r="A90" s="20">
        <v>45415</v>
      </c>
      <c r="B90" s="19" t="s">
        <v>109</v>
      </c>
      <c r="C90" s="19" t="s">
        <v>7</v>
      </c>
      <c r="D90" s="19" t="s">
        <v>138</v>
      </c>
      <c r="E90" s="19">
        <v>0</v>
      </c>
      <c r="F90" s="19">
        <v>-1</v>
      </c>
    </row>
    <row r="91" spans="1:6" x14ac:dyDescent="0.25">
      <c r="A91" s="20">
        <v>45415</v>
      </c>
      <c r="B91" s="19" t="s">
        <v>109</v>
      </c>
      <c r="C91" s="19" t="s">
        <v>8</v>
      </c>
      <c r="D91" s="19" t="s">
        <v>138</v>
      </c>
      <c r="E91" s="19">
        <v>0</v>
      </c>
      <c r="F91" s="19">
        <v>-1</v>
      </c>
    </row>
    <row r="92" spans="1:6" x14ac:dyDescent="0.25">
      <c r="A92" s="20">
        <v>45415</v>
      </c>
      <c r="B92" s="19" t="s">
        <v>41</v>
      </c>
      <c r="C92" s="19" t="s">
        <v>6</v>
      </c>
      <c r="D92" s="19" t="s">
        <v>138</v>
      </c>
      <c r="E92" s="19">
        <v>0</v>
      </c>
      <c r="F92" s="19">
        <v>-1</v>
      </c>
    </row>
    <row r="93" spans="1:6" x14ac:dyDescent="0.25">
      <c r="A93" s="20">
        <v>45415</v>
      </c>
      <c r="B93" s="19" t="s">
        <v>41</v>
      </c>
      <c r="C93" s="19" t="s">
        <v>7</v>
      </c>
      <c r="D93" s="19" t="s">
        <v>138</v>
      </c>
      <c r="E93" s="19">
        <v>0</v>
      </c>
      <c r="F93" s="19">
        <v>-1</v>
      </c>
    </row>
    <row r="94" spans="1:6" x14ac:dyDescent="0.25">
      <c r="A94" s="20">
        <v>45415</v>
      </c>
      <c r="B94" s="19" t="s">
        <v>41</v>
      </c>
      <c r="C94" s="19" t="s">
        <v>8</v>
      </c>
      <c r="D94" s="19" t="s">
        <v>138</v>
      </c>
      <c r="E94" s="19">
        <v>0</v>
      </c>
      <c r="F94" s="19">
        <v>-1</v>
      </c>
    </row>
    <row r="95" spans="1:6" x14ac:dyDescent="0.25">
      <c r="A95" s="20">
        <v>45415</v>
      </c>
      <c r="B95" s="19" t="s">
        <v>43</v>
      </c>
      <c r="C95" s="19" t="s">
        <v>6</v>
      </c>
      <c r="D95" s="19" t="s">
        <v>138</v>
      </c>
      <c r="E95" s="19">
        <v>0</v>
      </c>
      <c r="F95" s="19">
        <v>-1</v>
      </c>
    </row>
    <row r="96" spans="1:6" x14ac:dyDescent="0.25">
      <c r="A96" s="20">
        <v>45415</v>
      </c>
      <c r="B96" s="19" t="s">
        <v>43</v>
      </c>
      <c r="C96" s="19" t="s">
        <v>7</v>
      </c>
      <c r="D96" s="19" t="s">
        <v>138</v>
      </c>
      <c r="E96" s="19">
        <v>0</v>
      </c>
      <c r="F96" s="19">
        <v>-1</v>
      </c>
    </row>
    <row r="97" spans="1:6" x14ac:dyDescent="0.25">
      <c r="A97" s="20">
        <v>45415</v>
      </c>
      <c r="B97" s="19" t="s">
        <v>43</v>
      </c>
      <c r="C97" s="19" t="s">
        <v>8</v>
      </c>
      <c r="D97" s="19" t="s">
        <v>138</v>
      </c>
      <c r="E97" s="19">
        <v>0</v>
      </c>
      <c r="F97" s="19">
        <v>-1</v>
      </c>
    </row>
    <row r="98" spans="1:6" x14ac:dyDescent="0.25">
      <c r="A98" s="20">
        <v>45415</v>
      </c>
      <c r="B98" s="19" t="s">
        <v>5</v>
      </c>
      <c r="C98" s="19" t="s">
        <v>6</v>
      </c>
      <c r="D98" s="19" t="s">
        <v>138</v>
      </c>
      <c r="E98" s="19">
        <v>0</v>
      </c>
      <c r="F98" s="19">
        <v>-1</v>
      </c>
    </row>
    <row r="99" spans="1:6" x14ac:dyDescent="0.25">
      <c r="A99" s="20">
        <v>45415</v>
      </c>
      <c r="B99" s="19" t="s">
        <v>5</v>
      </c>
      <c r="C99" s="19" t="s">
        <v>7</v>
      </c>
      <c r="D99" s="19" t="s">
        <v>138</v>
      </c>
      <c r="E99" s="19">
        <v>0</v>
      </c>
      <c r="F99" s="19">
        <v>-1</v>
      </c>
    </row>
    <row r="100" spans="1:6" x14ac:dyDescent="0.25">
      <c r="A100" s="20">
        <v>45415</v>
      </c>
      <c r="B100" s="19" t="s">
        <v>5</v>
      </c>
      <c r="C100" s="19" t="s">
        <v>8</v>
      </c>
      <c r="D100" s="19" t="s">
        <v>138</v>
      </c>
      <c r="E100" s="19">
        <v>0</v>
      </c>
      <c r="F100" s="19">
        <v>-1</v>
      </c>
    </row>
    <row r="101" spans="1:6" x14ac:dyDescent="0.25">
      <c r="A101" s="20">
        <v>45415</v>
      </c>
      <c r="B101" s="19" t="s">
        <v>9</v>
      </c>
      <c r="C101" s="19" t="s">
        <v>6</v>
      </c>
      <c r="D101" s="19" t="s">
        <v>138</v>
      </c>
      <c r="E101" s="19">
        <v>0</v>
      </c>
      <c r="F101" s="19">
        <v>-1</v>
      </c>
    </row>
    <row r="102" spans="1:6" x14ac:dyDescent="0.25">
      <c r="A102" s="20">
        <v>45415</v>
      </c>
      <c r="B102" s="19" t="s">
        <v>9</v>
      </c>
      <c r="C102" s="19" t="s">
        <v>7</v>
      </c>
      <c r="D102" s="19" t="s">
        <v>138</v>
      </c>
      <c r="E102" s="19">
        <v>0</v>
      </c>
      <c r="F102" s="21">
        <v>-1</v>
      </c>
    </row>
    <row r="103" spans="1:6" x14ac:dyDescent="0.25">
      <c r="A103" s="20">
        <v>45415</v>
      </c>
      <c r="B103" s="19" t="s">
        <v>9</v>
      </c>
      <c r="C103" s="19" t="s">
        <v>8</v>
      </c>
      <c r="D103" s="19" t="s">
        <v>138</v>
      </c>
      <c r="E103" s="19">
        <v>0</v>
      </c>
      <c r="F103" s="19">
        <v>-1</v>
      </c>
    </row>
    <row r="104" spans="1:6" x14ac:dyDescent="0.25">
      <c r="A104" s="20">
        <v>45415</v>
      </c>
      <c r="B104" s="19" t="s">
        <v>10</v>
      </c>
      <c r="C104" s="19" t="s">
        <v>6</v>
      </c>
      <c r="D104" s="19" t="s">
        <v>138</v>
      </c>
      <c r="E104" s="19">
        <v>0</v>
      </c>
      <c r="F104" s="19">
        <v>-1</v>
      </c>
    </row>
    <row r="105" spans="1:6" x14ac:dyDescent="0.25">
      <c r="A105" s="20">
        <v>45415</v>
      </c>
      <c r="B105" s="19" t="s">
        <v>10</v>
      </c>
      <c r="C105" s="19" t="s">
        <v>7</v>
      </c>
      <c r="D105" s="19" t="s">
        <v>138</v>
      </c>
      <c r="E105" s="19">
        <v>0</v>
      </c>
      <c r="F105" s="19">
        <v>-1</v>
      </c>
    </row>
    <row r="106" spans="1:6" x14ac:dyDescent="0.25">
      <c r="A106" s="20">
        <v>45415</v>
      </c>
      <c r="B106" s="19" t="s">
        <v>10</v>
      </c>
      <c r="C106" s="19" t="s">
        <v>8</v>
      </c>
      <c r="D106" s="19" t="s">
        <v>138</v>
      </c>
      <c r="E106" s="19">
        <v>0</v>
      </c>
      <c r="F106" s="19">
        <v>-1</v>
      </c>
    </row>
    <row r="107" spans="1:6" x14ac:dyDescent="0.25">
      <c r="A107" s="20">
        <v>45415</v>
      </c>
      <c r="B107" s="19" t="s">
        <v>12</v>
      </c>
      <c r="C107" s="19" t="s">
        <v>6</v>
      </c>
      <c r="D107" s="19" t="s">
        <v>138</v>
      </c>
      <c r="E107" s="19">
        <v>0</v>
      </c>
      <c r="F107" s="19">
        <v>-1</v>
      </c>
    </row>
    <row r="108" spans="1:6" x14ac:dyDescent="0.25">
      <c r="A108" s="20">
        <v>45415</v>
      </c>
      <c r="B108" s="19" t="s">
        <v>12</v>
      </c>
      <c r="C108" s="19" t="s">
        <v>7</v>
      </c>
      <c r="D108" s="19" t="s">
        <v>138</v>
      </c>
      <c r="E108" s="19">
        <v>0</v>
      </c>
      <c r="F108" s="19">
        <v>-1</v>
      </c>
    </row>
    <row r="109" spans="1:6" x14ac:dyDescent="0.25">
      <c r="A109" s="20">
        <v>45415</v>
      </c>
      <c r="B109" s="19" t="s">
        <v>12</v>
      </c>
      <c r="C109" s="19" t="s">
        <v>8</v>
      </c>
      <c r="D109" s="19" t="s">
        <v>138</v>
      </c>
      <c r="E109" s="19">
        <v>0</v>
      </c>
      <c r="F109" s="19">
        <v>-1</v>
      </c>
    </row>
    <row r="110" spans="1:6" x14ac:dyDescent="0.25">
      <c r="A110" s="20">
        <v>45415</v>
      </c>
      <c r="B110" s="19" t="s">
        <v>104</v>
      </c>
      <c r="C110" s="19" t="s">
        <v>6</v>
      </c>
      <c r="D110" s="19" t="s">
        <v>138</v>
      </c>
      <c r="E110" s="19">
        <v>0</v>
      </c>
      <c r="F110" s="19">
        <v>-1</v>
      </c>
    </row>
    <row r="111" spans="1:6" x14ac:dyDescent="0.25">
      <c r="A111" s="20">
        <v>45415</v>
      </c>
      <c r="B111" s="19" t="s">
        <v>104</v>
      </c>
      <c r="C111" s="19" t="s">
        <v>7</v>
      </c>
      <c r="D111" s="19" t="s">
        <v>138</v>
      </c>
      <c r="E111" s="19">
        <v>0</v>
      </c>
      <c r="F111" s="19">
        <v>-1</v>
      </c>
    </row>
    <row r="112" spans="1:6" x14ac:dyDescent="0.25">
      <c r="A112" s="20">
        <v>45415</v>
      </c>
      <c r="B112" s="19" t="s">
        <v>104</v>
      </c>
      <c r="C112" s="19" t="s">
        <v>8</v>
      </c>
      <c r="D112" s="19" t="s">
        <v>138</v>
      </c>
      <c r="E112" s="19">
        <v>0</v>
      </c>
      <c r="F112" s="19">
        <v>-1</v>
      </c>
    </row>
    <row r="113" spans="1:6" x14ac:dyDescent="0.25">
      <c r="A113" s="20">
        <v>45415</v>
      </c>
      <c r="B113" s="19" t="s">
        <v>103</v>
      </c>
      <c r="C113" s="19" t="s">
        <v>6</v>
      </c>
      <c r="D113" s="19" t="s">
        <v>138</v>
      </c>
      <c r="E113" s="19">
        <v>0</v>
      </c>
      <c r="F113" s="19">
        <v>-1</v>
      </c>
    </row>
    <row r="114" spans="1:6" x14ac:dyDescent="0.25">
      <c r="A114" s="20">
        <v>45415</v>
      </c>
      <c r="B114" s="19" t="s">
        <v>103</v>
      </c>
      <c r="C114" s="19" t="s">
        <v>7</v>
      </c>
      <c r="D114" s="19" t="s">
        <v>138</v>
      </c>
      <c r="E114" s="19">
        <v>0</v>
      </c>
      <c r="F114" s="19">
        <v>-1</v>
      </c>
    </row>
    <row r="115" spans="1:6" x14ac:dyDescent="0.25">
      <c r="A115" s="20">
        <v>45415</v>
      </c>
      <c r="B115" s="19" t="s">
        <v>103</v>
      </c>
      <c r="C115" s="19" t="s">
        <v>8</v>
      </c>
      <c r="D115" s="19" t="s">
        <v>138</v>
      </c>
      <c r="E115" s="19">
        <v>0</v>
      </c>
      <c r="F115" s="19">
        <v>-1</v>
      </c>
    </row>
    <row r="116" spans="1:6" x14ac:dyDescent="0.25">
      <c r="A116" s="20">
        <v>45415</v>
      </c>
      <c r="B116" s="19" t="s">
        <v>101</v>
      </c>
      <c r="C116" s="19" t="s">
        <v>6</v>
      </c>
      <c r="D116" s="19" t="s">
        <v>138</v>
      </c>
      <c r="E116" s="19">
        <v>0</v>
      </c>
      <c r="F116" s="19">
        <v>-1</v>
      </c>
    </row>
    <row r="117" spans="1:6" x14ac:dyDescent="0.25">
      <c r="A117" s="20">
        <v>45415</v>
      </c>
      <c r="B117" s="19" t="s">
        <v>101</v>
      </c>
      <c r="C117" s="19" t="s">
        <v>7</v>
      </c>
      <c r="D117" s="19" t="s">
        <v>138</v>
      </c>
      <c r="E117" s="19">
        <v>0</v>
      </c>
      <c r="F117" s="19">
        <v>-1</v>
      </c>
    </row>
    <row r="118" spans="1:6" x14ac:dyDescent="0.25">
      <c r="A118" s="20">
        <v>45415</v>
      </c>
      <c r="B118" s="19" t="s">
        <v>101</v>
      </c>
      <c r="C118" s="19" t="s">
        <v>8</v>
      </c>
      <c r="D118" s="19" t="s">
        <v>138</v>
      </c>
      <c r="E118" s="19">
        <v>0</v>
      </c>
      <c r="F118" s="19">
        <v>-1</v>
      </c>
    </row>
    <row r="119" spans="1:6" x14ac:dyDescent="0.25">
      <c r="A119" s="20">
        <v>45415</v>
      </c>
      <c r="B119" s="19" t="s">
        <v>99</v>
      </c>
      <c r="C119" s="19" t="s">
        <v>6</v>
      </c>
      <c r="D119" s="19" t="s">
        <v>138</v>
      </c>
      <c r="E119" s="19">
        <v>0</v>
      </c>
      <c r="F119" s="19">
        <v>-1</v>
      </c>
    </row>
    <row r="120" spans="1:6" x14ac:dyDescent="0.25">
      <c r="A120" s="20">
        <v>45415</v>
      </c>
      <c r="B120" s="19" t="s">
        <v>99</v>
      </c>
      <c r="C120" s="19" t="s">
        <v>7</v>
      </c>
      <c r="D120" s="19" t="s">
        <v>138</v>
      </c>
      <c r="E120" s="19">
        <v>0</v>
      </c>
      <c r="F120" s="19">
        <v>-1</v>
      </c>
    </row>
    <row r="121" spans="1:6" x14ac:dyDescent="0.25">
      <c r="A121" s="20">
        <v>45415</v>
      </c>
      <c r="B121" s="19" t="s">
        <v>99</v>
      </c>
      <c r="C121" s="19" t="s">
        <v>8</v>
      </c>
      <c r="D121" s="19" t="s">
        <v>138</v>
      </c>
      <c r="E121" s="19">
        <v>0</v>
      </c>
      <c r="F121" s="19">
        <v>-1</v>
      </c>
    </row>
    <row r="122" spans="1:6" x14ac:dyDescent="0.25">
      <c r="A122" s="20">
        <v>45415</v>
      </c>
      <c r="B122" s="19" t="s">
        <v>97</v>
      </c>
      <c r="C122" s="19" t="s">
        <v>6</v>
      </c>
      <c r="D122" s="19" t="s">
        <v>138</v>
      </c>
      <c r="E122" s="19">
        <v>0</v>
      </c>
      <c r="F122" s="19">
        <v>-1</v>
      </c>
    </row>
    <row r="123" spans="1:6" x14ac:dyDescent="0.25">
      <c r="A123" s="20">
        <v>45415</v>
      </c>
      <c r="B123" s="19" t="s">
        <v>97</v>
      </c>
      <c r="C123" s="19" t="s">
        <v>7</v>
      </c>
      <c r="D123" s="19" t="s">
        <v>138</v>
      </c>
      <c r="E123" s="19">
        <v>0</v>
      </c>
      <c r="F123" s="19">
        <v>-1</v>
      </c>
    </row>
    <row r="124" spans="1:6" x14ac:dyDescent="0.25">
      <c r="A124" s="20">
        <v>45415</v>
      </c>
      <c r="B124" s="19" t="s">
        <v>97</v>
      </c>
      <c r="C124" s="19" t="s">
        <v>8</v>
      </c>
      <c r="D124" s="19" t="s">
        <v>138</v>
      </c>
      <c r="E124" s="19">
        <v>0</v>
      </c>
      <c r="F124" s="19">
        <v>-1</v>
      </c>
    </row>
    <row r="125" spans="1:6" x14ac:dyDescent="0.25">
      <c r="A125" s="20">
        <v>45415</v>
      </c>
      <c r="B125" s="19" t="s">
        <v>95</v>
      </c>
      <c r="C125" s="19" t="s">
        <v>6</v>
      </c>
      <c r="D125" s="19" t="s">
        <v>138</v>
      </c>
      <c r="E125" s="19">
        <v>0</v>
      </c>
      <c r="F125" s="19">
        <v>-1</v>
      </c>
    </row>
    <row r="126" spans="1:6" x14ac:dyDescent="0.25">
      <c r="A126" s="20">
        <v>45415</v>
      </c>
      <c r="B126" s="19" t="s">
        <v>95</v>
      </c>
      <c r="C126" s="19" t="s">
        <v>7</v>
      </c>
      <c r="D126" s="19" t="s">
        <v>138</v>
      </c>
      <c r="E126" s="19">
        <v>0</v>
      </c>
      <c r="F126" s="19">
        <v>-1</v>
      </c>
    </row>
    <row r="127" spans="1:6" x14ac:dyDescent="0.25">
      <c r="A127" s="20">
        <v>45415</v>
      </c>
      <c r="B127" s="19" t="s">
        <v>95</v>
      </c>
      <c r="C127" s="19" t="s">
        <v>8</v>
      </c>
      <c r="D127" s="19" t="s">
        <v>138</v>
      </c>
      <c r="E127" s="19">
        <v>0</v>
      </c>
      <c r="F127" s="19">
        <v>-1</v>
      </c>
    </row>
    <row r="128" spans="1:6" x14ac:dyDescent="0.25">
      <c r="A128" s="20">
        <v>45415</v>
      </c>
      <c r="B128" s="19" t="s">
        <v>14</v>
      </c>
      <c r="C128" s="19" t="s">
        <v>6</v>
      </c>
      <c r="D128" s="19" t="s">
        <v>138</v>
      </c>
      <c r="E128" s="19">
        <v>0</v>
      </c>
      <c r="F128" s="19">
        <v>-1</v>
      </c>
    </row>
    <row r="129" spans="1:6" x14ac:dyDescent="0.25">
      <c r="A129" s="20">
        <v>45415</v>
      </c>
      <c r="B129" s="19" t="s">
        <v>14</v>
      </c>
      <c r="C129" s="19" t="s">
        <v>7</v>
      </c>
      <c r="D129" s="19" t="s">
        <v>138</v>
      </c>
      <c r="E129" s="19">
        <v>0</v>
      </c>
      <c r="F129" s="19">
        <v>-1</v>
      </c>
    </row>
    <row r="130" spans="1:6" x14ac:dyDescent="0.25">
      <c r="A130" s="20">
        <v>45415</v>
      </c>
      <c r="B130" s="19" t="s">
        <v>14</v>
      </c>
      <c r="C130" s="19" t="s">
        <v>8</v>
      </c>
      <c r="D130" s="19" t="s">
        <v>138</v>
      </c>
      <c r="E130" s="19">
        <v>0</v>
      </c>
      <c r="F130" s="19">
        <v>-1</v>
      </c>
    </row>
    <row r="131" spans="1:6" x14ac:dyDescent="0.25">
      <c r="A131" s="20">
        <v>45415</v>
      </c>
      <c r="B131" s="19" t="s">
        <v>91</v>
      </c>
      <c r="C131" s="19" t="s">
        <v>6</v>
      </c>
      <c r="D131" s="19" t="s">
        <v>138</v>
      </c>
      <c r="E131" s="19">
        <v>0</v>
      </c>
      <c r="F131" s="19">
        <v>-1</v>
      </c>
    </row>
    <row r="132" spans="1:6" x14ac:dyDescent="0.25">
      <c r="A132" s="20">
        <v>45415</v>
      </c>
      <c r="B132" s="19" t="s">
        <v>91</v>
      </c>
      <c r="C132" s="19" t="s">
        <v>7</v>
      </c>
      <c r="D132" s="19" t="s">
        <v>138</v>
      </c>
      <c r="E132" s="19">
        <v>0</v>
      </c>
      <c r="F132" s="19">
        <v>-1</v>
      </c>
    </row>
    <row r="133" spans="1:6" x14ac:dyDescent="0.25">
      <c r="A133" s="20">
        <v>45415</v>
      </c>
      <c r="B133" s="19" t="s">
        <v>91</v>
      </c>
      <c r="C133" s="19" t="s">
        <v>8</v>
      </c>
      <c r="D133" s="19" t="s">
        <v>138</v>
      </c>
      <c r="E133" s="19">
        <v>0</v>
      </c>
      <c r="F133" s="19">
        <v>-1</v>
      </c>
    </row>
    <row r="134" spans="1:6" x14ac:dyDescent="0.25">
      <c r="A134" s="20">
        <v>45415</v>
      </c>
      <c r="B134" s="19" t="s">
        <v>15</v>
      </c>
      <c r="C134" s="19" t="s">
        <v>6</v>
      </c>
      <c r="D134" s="19" t="s">
        <v>138</v>
      </c>
      <c r="E134" s="19">
        <v>0</v>
      </c>
      <c r="F134" s="19">
        <v>-1</v>
      </c>
    </row>
    <row r="135" spans="1:6" x14ac:dyDescent="0.25">
      <c r="A135" s="20">
        <v>45415</v>
      </c>
      <c r="B135" s="19" t="s">
        <v>15</v>
      </c>
      <c r="C135" s="19" t="s">
        <v>7</v>
      </c>
      <c r="D135" s="19" t="s">
        <v>138</v>
      </c>
      <c r="E135" s="19">
        <v>0</v>
      </c>
      <c r="F135" s="19">
        <v>-1</v>
      </c>
    </row>
    <row r="136" spans="1:6" x14ac:dyDescent="0.25">
      <c r="A136" s="20">
        <v>45415</v>
      </c>
      <c r="B136" s="19" t="s">
        <v>15</v>
      </c>
      <c r="C136" s="19" t="s">
        <v>8</v>
      </c>
      <c r="D136" s="19" t="s">
        <v>138</v>
      </c>
      <c r="E136" s="19">
        <v>0</v>
      </c>
      <c r="F136" s="19">
        <v>-1</v>
      </c>
    </row>
    <row r="137" spans="1:6" x14ac:dyDescent="0.25">
      <c r="A137" s="20">
        <v>45415</v>
      </c>
      <c r="B137" s="19" t="s">
        <v>89</v>
      </c>
      <c r="C137" s="19" t="s">
        <v>6</v>
      </c>
      <c r="D137" s="19" t="s">
        <v>138</v>
      </c>
      <c r="E137" s="19">
        <v>0</v>
      </c>
      <c r="F137" s="19">
        <v>-1</v>
      </c>
    </row>
    <row r="138" spans="1:6" x14ac:dyDescent="0.25">
      <c r="A138" s="20">
        <v>45415</v>
      </c>
      <c r="B138" s="19" t="s">
        <v>89</v>
      </c>
      <c r="C138" s="19" t="s">
        <v>7</v>
      </c>
      <c r="D138" s="19" t="s">
        <v>138</v>
      </c>
      <c r="E138" s="19">
        <v>0</v>
      </c>
      <c r="F138" s="19">
        <v>-1</v>
      </c>
    </row>
    <row r="139" spans="1:6" x14ac:dyDescent="0.25">
      <c r="A139" s="20">
        <v>45415</v>
      </c>
      <c r="B139" s="19" t="s">
        <v>89</v>
      </c>
      <c r="C139" s="19" t="s">
        <v>8</v>
      </c>
      <c r="D139" s="19" t="s">
        <v>138</v>
      </c>
      <c r="E139" s="19">
        <v>0</v>
      </c>
      <c r="F139" s="19">
        <v>-1</v>
      </c>
    </row>
    <row r="140" spans="1:6" x14ac:dyDescent="0.25">
      <c r="A140" s="20">
        <v>45415</v>
      </c>
      <c r="B140" s="19" t="s">
        <v>16</v>
      </c>
      <c r="C140" s="19" t="s">
        <v>6</v>
      </c>
      <c r="D140" s="19" t="s">
        <v>138</v>
      </c>
      <c r="E140" s="19">
        <v>0</v>
      </c>
      <c r="F140" s="19">
        <v>-1</v>
      </c>
    </row>
    <row r="141" spans="1:6" x14ac:dyDescent="0.25">
      <c r="A141" s="20">
        <v>45415</v>
      </c>
      <c r="B141" s="19" t="s">
        <v>16</v>
      </c>
      <c r="C141" s="19" t="s">
        <v>7</v>
      </c>
      <c r="D141" s="19" t="s">
        <v>138</v>
      </c>
      <c r="E141" s="19">
        <v>0</v>
      </c>
      <c r="F141" s="19">
        <v>-1</v>
      </c>
    </row>
    <row r="142" spans="1:6" x14ac:dyDescent="0.25">
      <c r="A142" s="20">
        <v>45415</v>
      </c>
      <c r="B142" s="19" t="s">
        <v>16</v>
      </c>
      <c r="C142" s="19" t="s">
        <v>8</v>
      </c>
      <c r="D142" s="19" t="s">
        <v>138</v>
      </c>
      <c r="E142" s="19">
        <v>0</v>
      </c>
      <c r="F142" s="19">
        <v>-1</v>
      </c>
    </row>
    <row r="143" spans="1:6" x14ac:dyDescent="0.25">
      <c r="A143" s="20">
        <v>45415</v>
      </c>
      <c r="B143" s="19" t="s">
        <v>88</v>
      </c>
      <c r="C143" s="19" t="s">
        <v>6</v>
      </c>
      <c r="D143" s="19" t="s">
        <v>138</v>
      </c>
      <c r="E143" s="19">
        <v>0</v>
      </c>
      <c r="F143" s="19">
        <v>-1</v>
      </c>
    </row>
    <row r="144" spans="1:6" x14ac:dyDescent="0.25">
      <c r="A144" s="20">
        <v>45415</v>
      </c>
      <c r="B144" s="19" t="s">
        <v>88</v>
      </c>
      <c r="C144" s="19" t="s">
        <v>7</v>
      </c>
      <c r="D144" s="19" t="s">
        <v>138</v>
      </c>
      <c r="E144" s="19">
        <v>0</v>
      </c>
      <c r="F144" s="19">
        <v>-1</v>
      </c>
    </row>
    <row r="145" spans="1:6" x14ac:dyDescent="0.25">
      <c r="A145" s="20">
        <v>45415</v>
      </c>
      <c r="B145" s="19" t="s">
        <v>88</v>
      </c>
      <c r="C145" s="19" t="s">
        <v>8</v>
      </c>
      <c r="D145" s="19" t="s">
        <v>138</v>
      </c>
      <c r="E145" s="19">
        <v>0</v>
      </c>
      <c r="F145" s="19">
        <v>-1</v>
      </c>
    </row>
    <row r="146" spans="1:6" x14ac:dyDescent="0.25">
      <c r="A146" s="20">
        <v>45415</v>
      </c>
      <c r="B146" s="19" t="s">
        <v>17</v>
      </c>
      <c r="C146" s="19" t="s">
        <v>6</v>
      </c>
      <c r="D146" s="19" t="s">
        <v>138</v>
      </c>
      <c r="E146" s="19">
        <v>0</v>
      </c>
      <c r="F146" s="19">
        <v>-1</v>
      </c>
    </row>
    <row r="147" spans="1:6" x14ac:dyDescent="0.25">
      <c r="A147" s="20">
        <v>45415</v>
      </c>
      <c r="B147" s="19" t="s">
        <v>17</v>
      </c>
      <c r="C147" s="19" t="s">
        <v>7</v>
      </c>
      <c r="D147" s="19" t="s">
        <v>138</v>
      </c>
      <c r="E147" s="19">
        <v>0</v>
      </c>
      <c r="F147" s="19">
        <v>-1</v>
      </c>
    </row>
    <row r="148" spans="1:6" x14ac:dyDescent="0.25">
      <c r="A148" s="20">
        <v>45415</v>
      </c>
      <c r="B148" s="19" t="s">
        <v>17</v>
      </c>
      <c r="C148" s="19" t="s">
        <v>8</v>
      </c>
      <c r="D148" s="19" t="s">
        <v>138</v>
      </c>
      <c r="E148" s="19">
        <v>0</v>
      </c>
      <c r="F148" s="19">
        <v>-1</v>
      </c>
    </row>
    <row r="149" spans="1:6" x14ac:dyDescent="0.25">
      <c r="A149" s="20">
        <v>45415</v>
      </c>
      <c r="B149" s="19" t="s">
        <v>19</v>
      </c>
      <c r="C149" s="19" t="s">
        <v>6</v>
      </c>
      <c r="D149" s="19" t="s">
        <v>138</v>
      </c>
      <c r="E149" s="19">
        <v>0</v>
      </c>
      <c r="F149" s="19">
        <v>-1</v>
      </c>
    </row>
    <row r="150" spans="1:6" x14ac:dyDescent="0.25">
      <c r="A150" s="20">
        <v>45415</v>
      </c>
      <c r="B150" s="19" t="s">
        <v>19</v>
      </c>
      <c r="C150" s="19" t="s">
        <v>7</v>
      </c>
      <c r="D150" s="19" t="s">
        <v>138</v>
      </c>
      <c r="E150" s="19">
        <v>0</v>
      </c>
      <c r="F150" s="19">
        <v>-1</v>
      </c>
    </row>
    <row r="151" spans="1:6" x14ac:dyDescent="0.25">
      <c r="A151" s="20">
        <v>45415</v>
      </c>
      <c r="B151" s="19" t="s">
        <v>19</v>
      </c>
      <c r="C151" s="19" t="s">
        <v>8</v>
      </c>
      <c r="D151" s="19" t="s">
        <v>138</v>
      </c>
      <c r="E151" s="19">
        <v>0</v>
      </c>
      <c r="F151" s="19">
        <v>-1</v>
      </c>
    </row>
    <row r="152" spans="1:6" x14ac:dyDescent="0.25">
      <c r="A152" s="20">
        <v>45415</v>
      </c>
      <c r="B152" s="19" t="s">
        <v>18</v>
      </c>
      <c r="C152" s="19" t="s">
        <v>6</v>
      </c>
      <c r="D152" s="19" t="s">
        <v>138</v>
      </c>
      <c r="E152" s="19">
        <v>0</v>
      </c>
      <c r="F152" s="19">
        <v>-1</v>
      </c>
    </row>
    <row r="153" spans="1:6" x14ac:dyDescent="0.25">
      <c r="A153" s="20">
        <v>45415</v>
      </c>
      <c r="B153" s="19" t="s">
        <v>18</v>
      </c>
      <c r="C153" s="19" t="s">
        <v>7</v>
      </c>
      <c r="D153" s="19" t="s">
        <v>138</v>
      </c>
      <c r="E153" s="19">
        <v>0</v>
      </c>
      <c r="F153" s="19">
        <v>-1</v>
      </c>
    </row>
    <row r="154" spans="1:6" x14ac:dyDescent="0.25">
      <c r="A154" s="20">
        <v>45415</v>
      </c>
      <c r="B154" s="19" t="s">
        <v>18</v>
      </c>
      <c r="C154" s="19" t="s">
        <v>8</v>
      </c>
      <c r="D154" s="19" t="s">
        <v>138</v>
      </c>
      <c r="E154" s="19">
        <v>0</v>
      </c>
      <c r="F154" s="19">
        <v>-1</v>
      </c>
    </row>
    <row r="155" spans="1:6" x14ac:dyDescent="0.25">
      <c r="A155" s="20">
        <v>45415</v>
      </c>
      <c r="B155" s="19" t="s">
        <v>87</v>
      </c>
      <c r="C155" s="19" t="s">
        <v>6</v>
      </c>
      <c r="D155" s="19" t="s">
        <v>138</v>
      </c>
      <c r="E155" s="19">
        <v>0</v>
      </c>
      <c r="F155" s="19">
        <v>-1</v>
      </c>
    </row>
    <row r="156" spans="1:6" x14ac:dyDescent="0.25">
      <c r="A156" s="20">
        <v>45415</v>
      </c>
      <c r="B156" s="19" t="s">
        <v>87</v>
      </c>
      <c r="C156" s="19" t="s">
        <v>7</v>
      </c>
      <c r="D156" s="19" t="s">
        <v>138</v>
      </c>
      <c r="E156" s="19">
        <v>0</v>
      </c>
      <c r="F156" s="19">
        <v>-1</v>
      </c>
    </row>
    <row r="157" spans="1:6" x14ac:dyDescent="0.25">
      <c r="A157" s="20">
        <v>45415</v>
      </c>
      <c r="B157" s="19" t="s">
        <v>87</v>
      </c>
      <c r="C157" s="19" t="s">
        <v>8</v>
      </c>
      <c r="D157" s="19" t="s">
        <v>138</v>
      </c>
      <c r="E157" s="19">
        <v>0</v>
      </c>
      <c r="F157" s="19">
        <v>-1</v>
      </c>
    </row>
    <row r="158" spans="1:6" x14ac:dyDescent="0.25">
      <c r="A158" s="20">
        <v>45415</v>
      </c>
      <c r="B158" s="19" t="s">
        <v>42</v>
      </c>
      <c r="C158" s="19" t="s">
        <v>6</v>
      </c>
      <c r="D158" s="19" t="s">
        <v>138</v>
      </c>
      <c r="E158" s="19">
        <v>0</v>
      </c>
      <c r="F158" s="19">
        <v>-1</v>
      </c>
    </row>
    <row r="159" spans="1:6" x14ac:dyDescent="0.25">
      <c r="A159" s="20">
        <v>45415</v>
      </c>
      <c r="B159" s="19" t="s">
        <v>42</v>
      </c>
      <c r="C159" s="19" t="s">
        <v>7</v>
      </c>
      <c r="D159" s="19" t="s">
        <v>138</v>
      </c>
      <c r="E159" s="19">
        <v>0</v>
      </c>
      <c r="F159" s="19">
        <v>-1</v>
      </c>
    </row>
    <row r="160" spans="1:6" x14ac:dyDescent="0.25">
      <c r="A160" s="20">
        <v>45415</v>
      </c>
      <c r="B160" s="19" t="s">
        <v>42</v>
      </c>
      <c r="C160" s="19" t="s">
        <v>8</v>
      </c>
      <c r="D160" s="19" t="s">
        <v>138</v>
      </c>
      <c r="E160" s="19">
        <v>0</v>
      </c>
      <c r="F160" s="19">
        <v>-1</v>
      </c>
    </row>
    <row r="161" spans="1:6" x14ac:dyDescent="0.25">
      <c r="A161" s="20">
        <v>45415</v>
      </c>
      <c r="B161" s="19" t="s">
        <v>86</v>
      </c>
      <c r="C161" s="19" t="s">
        <v>6</v>
      </c>
      <c r="D161" s="19" t="s">
        <v>138</v>
      </c>
      <c r="E161" s="19">
        <v>0</v>
      </c>
      <c r="F161" s="19">
        <v>-1</v>
      </c>
    </row>
    <row r="162" spans="1:6" x14ac:dyDescent="0.25">
      <c r="A162" s="20">
        <v>45415</v>
      </c>
      <c r="B162" s="19" t="s">
        <v>86</v>
      </c>
      <c r="C162" s="19" t="s">
        <v>7</v>
      </c>
      <c r="D162" s="19" t="s">
        <v>138</v>
      </c>
      <c r="E162" s="19">
        <v>0</v>
      </c>
      <c r="F162" s="19">
        <v>-1</v>
      </c>
    </row>
    <row r="163" spans="1:6" x14ac:dyDescent="0.25">
      <c r="A163" s="20">
        <v>45415</v>
      </c>
      <c r="B163" s="19" t="s">
        <v>86</v>
      </c>
      <c r="C163" s="19" t="s">
        <v>8</v>
      </c>
      <c r="D163" s="19" t="s">
        <v>138</v>
      </c>
      <c r="E163" s="19">
        <v>0</v>
      </c>
      <c r="F163" s="19">
        <v>-1</v>
      </c>
    </row>
    <row r="164" spans="1:6" x14ac:dyDescent="0.25">
      <c r="A164" s="20">
        <v>45415</v>
      </c>
      <c r="B164" s="19" t="s">
        <v>38</v>
      </c>
      <c r="C164" s="19" t="s">
        <v>6</v>
      </c>
      <c r="D164" s="19" t="s">
        <v>138</v>
      </c>
      <c r="E164" s="19">
        <v>0</v>
      </c>
      <c r="F164" s="19">
        <v>-1</v>
      </c>
    </row>
    <row r="165" spans="1:6" x14ac:dyDescent="0.25">
      <c r="A165" s="20">
        <v>45415</v>
      </c>
      <c r="B165" s="19" t="s">
        <v>38</v>
      </c>
      <c r="C165" s="19" t="s">
        <v>7</v>
      </c>
      <c r="D165" s="19" t="s">
        <v>138</v>
      </c>
      <c r="E165" s="19">
        <v>0</v>
      </c>
      <c r="F165" s="19">
        <v>-1</v>
      </c>
    </row>
    <row r="166" spans="1:6" x14ac:dyDescent="0.25">
      <c r="A166" s="20">
        <v>45415</v>
      </c>
      <c r="B166" s="19" t="s">
        <v>38</v>
      </c>
      <c r="C166" s="19" t="s">
        <v>8</v>
      </c>
      <c r="D166" s="19" t="s">
        <v>138</v>
      </c>
      <c r="E166" s="19">
        <v>0</v>
      </c>
      <c r="F166" s="19">
        <v>-1</v>
      </c>
    </row>
    <row r="167" spans="1:6" x14ac:dyDescent="0.25">
      <c r="A167" s="20">
        <v>45415</v>
      </c>
      <c r="B167" s="19" t="s">
        <v>83</v>
      </c>
      <c r="C167" s="19" t="s">
        <v>6</v>
      </c>
      <c r="D167" s="19" t="s">
        <v>138</v>
      </c>
      <c r="E167" s="19">
        <v>0</v>
      </c>
      <c r="F167" s="19">
        <v>-1</v>
      </c>
    </row>
    <row r="168" spans="1:6" x14ac:dyDescent="0.25">
      <c r="A168" s="20">
        <v>45415</v>
      </c>
      <c r="B168" s="19" t="s">
        <v>83</v>
      </c>
      <c r="C168" s="19" t="s">
        <v>7</v>
      </c>
      <c r="D168" s="19" t="s">
        <v>138</v>
      </c>
      <c r="E168" s="19">
        <v>0</v>
      </c>
      <c r="F168" s="19">
        <v>-1</v>
      </c>
    </row>
    <row r="169" spans="1:6" x14ac:dyDescent="0.25">
      <c r="A169" s="20">
        <v>45415</v>
      </c>
      <c r="B169" s="19" t="s">
        <v>83</v>
      </c>
      <c r="C169" s="19" t="s">
        <v>8</v>
      </c>
      <c r="D169" s="19" t="s">
        <v>138</v>
      </c>
      <c r="E169" s="19">
        <v>0</v>
      </c>
      <c r="F169" s="19">
        <v>-1</v>
      </c>
    </row>
    <row r="170" spans="1:6" x14ac:dyDescent="0.25">
      <c r="A170" s="20">
        <v>45415</v>
      </c>
      <c r="B170" s="19" t="s">
        <v>20</v>
      </c>
      <c r="C170" s="19" t="s">
        <v>6</v>
      </c>
      <c r="D170" s="19" t="s">
        <v>138</v>
      </c>
      <c r="E170" s="19">
        <v>0</v>
      </c>
      <c r="F170" s="19">
        <v>-1</v>
      </c>
    </row>
    <row r="171" spans="1:6" x14ac:dyDescent="0.25">
      <c r="A171" s="20">
        <v>45415</v>
      </c>
      <c r="B171" s="19" t="s">
        <v>20</v>
      </c>
      <c r="C171" s="19" t="s">
        <v>7</v>
      </c>
      <c r="D171" s="19" t="s">
        <v>138</v>
      </c>
      <c r="E171" s="19">
        <v>0</v>
      </c>
      <c r="F171" s="19">
        <v>-1</v>
      </c>
    </row>
    <row r="172" spans="1:6" x14ac:dyDescent="0.25">
      <c r="A172" s="20">
        <v>45415</v>
      </c>
      <c r="B172" s="19" t="s">
        <v>20</v>
      </c>
      <c r="C172" s="19" t="s">
        <v>8</v>
      </c>
      <c r="D172" s="19" t="s">
        <v>138</v>
      </c>
      <c r="E172" s="19">
        <v>0</v>
      </c>
      <c r="F172" s="19">
        <v>-1</v>
      </c>
    </row>
    <row r="173" spans="1:6" x14ac:dyDescent="0.25">
      <c r="A173" s="20">
        <v>45415</v>
      </c>
      <c r="B173" s="19" t="s">
        <v>21</v>
      </c>
      <c r="C173" s="19" t="s">
        <v>6</v>
      </c>
      <c r="D173" s="19" t="s">
        <v>138</v>
      </c>
      <c r="E173" s="19">
        <v>0</v>
      </c>
      <c r="F173" s="19">
        <v>-1</v>
      </c>
    </row>
    <row r="174" spans="1:6" x14ac:dyDescent="0.25">
      <c r="A174" s="20">
        <v>45415</v>
      </c>
      <c r="B174" s="19" t="s">
        <v>21</v>
      </c>
      <c r="C174" s="19" t="s">
        <v>7</v>
      </c>
      <c r="D174" s="19" t="s">
        <v>138</v>
      </c>
      <c r="E174" s="19">
        <v>0</v>
      </c>
      <c r="F174" s="19">
        <v>-1</v>
      </c>
    </row>
    <row r="175" spans="1:6" x14ac:dyDescent="0.25">
      <c r="A175" s="20">
        <v>45415</v>
      </c>
      <c r="B175" s="19" t="s">
        <v>21</v>
      </c>
      <c r="C175" s="19" t="s">
        <v>8</v>
      </c>
      <c r="D175" s="19" t="s">
        <v>138</v>
      </c>
      <c r="E175" s="19">
        <v>0</v>
      </c>
      <c r="F175" s="19">
        <v>-1</v>
      </c>
    </row>
    <row r="176" spans="1:6" x14ac:dyDescent="0.25">
      <c r="A176" s="20">
        <v>45415</v>
      </c>
      <c r="B176" s="19" t="s">
        <v>22</v>
      </c>
      <c r="C176" s="19" t="s">
        <v>6</v>
      </c>
      <c r="D176" s="19" t="s">
        <v>138</v>
      </c>
      <c r="E176" s="19">
        <v>0</v>
      </c>
      <c r="F176" s="19">
        <v>-1</v>
      </c>
    </row>
    <row r="177" spans="1:6" x14ac:dyDescent="0.25">
      <c r="A177" s="20">
        <v>45415</v>
      </c>
      <c r="B177" s="19" t="s">
        <v>22</v>
      </c>
      <c r="C177" s="19" t="s">
        <v>7</v>
      </c>
      <c r="D177" s="19" t="s">
        <v>138</v>
      </c>
      <c r="E177" s="19">
        <v>0</v>
      </c>
      <c r="F177" s="19">
        <v>-1</v>
      </c>
    </row>
    <row r="178" spans="1:6" x14ac:dyDescent="0.25">
      <c r="A178" s="20">
        <v>45415</v>
      </c>
      <c r="B178" s="19" t="s">
        <v>22</v>
      </c>
      <c r="C178" s="19" t="s">
        <v>8</v>
      </c>
      <c r="D178" s="19" t="s">
        <v>138</v>
      </c>
      <c r="E178" s="19">
        <v>0</v>
      </c>
      <c r="F178" s="19">
        <v>-1</v>
      </c>
    </row>
    <row r="179" spans="1:6" x14ac:dyDescent="0.25">
      <c r="A179" s="20">
        <v>45415</v>
      </c>
      <c r="B179" s="19" t="s">
        <v>77</v>
      </c>
      <c r="C179" s="19" t="s">
        <v>6</v>
      </c>
      <c r="D179" s="19" t="s">
        <v>138</v>
      </c>
      <c r="E179" s="19">
        <v>0</v>
      </c>
      <c r="F179" s="19">
        <v>-1</v>
      </c>
    </row>
    <row r="180" spans="1:6" x14ac:dyDescent="0.25">
      <c r="A180" s="20">
        <v>45415</v>
      </c>
      <c r="B180" s="19" t="s">
        <v>77</v>
      </c>
      <c r="C180" s="19" t="s">
        <v>7</v>
      </c>
      <c r="D180" s="19" t="s">
        <v>138</v>
      </c>
      <c r="E180" s="19">
        <v>0</v>
      </c>
      <c r="F180" s="19">
        <v>-1</v>
      </c>
    </row>
    <row r="181" spans="1:6" x14ac:dyDescent="0.25">
      <c r="A181" s="20">
        <v>45415</v>
      </c>
      <c r="B181" s="19" t="s">
        <v>77</v>
      </c>
      <c r="C181" s="19" t="s">
        <v>8</v>
      </c>
      <c r="D181" s="19" t="s">
        <v>138</v>
      </c>
      <c r="E181" s="19">
        <v>0</v>
      </c>
      <c r="F181" s="19">
        <v>-1</v>
      </c>
    </row>
    <row r="182" spans="1:6" x14ac:dyDescent="0.25">
      <c r="A182" s="20">
        <v>45415</v>
      </c>
      <c r="B182" s="19" t="s">
        <v>23</v>
      </c>
      <c r="C182" s="19" t="s">
        <v>6</v>
      </c>
      <c r="D182" s="19" t="s">
        <v>138</v>
      </c>
      <c r="E182" s="19">
        <v>0</v>
      </c>
      <c r="F182" s="19">
        <v>-1</v>
      </c>
    </row>
    <row r="183" spans="1:6" x14ac:dyDescent="0.25">
      <c r="A183" s="20">
        <v>45415</v>
      </c>
      <c r="B183" s="19" t="s">
        <v>23</v>
      </c>
      <c r="C183" s="19" t="s">
        <v>7</v>
      </c>
      <c r="D183" s="19" t="s">
        <v>138</v>
      </c>
      <c r="E183" s="19">
        <v>0</v>
      </c>
      <c r="F183" s="19">
        <v>-1</v>
      </c>
    </row>
    <row r="184" spans="1:6" x14ac:dyDescent="0.25">
      <c r="A184" s="20">
        <v>45415</v>
      </c>
      <c r="B184" s="19" t="s">
        <v>23</v>
      </c>
      <c r="C184" s="19" t="s">
        <v>8</v>
      </c>
      <c r="D184" s="19" t="s">
        <v>138</v>
      </c>
      <c r="E184" s="19">
        <v>0</v>
      </c>
      <c r="F184" s="19">
        <v>-1</v>
      </c>
    </row>
    <row r="185" spans="1:6" x14ac:dyDescent="0.25">
      <c r="A185" s="20">
        <v>45415</v>
      </c>
      <c r="B185" s="19" t="s">
        <v>24</v>
      </c>
      <c r="C185" s="19" t="s">
        <v>6</v>
      </c>
      <c r="D185" s="19" t="s">
        <v>138</v>
      </c>
      <c r="E185" s="19">
        <v>0</v>
      </c>
      <c r="F185" s="19">
        <v>-1</v>
      </c>
    </row>
    <row r="186" spans="1:6" x14ac:dyDescent="0.25">
      <c r="A186" s="20">
        <v>45415</v>
      </c>
      <c r="B186" s="19" t="s">
        <v>24</v>
      </c>
      <c r="C186" s="19" t="s">
        <v>7</v>
      </c>
      <c r="D186" s="19" t="s">
        <v>138</v>
      </c>
      <c r="E186" s="19">
        <v>0</v>
      </c>
      <c r="F186" s="19">
        <v>-1</v>
      </c>
    </row>
    <row r="187" spans="1:6" x14ac:dyDescent="0.25">
      <c r="A187" s="20">
        <v>45415</v>
      </c>
      <c r="B187" s="19" t="s">
        <v>24</v>
      </c>
      <c r="C187" s="19" t="s">
        <v>8</v>
      </c>
      <c r="D187" s="19" t="s">
        <v>138</v>
      </c>
      <c r="E187" s="19">
        <v>0</v>
      </c>
      <c r="F187" s="19">
        <v>-1</v>
      </c>
    </row>
    <row r="188" spans="1:6" x14ac:dyDescent="0.25">
      <c r="A188" s="20">
        <v>45415</v>
      </c>
      <c r="B188" s="19" t="s">
        <v>25</v>
      </c>
      <c r="C188" s="19" t="s">
        <v>6</v>
      </c>
      <c r="D188" s="19" t="s">
        <v>138</v>
      </c>
      <c r="E188" s="19">
        <v>0</v>
      </c>
      <c r="F188" s="19">
        <v>-1</v>
      </c>
    </row>
    <row r="189" spans="1:6" x14ac:dyDescent="0.25">
      <c r="A189" s="20">
        <v>45415</v>
      </c>
      <c r="B189" s="19" t="s">
        <v>25</v>
      </c>
      <c r="C189" s="19" t="s">
        <v>7</v>
      </c>
      <c r="D189" s="19" t="s">
        <v>138</v>
      </c>
      <c r="E189" s="19">
        <v>0</v>
      </c>
      <c r="F189" s="19">
        <v>-1</v>
      </c>
    </row>
    <row r="190" spans="1:6" x14ac:dyDescent="0.25">
      <c r="A190" s="20">
        <v>45415</v>
      </c>
      <c r="B190" s="19" t="s">
        <v>25</v>
      </c>
      <c r="C190" s="19" t="s">
        <v>8</v>
      </c>
      <c r="D190" s="19" t="s">
        <v>138</v>
      </c>
      <c r="E190" s="19">
        <v>0</v>
      </c>
      <c r="F190" s="19">
        <v>-1</v>
      </c>
    </row>
    <row r="191" spans="1:6" x14ac:dyDescent="0.25">
      <c r="A191" s="20">
        <v>45415</v>
      </c>
      <c r="B191" s="19" t="s">
        <v>74</v>
      </c>
      <c r="C191" s="19" t="s">
        <v>6</v>
      </c>
      <c r="D191" s="19" t="s">
        <v>138</v>
      </c>
      <c r="E191" s="19">
        <v>0</v>
      </c>
      <c r="F191" s="19">
        <v>-1</v>
      </c>
    </row>
    <row r="192" spans="1:6" x14ac:dyDescent="0.25">
      <c r="A192" s="20">
        <v>45415</v>
      </c>
      <c r="B192" s="19" t="s">
        <v>74</v>
      </c>
      <c r="C192" s="19" t="s">
        <v>7</v>
      </c>
      <c r="D192" s="19" t="s">
        <v>138</v>
      </c>
      <c r="E192" s="19">
        <v>0</v>
      </c>
      <c r="F192" s="19">
        <v>-1</v>
      </c>
    </row>
    <row r="193" spans="1:6" x14ac:dyDescent="0.25">
      <c r="A193" s="20">
        <v>45415</v>
      </c>
      <c r="B193" s="19" t="s">
        <v>74</v>
      </c>
      <c r="C193" s="19" t="s">
        <v>8</v>
      </c>
      <c r="D193" s="19" t="s">
        <v>138</v>
      </c>
      <c r="E193" s="19">
        <v>0</v>
      </c>
      <c r="F193" s="19">
        <v>-1</v>
      </c>
    </row>
    <row r="194" spans="1:6" x14ac:dyDescent="0.25">
      <c r="A194" s="20">
        <v>45415</v>
      </c>
      <c r="B194" s="19" t="s">
        <v>26</v>
      </c>
      <c r="C194" s="19" t="s">
        <v>6</v>
      </c>
      <c r="D194" s="19" t="s">
        <v>138</v>
      </c>
      <c r="E194" s="19">
        <v>0</v>
      </c>
      <c r="F194" s="19">
        <v>-1</v>
      </c>
    </row>
    <row r="195" spans="1:6" x14ac:dyDescent="0.25">
      <c r="A195" s="20">
        <v>45415</v>
      </c>
      <c r="B195" s="19" t="s">
        <v>26</v>
      </c>
      <c r="C195" s="19" t="s">
        <v>7</v>
      </c>
      <c r="D195" s="19" t="s">
        <v>138</v>
      </c>
      <c r="E195" s="19">
        <v>0</v>
      </c>
      <c r="F195" s="19">
        <v>-1</v>
      </c>
    </row>
    <row r="196" spans="1:6" x14ac:dyDescent="0.25">
      <c r="A196" s="20">
        <v>45415</v>
      </c>
      <c r="B196" s="19" t="s">
        <v>26</v>
      </c>
      <c r="C196" s="19" t="s">
        <v>8</v>
      </c>
      <c r="D196" s="19" t="s">
        <v>138</v>
      </c>
      <c r="E196" s="19">
        <v>0</v>
      </c>
      <c r="F196" s="19">
        <v>-1</v>
      </c>
    </row>
    <row r="197" spans="1:6" x14ac:dyDescent="0.25">
      <c r="A197" s="20">
        <v>45415</v>
      </c>
      <c r="B197" s="19" t="s">
        <v>72</v>
      </c>
      <c r="C197" s="19" t="s">
        <v>6</v>
      </c>
      <c r="D197" s="19" t="s">
        <v>138</v>
      </c>
      <c r="E197" s="19">
        <v>0</v>
      </c>
      <c r="F197" s="19">
        <v>-1</v>
      </c>
    </row>
    <row r="198" spans="1:6" x14ac:dyDescent="0.25">
      <c r="A198" s="20">
        <v>45415</v>
      </c>
      <c r="B198" s="19" t="s">
        <v>72</v>
      </c>
      <c r="C198" s="19" t="s">
        <v>7</v>
      </c>
      <c r="D198" s="19" t="s">
        <v>138</v>
      </c>
      <c r="E198" s="19">
        <v>0</v>
      </c>
      <c r="F198" s="19">
        <v>-1</v>
      </c>
    </row>
    <row r="199" spans="1:6" x14ac:dyDescent="0.25">
      <c r="A199" s="20">
        <v>45415</v>
      </c>
      <c r="B199" s="19" t="s">
        <v>72</v>
      </c>
      <c r="C199" s="19" t="s">
        <v>8</v>
      </c>
      <c r="D199" s="19" t="s">
        <v>138</v>
      </c>
      <c r="E199" s="19">
        <v>0</v>
      </c>
      <c r="F199" s="19">
        <v>-1</v>
      </c>
    </row>
    <row r="200" spans="1:6" x14ac:dyDescent="0.25">
      <c r="A200" s="20">
        <v>45415</v>
      </c>
      <c r="B200" s="19" t="s">
        <v>30</v>
      </c>
      <c r="C200" s="19" t="s">
        <v>6</v>
      </c>
      <c r="D200" s="19" t="s">
        <v>138</v>
      </c>
      <c r="E200" s="19">
        <v>0</v>
      </c>
      <c r="F200" s="19">
        <v>-1</v>
      </c>
    </row>
    <row r="201" spans="1:6" x14ac:dyDescent="0.25">
      <c r="A201" s="20">
        <v>45415</v>
      </c>
      <c r="B201" s="19" t="s">
        <v>30</v>
      </c>
      <c r="C201" s="19" t="s">
        <v>7</v>
      </c>
      <c r="D201" s="19" t="s">
        <v>138</v>
      </c>
      <c r="E201" s="19">
        <v>0</v>
      </c>
      <c r="F201" s="19">
        <v>-1</v>
      </c>
    </row>
    <row r="202" spans="1:6" x14ac:dyDescent="0.25">
      <c r="A202" s="20">
        <v>45415</v>
      </c>
      <c r="B202" s="19" t="s">
        <v>30</v>
      </c>
      <c r="C202" s="19" t="s">
        <v>8</v>
      </c>
      <c r="D202" s="19" t="s">
        <v>138</v>
      </c>
      <c r="E202" s="19">
        <v>0</v>
      </c>
      <c r="F202" s="19">
        <v>-1</v>
      </c>
    </row>
    <row r="203" spans="1:6" x14ac:dyDescent="0.25">
      <c r="A203" s="20">
        <v>45415</v>
      </c>
      <c r="B203" s="19" t="s">
        <v>31</v>
      </c>
      <c r="C203" s="19" t="s">
        <v>6</v>
      </c>
      <c r="D203" s="19" t="s">
        <v>138</v>
      </c>
      <c r="E203" s="19">
        <v>0</v>
      </c>
      <c r="F203" s="19">
        <v>-1</v>
      </c>
    </row>
    <row r="204" spans="1:6" x14ac:dyDescent="0.25">
      <c r="A204" s="20">
        <v>45415</v>
      </c>
      <c r="B204" s="19" t="s">
        <v>31</v>
      </c>
      <c r="C204" s="19" t="s">
        <v>7</v>
      </c>
      <c r="D204" s="19" t="s">
        <v>138</v>
      </c>
      <c r="E204" s="19">
        <v>0</v>
      </c>
      <c r="F204" s="19">
        <v>-1</v>
      </c>
    </row>
    <row r="205" spans="1:6" x14ac:dyDescent="0.25">
      <c r="A205" s="20">
        <v>45415</v>
      </c>
      <c r="B205" s="19" t="s">
        <v>31</v>
      </c>
      <c r="C205" s="19" t="s">
        <v>8</v>
      </c>
      <c r="D205" s="19" t="s">
        <v>138</v>
      </c>
      <c r="E205" s="19">
        <v>0</v>
      </c>
      <c r="F205" s="19">
        <v>-1</v>
      </c>
    </row>
    <row r="206" spans="1:6" x14ac:dyDescent="0.25">
      <c r="A206" s="20">
        <v>45415</v>
      </c>
      <c r="B206" s="19" t="s">
        <v>32</v>
      </c>
      <c r="C206" s="19" t="s">
        <v>6</v>
      </c>
      <c r="D206" s="19" t="s">
        <v>138</v>
      </c>
      <c r="E206" s="19">
        <v>0</v>
      </c>
      <c r="F206" s="19">
        <v>-1</v>
      </c>
    </row>
    <row r="207" spans="1:6" x14ac:dyDescent="0.25">
      <c r="A207" s="20">
        <v>45415</v>
      </c>
      <c r="B207" s="19" t="s">
        <v>32</v>
      </c>
      <c r="C207" s="19" t="s">
        <v>7</v>
      </c>
      <c r="D207" s="19" t="s">
        <v>138</v>
      </c>
      <c r="E207" s="19">
        <v>0</v>
      </c>
      <c r="F207" s="19">
        <v>-1</v>
      </c>
    </row>
    <row r="208" spans="1:6" x14ac:dyDescent="0.25">
      <c r="A208" s="20">
        <v>45415</v>
      </c>
      <c r="B208" s="19" t="s">
        <v>32</v>
      </c>
      <c r="C208" s="19" t="s">
        <v>8</v>
      </c>
      <c r="D208" s="19" t="s">
        <v>138</v>
      </c>
      <c r="E208" s="19">
        <v>0</v>
      </c>
      <c r="F208" s="19">
        <v>-1</v>
      </c>
    </row>
    <row r="209" spans="1:6" x14ac:dyDescent="0.25">
      <c r="A209" s="20">
        <v>45415</v>
      </c>
      <c r="B209" s="19" t="s">
        <v>33</v>
      </c>
      <c r="C209" s="19" t="s">
        <v>6</v>
      </c>
      <c r="D209" s="19" t="s">
        <v>138</v>
      </c>
      <c r="E209" s="19">
        <v>0</v>
      </c>
      <c r="F209" s="19">
        <v>-1</v>
      </c>
    </row>
    <row r="210" spans="1:6" x14ac:dyDescent="0.25">
      <c r="A210" s="20">
        <v>45415</v>
      </c>
      <c r="B210" s="19" t="s">
        <v>33</v>
      </c>
      <c r="C210" s="19" t="s">
        <v>7</v>
      </c>
      <c r="D210" s="19" t="s">
        <v>138</v>
      </c>
      <c r="E210" s="19">
        <v>0</v>
      </c>
      <c r="F210" s="19">
        <v>-1</v>
      </c>
    </row>
    <row r="211" spans="1:6" x14ac:dyDescent="0.25">
      <c r="A211" s="20">
        <v>45415</v>
      </c>
      <c r="B211" s="19" t="s">
        <v>33</v>
      </c>
      <c r="C211" s="19" t="s">
        <v>8</v>
      </c>
      <c r="D211" s="19" t="s">
        <v>138</v>
      </c>
      <c r="E211" s="19">
        <v>0</v>
      </c>
      <c r="F211" s="19">
        <v>-1</v>
      </c>
    </row>
    <row r="212" spans="1:6" x14ac:dyDescent="0.25">
      <c r="A212" s="20">
        <v>45415</v>
      </c>
      <c r="B212" s="19" t="s">
        <v>63</v>
      </c>
      <c r="C212" s="19" t="s">
        <v>6</v>
      </c>
      <c r="D212" s="19" t="s">
        <v>138</v>
      </c>
      <c r="E212" s="19">
        <v>0</v>
      </c>
      <c r="F212" s="19">
        <v>-1</v>
      </c>
    </row>
    <row r="213" spans="1:6" x14ac:dyDescent="0.25">
      <c r="A213" s="20">
        <v>45415</v>
      </c>
      <c r="B213" s="19" t="s">
        <v>63</v>
      </c>
      <c r="C213" s="19" t="s">
        <v>7</v>
      </c>
      <c r="D213" s="19" t="s">
        <v>138</v>
      </c>
      <c r="E213" s="19">
        <v>0</v>
      </c>
      <c r="F213" s="19">
        <v>-1</v>
      </c>
    </row>
    <row r="214" spans="1:6" x14ac:dyDescent="0.25">
      <c r="A214" s="20">
        <v>45415</v>
      </c>
      <c r="B214" s="19" t="s">
        <v>63</v>
      </c>
      <c r="C214" s="19" t="s">
        <v>8</v>
      </c>
      <c r="D214" s="19" t="s">
        <v>138</v>
      </c>
      <c r="E214" s="19">
        <v>0</v>
      </c>
      <c r="F214" s="19">
        <v>-1</v>
      </c>
    </row>
    <row r="215" spans="1:6" x14ac:dyDescent="0.25">
      <c r="A215" s="20">
        <v>45415</v>
      </c>
      <c r="B215" s="19" t="s">
        <v>256</v>
      </c>
      <c r="C215" s="19" t="s">
        <v>6</v>
      </c>
      <c r="D215" s="19" t="s">
        <v>138</v>
      </c>
      <c r="E215" s="19">
        <v>0</v>
      </c>
      <c r="F215" s="19">
        <v>-1</v>
      </c>
    </row>
    <row r="216" spans="1:6" x14ac:dyDescent="0.25">
      <c r="A216" s="20">
        <v>45415</v>
      </c>
      <c r="B216" s="19" t="s">
        <v>256</v>
      </c>
      <c r="C216" s="19" t="s">
        <v>7</v>
      </c>
      <c r="D216" s="19" t="s">
        <v>138</v>
      </c>
      <c r="E216" s="19">
        <v>0</v>
      </c>
      <c r="F216" s="19">
        <v>-1</v>
      </c>
    </row>
    <row r="217" spans="1:6" x14ac:dyDescent="0.25">
      <c r="A217" s="20">
        <v>45415</v>
      </c>
      <c r="B217" s="19" t="s">
        <v>256</v>
      </c>
      <c r="C217" s="19" t="s">
        <v>8</v>
      </c>
      <c r="D217" s="19" t="s">
        <v>138</v>
      </c>
      <c r="E217" s="19">
        <v>0</v>
      </c>
      <c r="F217" s="19">
        <v>-1</v>
      </c>
    </row>
    <row r="218" spans="1:6" x14ac:dyDescent="0.25">
      <c r="A218" s="20">
        <v>45415</v>
      </c>
      <c r="B218" s="19" t="s">
        <v>257</v>
      </c>
      <c r="C218" s="19" t="s">
        <v>6</v>
      </c>
      <c r="D218" s="19" t="s">
        <v>138</v>
      </c>
      <c r="E218" s="19">
        <v>0</v>
      </c>
      <c r="F218" s="19">
        <v>-1</v>
      </c>
    </row>
    <row r="219" spans="1:6" x14ac:dyDescent="0.25">
      <c r="A219" s="20">
        <v>45415</v>
      </c>
      <c r="B219" s="19" t="s">
        <v>257</v>
      </c>
      <c r="C219" s="19" t="s">
        <v>7</v>
      </c>
      <c r="D219" s="19" t="s">
        <v>138</v>
      </c>
      <c r="E219" s="19">
        <v>0</v>
      </c>
      <c r="F219" s="19">
        <v>-1</v>
      </c>
    </row>
    <row r="220" spans="1:6" x14ac:dyDescent="0.25">
      <c r="A220" s="20">
        <v>45415</v>
      </c>
      <c r="B220" s="19" t="s">
        <v>257</v>
      </c>
      <c r="C220" s="19" t="s">
        <v>8</v>
      </c>
      <c r="D220" s="19" t="s">
        <v>138</v>
      </c>
      <c r="E220" s="19">
        <v>0</v>
      </c>
      <c r="F220" s="19">
        <v>-1</v>
      </c>
    </row>
    <row r="221" spans="1:6" x14ac:dyDescent="0.25">
      <c r="A221" s="20">
        <v>45415</v>
      </c>
      <c r="B221" s="19" t="s">
        <v>37</v>
      </c>
      <c r="C221" s="19" t="s">
        <v>6</v>
      </c>
      <c r="D221" s="19" t="s">
        <v>138</v>
      </c>
      <c r="E221" s="19">
        <v>0</v>
      </c>
      <c r="F221" s="19">
        <v>-1</v>
      </c>
    </row>
    <row r="222" spans="1:6" x14ac:dyDescent="0.25">
      <c r="A222" s="20">
        <v>45415</v>
      </c>
      <c r="B222" s="19" t="s">
        <v>37</v>
      </c>
      <c r="C222" s="19" t="s">
        <v>7</v>
      </c>
      <c r="D222" s="19" t="s">
        <v>138</v>
      </c>
      <c r="E222" s="19">
        <v>0</v>
      </c>
      <c r="F222" s="19">
        <v>-1</v>
      </c>
    </row>
    <row r="223" spans="1:6" x14ac:dyDescent="0.25">
      <c r="A223" s="20">
        <v>45415</v>
      </c>
      <c r="B223" s="19" t="s">
        <v>37</v>
      </c>
      <c r="C223" s="19" t="s">
        <v>8</v>
      </c>
      <c r="D223" s="19" t="s">
        <v>138</v>
      </c>
      <c r="E223" s="19">
        <v>0</v>
      </c>
      <c r="F223" s="19">
        <v>-1</v>
      </c>
    </row>
    <row r="224" spans="1:6" x14ac:dyDescent="0.25">
      <c r="A224" s="20">
        <v>45415</v>
      </c>
      <c r="B224" s="19" t="s">
        <v>258</v>
      </c>
      <c r="C224" s="19" t="s">
        <v>6</v>
      </c>
      <c r="D224" s="19" t="s">
        <v>138</v>
      </c>
      <c r="E224" s="19">
        <v>0</v>
      </c>
      <c r="F224" s="19">
        <v>-1</v>
      </c>
    </row>
    <row r="225" spans="1:6" x14ac:dyDescent="0.25">
      <c r="A225" s="20">
        <v>45415</v>
      </c>
      <c r="B225" s="19" t="s">
        <v>258</v>
      </c>
      <c r="C225" s="19" t="s">
        <v>7</v>
      </c>
      <c r="D225" s="19" t="s">
        <v>138</v>
      </c>
      <c r="E225" s="19">
        <v>0</v>
      </c>
      <c r="F225" s="19">
        <v>-1</v>
      </c>
    </row>
    <row r="226" spans="1:6" x14ac:dyDescent="0.25">
      <c r="A226" s="20">
        <v>45415</v>
      </c>
      <c r="B226" s="19" t="s">
        <v>258</v>
      </c>
      <c r="C226" s="19" t="s">
        <v>8</v>
      </c>
      <c r="D226" s="19" t="s">
        <v>138</v>
      </c>
      <c r="E226" s="19">
        <v>0</v>
      </c>
      <c r="F226" s="19">
        <v>-1</v>
      </c>
    </row>
    <row r="227" spans="1:6" x14ac:dyDescent="0.25">
      <c r="A227" s="20">
        <v>45415</v>
      </c>
      <c r="B227" s="19" t="s">
        <v>259</v>
      </c>
      <c r="C227" s="19" t="s">
        <v>6</v>
      </c>
      <c r="D227" s="19" t="s">
        <v>138</v>
      </c>
      <c r="E227" s="19">
        <v>0</v>
      </c>
      <c r="F227" s="19">
        <v>-1</v>
      </c>
    </row>
    <row r="228" spans="1:6" x14ac:dyDescent="0.25">
      <c r="A228" s="20">
        <v>45415</v>
      </c>
      <c r="B228" s="19" t="s">
        <v>259</v>
      </c>
      <c r="C228" s="19" t="s">
        <v>7</v>
      </c>
      <c r="D228" s="19" t="s">
        <v>138</v>
      </c>
      <c r="E228" s="19">
        <v>0</v>
      </c>
      <c r="F228" s="19">
        <v>-1</v>
      </c>
    </row>
    <row r="229" spans="1:6" x14ac:dyDescent="0.25">
      <c r="A229" s="20">
        <v>45415</v>
      </c>
      <c r="B229" s="19" t="s">
        <v>259</v>
      </c>
      <c r="C229" s="19" t="s">
        <v>8</v>
      </c>
      <c r="D229" s="19" t="s">
        <v>138</v>
      </c>
      <c r="E229" s="19">
        <v>0</v>
      </c>
      <c r="F229" s="19">
        <v>-1</v>
      </c>
    </row>
    <row r="230" spans="1:6" x14ac:dyDescent="0.25">
      <c r="A230" s="20">
        <v>45415</v>
      </c>
      <c r="B230" s="19" t="s">
        <v>260</v>
      </c>
      <c r="C230" s="19" t="s">
        <v>6</v>
      </c>
      <c r="D230" s="19" t="s">
        <v>138</v>
      </c>
      <c r="E230" s="19">
        <v>0</v>
      </c>
      <c r="F230" s="19">
        <v>-1</v>
      </c>
    </row>
    <row r="231" spans="1:6" x14ac:dyDescent="0.25">
      <c r="A231" s="20">
        <v>45415</v>
      </c>
      <c r="B231" s="19" t="s">
        <v>260</v>
      </c>
      <c r="C231" s="19" t="s">
        <v>7</v>
      </c>
      <c r="D231" s="19" t="s">
        <v>138</v>
      </c>
      <c r="E231" s="19">
        <v>0</v>
      </c>
      <c r="F231" s="19">
        <v>-1</v>
      </c>
    </row>
    <row r="232" spans="1:6" x14ac:dyDescent="0.25">
      <c r="A232" s="20">
        <v>45415</v>
      </c>
      <c r="B232" s="19" t="s">
        <v>260</v>
      </c>
      <c r="C232" s="19" t="s">
        <v>8</v>
      </c>
      <c r="D232" s="19" t="s">
        <v>138</v>
      </c>
      <c r="E232" s="19">
        <v>0</v>
      </c>
      <c r="F232" s="19">
        <v>-1</v>
      </c>
    </row>
    <row r="233" spans="1:6" x14ac:dyDescent="0.25">
      <c r="A233" s="20">
        <v>45415</v>
      </c>
      <c r="B233" s="19" t="s">
        <v>261</v>
      </c>
      <c r="C233" s="19" t="s">
        <v>6</v>
      </c>
      <c r="D233" s="19" t="s">
        <v>138</v>
      </c>
      <c r="E233" s="19">
        <v>0</v>
      </c>
      <c r="F233" s="19">
        <v>-1</v>
      </c>
    </row>
    <row r="234" spans="1:6" x14ac:dyDescent="0.25">
      <c r="A234" s="20">
        <v>45415</v>
      </c>
      <c r="B234" s="19" t="s">
        <v>261</v>
      </c>
      <c r="C234" s="19" t="s">
        <v>7</v>
      </c>
      <c r="D234" s="19" t="s">
        <v>138</v>
      </c>
      <c r="E234" s="19">
        <v>0</v>
      </c>
      <c r="F234" s="19">
        <v>-1</v>
      </c>
    </row>
    <row r="235" spans="1:6" x14ac:dyDescent="0.25">
      <c r="A235" s="20">
        <v>45415</v>
      </c>
      <c r="B235" s="19" t="s">
        <v>261</v>
      </c>
      <c r="C235" s="19" t="s">
        <v>8</v>
      </c>
      <c r="D235" s="19" t="s">
        <v>138</v>
      </c>
      <c r="E235" s="19">
        <v>0</v>
      </c>
      <c r="F235" s="19">
        <v>-1</v>
      </c>
    </row>
    <row r="236" spans="1:6" x14ac:dyDescent="0.25">
      <c r="A236" s="20">
        <v>45415</v>
      </c>
      <c r="B236" s="19" t="s">
        <v>54</v>
      </c>
      <c r="C236" s="19" t="s">
        <v>6</v>
      </c>
      <c r="D236" s="19" t="s">
        <v>138</v>
      </c>
      <c r="E236" s="19">
        <v>0</v>
      </c>
      <c r="F236" s="19">
        <v>-1</v>
      </c>
    </row>
    <row r="237" spans="1:6" x14ac:dyDescent="0.25">
      <c r="A237" s="20">
        <v>45415</v>
      </c>
      <c r="B237" s="19" t="s">
        <v>54</v>
      </c>
      <c r="C237" s="19" t="s">
        <v>7</v>
      </c>
      <c r="D237" s="19" t="s">
        <v>138</v>
      </c>
      <c r="E237" s="19">
        <v>0</v>
      </c>
      <c r="F237" s="19">
        <v>-1</v>
      </c>
    </row>
    <row r="238" spans="1:6" x14ac:dyDescent="0.25">
      <c r="A238" s="20">
        <v>45415</v>
      </c>
      <c r="B238" s="19" t="s">
        <v>54</v>
      </c>
      <c r="C238" s="19" t="s">
        <v>8</v>
      </c>
      <c r="D238" s="19" t="s">
        <v>138</v>
      </c>
      <c r="E238" s="19">
        <v>0</v>
      </c>
      <c r="F238" s="19">
        <v>-1</v>
      </c>
    </row>
    <row r="239" spans="1:6" x14ac:dyDescent="0.25">
      <c r="A239" s="20">
        <v>45416</v>
      </c>
      <c r="B239" s="19" t="s">
        <v>136</v>
      </c>
      <c r="C239" s="19" t="s">
        <v>6</v>
      </c>
      <c r="D239" s="19" t="s">
        <v>138</v>
      </c>
      <c r="E239" s="19">
        <v>0</v>
      </c>
      <c r="F239" s="19">
        <v>-1</v>
      </c>
    </row>
    <row r="240" spans="1:6" x14ac:dyDescent="0.25">
      <c r="A240" s="20">
        <v>45416</v>
      </c>
      <c r="B240" s="19" t="s">
        <v>136</v>
      </c>
      <c r="C240" s="19" t="s">
        <v>7</v>
      </c>
      <c r="D240" s="19" t="s">
        <v>138</v>
      </c>
      <c r="E240" s="19">
        <v>0</v>
      </c>
      <c r="F240" s="19">
        <v>-1</v>
      </c>
    </row>
    <row r="241" spans="1:6" x14ac:dyDescent="0.25">
      <c r="A241" s="20">
        <v>45416</v>
      </c>
      <c r="B241" s="19" t="s">
        <v>136</v>
      </c>
      <c r="C241" s="19" t="s">
        <v>8</v>
      </c>
      <c r="D241" s="19" t="s">
        <v>138</v>
      </c>
      <c r="E241" s="19">
        <v>0</v>
      </c>
      <c r="F241" s="19">
        <v>-1</v>
      </c>
    </row>
    <row r="242" spans="1:6" x14ac:dyDescent="0.25">
      <c r="A242" s="20">
        <v>45416</v>
      </c>
      <c r="B242" s="19" t="s">
        <v>135</v>
      </c>
      <c r="C242" s="19" t="s">
        <v>6</v>
      </c>
      <c r="D242" s="19" t="s">
        <v>138</v>
      </c>
      <c r="E242" s="19">
        <v>0</v>
      </c>
      <c r="F242" s="19">
        <v>-1</v>
      </c>
    </row>
    <row r="243" spans="1:6" x14ac:dyDescent="0.25">
      <c r="A243" s="20">
        <v>45416</v>
      </c>
      <c r="B243" s="19" t="s">
        <v>135</v>
      </c>
      <c r="C243" s="19" t="s">
        <v>7</v>
      </c>
      <c r="D243" s="19" t="s">
        <v>138</v>
      </c>
      <c r="E243" s="19">
        <v>0</v>
      </c>
      <c r="F243" s="19">
        <v>-1</v>
      </c>
    </row>
    <row r="244" spans="1:6" x14ac:dyDescent="0.25">
      <c r="A244" s="20">
        <v>45416</v>
      </c>
      <c r="B244" s="19" t="s">
        <v>135</v>
      </c>
      <c r="C244" s="19" t="s">
        <v>8</v>
      </c>
      <c r="D244" s="19" t="s">
        <v>138</v>
      </c>
      <c r="E244" s="19">
        <v>0</v>
      </c>
      <c r="F244" s="19">
        <v>-1</v>
      </c>
    </row>
    <row r="245" spans="1:6" x14ac:dyDescent="0.25">
      <c r="A245" s="20">
        <v>45416</v>
      </c>
      <c r="B245" s="19" t="s">
        <v>134</v>
      </c>
      <c r="C245" s="19" t="s">
        <v>6</v>
      </c>
      <c r="D245" s="19" t="s">
        <v>138</v>
      </c>
      <c r="E245" s="19">
        <v>0</v>
      </c>
      <c r="F245" s="19">
        <v>-1</v>
      </c>
    </row>
    <row r="246" spans="1:6" x14ac:dyDescent="0.25">
      <c r="A246" s="20">
        <v>45416</v>
      </c>
      <c r="B246" s="19" t="s">
        <v>134</v>
      </c>
      <c r="C246" s="19" t="s">
        <v>7</v>
      </c>
      <c r="D246" s="19" t="s">
        <v>138</v>
      </c>
      <c r="E246" s="19">
        <v>0</v>
      </c>
      <c r="F246" s="19">
        <v>-1</v>
      </c>
    </row>
    <row r="247" spans="1:6" x14ac:dyDescent="0.25">
      <c r="A247" s="20">
        <v>45416</v>
      </c>
      <c r="B247" s="19" t="s">
        <v>134</v>
      </c>
      <c r="C247" s="19" t="s">
        <v>8</v>
      </c>
      <c r="D247" s="19" t="s">
        <v>138</v>
      </c>
      <c r="E247" s="19">
        <v>0</v>
      </c>
      <c r="F247" s="19">
        <v>-1</v>
      </c>
    </row>
    <row r="248" spans="1:6" x14ac:dyDescent="0.25">
      <c r="A248" s="20">
        <v>45416</v>
      </c>
      <c r="B248" s="19" t="s">
        <v>132</v>
      </c>
      <c r="C248" s="19" t="s">
        <v>6</v>
      </c>
      <c r="D248" s="19" t="s">
        <v>138</v>
      </c>
      <c r="E248" s="19">
        <v>0</v>
      </c>
      <c r="F248" s="19">
        <v>-1</v>
      </c>
    </row>
    <row r="249" spans="1:6" x14ac:dyDescent="0.25">
      <c r="A249" s="20">
        <v>45416</v>
      </c>
      <c r="B249" s="19" t="s">
        <v>132</v>
      </c>
      <c r="C249" s="19" t="s">
        <v>7</v>
      </c>
      <c r="D249" s="19" t="s">
        <v>138</v>
      </c>
      <c r="E249" s="19">
        <v>0</v>
      </c>
      <c r="F249" s="19">
        <v>-1</v>
      </c>
    </row>
    <row r="250" spans="1:6" x14ac:dyDescent="0.25">
      <c r="A250" s="20">
        <v>45416</v>
      </c>
      <c r="B250" s="19" t="s">
        <v>132</v>
      </c>
      <c r="C250" s="19" t="s">
        <v>8</v>
      </c>
      <c r="D250" s="19" t="s">
        <v>138</v>
      </c>
      <c r="E250" s="19">
        <v>0</v>
      </c>
      <c r="F250" s="19">
        <v>-1</v>
      </c>
    </row>
    <row r="251" spans="1:6" x14ac:dyDescent="0.25">
      <c r="A251" s="20">
        <v>45416</v>
      </c>
      <c r="B251" s="19" t="s">
        <v>131</v>
      </c>
      <c r="C251" s="19" t="s">
        <v>6</v>
      </c>
      <c r="D251" s="19" t="s">
        <v>138</v>
      </c>
      <c r="E251" s="19">
        <v>0</v>
      </c>
      <c r="F251" s="19">
        <v>-1</v>
      </c>
    </row>
    <row r="252" spans="1:6" x14ac:dyDescent="0.25">
      <c r="A252" s="20">
        <v>45416</v>
      </c>
      <c r="B252" s="19" t="s">
        <v>131</v>
      </c>
      <c r="C252" s="19" t="s">
        <v>7</v>
      </c>
      <c r="D252" s="19" t="s">
        <v>138</v>
      </c>
      <c r="E252" s="19">
        <v>0</v>
      </c>
      <c r="F252" s="19">
        <v>-1</v>
      </c>
    </row>
    <row r="253" spans="1:6" x14ac:dyDescent="0.25">
      <c r="A253" s="20">
        <v>45416</v>
      </c>
      <c r="B253" s="19" t="s">
        <v>131</v>
      </c>
      <c r="C253" s="19" t="s">
        <v>8</v>
      </c>
      <c r="D253" s="19" t="s">
        <v>138</v>
      </c>
      <c r="E253" s="19">
        <v>0</v>
      </c>
      <c r="F253" s="19">
        <v>-1</v>
      </c>
    </row>
    <row r="254" spans="1:6" x14ac:dyDescent="0.25">
      <c r="A254" s="20">
        <v>45416</v>
      </c>
      <c r="B254" s="19" t="s">
        <v>130</v>
      </c>
      <c r="C254" s="19" t="s">
        <v>6</v>
      </c>
      <c r="D254" s="19" t="s">
        <v>138</v>
      </c>
      <c r="E254" s="19">
        <v>0</v>
      </c>
      <c r="F254" s="19">
        <v>-1</v>
      </c>
    </row>
    <row r="255" spans="1:6" x14ac:dyDescent="0.25">
      <c r="A255" s="20">
        <v>45416</v>
      </c>
      <c r="B255" s="19" t="s">
        <v>130</v>
      </c>
      <c r="C255" s="19" t="s">
        <v>7</v>
      </c>
      <c r="D255" s="19" t="s">
        <v>138</v>
      </c>
      <c r="E255" s="19">
        <v>0</v>
      </c>
      <c r="F255" s="19">
        <v>-1</v>
      </c>
    </row>
    <row r="256" spans="1:6" x14ac:dyDescent="0.25">
      <c r="A256" s="20">
        <v>45416</v>
      </c>
      <c r="B256" s="19" t="s">
        <v>130</v>
      </c>
      <c r="C256" s="19" t="s">
        <v>8</v>
      </c>
      <c r="D256" s="19" t="s">
        <v>138</v>
      </c>
      <c r="E256" s="19">
        <v>0</v>
      </c>
      <c r="F256" s="19">
        <v>-1</v>
      </c>
    </row>
    <row r="257" spans="1:6" x14ac:dyDescent="0.25">
      <c r="A257" s="20">
        <v>45416</v>
      </c>
      <c r="B257" s="19" t="s">
        <v>128</v>
      </c>
      <c r="C257" s="19" t="s">
        <v>6</v>
      </c>
      <c r="D257" s="19" t="s">
        <v>138</v>
      </c>
      <c r="E257" s="19">
        <v>0</v>
      </c>
      <c r="F257" s="19">
        <v>-1</v>
      </c>
    </row>
    <row r="258" spans="1:6" x14ac:dyDescent="0.25">
      <c r="A258" s="20">
        <v>45416</v>
      </c>
      <c r="B258" s="19" t="s">
        <v>128</v>
      </c>
      <c r="C258" s="19" t="s">
        <v>7</v>
      </c>
      <c r="D258" s="19" t="s">
        <v>138</v>
      </c>
      <c r="E258" s="19">
        <v>0</v>
      </c>
      <c r="F258" s="19">
        <v>-1</v>
      </c>
    </row>
    <row r="259" spans="1:6" x14ac:dyDescent="0.25">
      <c r="A259" s="20">
        <v>45416</v>
      </c>
      <c r="B259" s="19" t="s">
        <v>128</v>
      </c>
      <c r="C259" s="19" t="s">
        <v>8</v>
      </c>
      <c r="D259" s="19" t="s">
        <v>138</v>
      </c>
      <c r="E259" s="19">
        <v>0</v>
      </c>
      <c r="F259" s="19">
        <v>-1</v>
      </c>
    </row>
    <row r="260" spans="1:6" x14ac:dyDescent="0.25">
      <c r="A260" s="20">
        <v>45416</v>
      </c>
      <c r="B260" s="19" t="s">
        <v>40</v>
      </c>
      <c r="C260" s="19" t="s">
        <v>6</v>
      </c>
      <c r="D260" s="19" t="s">
        <v>138</v>
      </c>
      <c r="E260" s="19">
        <v>0</v>
      </c>
      <c r="F260" s="19">
        <v>-1</v>
      </c>
    </row>
    <row r="261" spans="1:6" x14ac:dyDescent="0.25">
      <c r="A261" s="20">
        <v>45416</v>
      </c>
      <c r="B261" s="19" t="s">
        <v>40</v>
      </c>
      <c r="C261" s="19" t="s">
        <v>7</v>
      </c>
      <c r="D261" s="19" t="s">
        <v>138</v>
      </c>
      <c r="E261" s="19">
        <v>0</v>
      </c>
      <c r="F261" s="19">
        <v>-1</v>
      </c>
    </row>
    <row r="262" spans="1:6" x14ac:dyDescent="0.25">
      <c r="A262" s="20">
        <v>45416</v>
      </c>
      <c r="B262" s="19" t="s">
        <v>40</v>
      </c>
      <c r="C262" s="19" t="s">
        <v>8</v>
      </c>
      <c r="D262" s="19" t="s">
        <v>138</v>
      </c>
      <c r="E262" s="19">
        <v>0</v>
      </c>
      <c r="F262" s="19">
        <v>-1</v>
      </c>
    </row>
    <row r="263" spans="1:6" x14ac:dyDescent="0.25">
      <c r="A263" s="20">
        <v>45416</v>
      </c>
      <c r="B263" s="19" t="s">
        <v>127</v>
      </c>
      <c r="C263" s="19" t="s">
        <v>6</v>
      </c>
      <c r="D263" s="19" t="s">
        <v>138</v>
      </c>
      <c r="E263" s="19">
        <v>0</v>
      </c>
      <c r="F263" s="19">
        <v>-1</v>
      </c>
    </row>
    <row r="264" spans="1:6" x14ac:dyDescent="0.25">
      <c r="A264" s="20">
        <v>45416</v>
      </c>
      <c r="B264" s="19" t="s">
        <v>127</v>
      </c>
      <c r="C264" s="19" t="s">
        <v>7</v>
      </c>
      <c r="D264" s="19" t="s">
        <v>138</v>
      </c>
      <c r="E264" s="19">
        <v>0</v>
      </c>
      <c r="F264" s="19">
        <v>-1</v>
      </c>
    </row>
    <row r="265" spans="1:6" x14ac:dyDescent="0.25">
      <c r="A265" s="20">
        <v>45416</v>
      </c>
      <c r="B265" s="19" t="s">
        <v>127</v>
      </c>
      <c r="C265" s="19" t="s">
        <v>8</v>
      </c>
      <c r="D265" s="19" t="s">
        <v>138</v>
      </c>
      <c r="E265" s="19">
        <v>0</v>
      </c>
      <c r="F265" s="19">
        <v>-1</v>
      </c>
    </row>
    <row r="266" spans="1:6" x14ac:dyDescent="0.25">
      <c r="A266" s="20">
        <v>45416</v>
      </c>
      <c r="B266" s="19" t="s">
        <v>124</v>
      </c>
      <c r="C266" s="19" t="s">
        <v>6</v>
      </c>
      <c r="D266" s="19" t="s">
        <v>138</v>
      </c>
      <c r="E266" s="19">
        <v>0</v>
      </c>
      <c r="F266" s="19">
        <v>-1</v>
      </c>
    </row>
    <row r="267" spans="1:6" x14ac:dyDescent="0.25">
      <c r="A267" s="20">
        <v>45416</v>
      </c>
      <c r="B267" s="19" t="s">
        <v>124</v>
      </c>
      <c r="C267" s="19" t="s">
        <v>7</v>
      </c>
      <c r="D267" s="19" t="s">
        <v>138</v>
      </c>
      <c r="E267" s="19">
        <v>0</v>
      </c>
      <c r="F267" s="19">
        <v>-1</v>
      </c>
    </row>
    <row r="268" spans="1:6" x14ac:dyDescent="0.25">
      <c r="A268" s="20">
        <v>45416</v>
      </c>
      <c r="B268" s="19" t="s">
        <v>124</v>
      </c>
      <c r="C268" s="19" t="s">
        <v>8</v>
      </c>
      <c r="D268" s="19" t="s">
        <v>138</v>
      </c>
      <c r="E268" s="19">
        <v>0</v>
      </c>
      <c r="F268" s="19">
        <v>-1</v>
      </c>
    </row>
    <row r="269" spans="1:6" x14ac:dyDescent="0.25">
      <c r="A269" s="20">
        <v>45416</v>
      </c>
      <c r="B269" s="19" t="s">
        <v>122</v>
      </c>
      <c r="C269" s="19" t="s">
        <v>6</v>
      </c>
      <c r="D269" s="19" t="s">
        <v>138</v>
      </c>
      <c r="E269" s="19">
        <v>0</v>
      </c>
      <c r="F269" s="19">
        <v>-1</v>
      </c>
    </row>
    <row r="270" spans="1:6" x14ac:dyDescent="0.25">
      <c r="A270" s="20">
        <v>45416</v>
      </c>
      <c r="B270" s="19" t="s">
        <v>122</v>
      </c>
      <c r="C270" s="19" t="s">
        <v>7</v>
      </c>
      <c r="D270" s="19" t="s">
        <v>138</v>
      </c>
      <c r="E270" s="19">
        <v>0</v>
      </c>
      <c r="F270" s="19">
        <v>-1</v>
      </c>
    </row>
    <row r="271" spans="1:6" x14ac:dyDescent="0.25">
      <c r="A271" s="20">
        <v>45416</v>
      </c>
      <c r="B271" s="19" t="s">
        <v>122</v>
      </c>
      <c r="C271" s="19" t="s">
        <v>8</v>
      </c>
      <c r="D271" s="19" t="s">
        <v>138</v>
      </c>
      <c r="E271" s="19">
        <v>0</v>
      </c>
      <c r="F271" s="19">
        <v>-1</v>
      </c>
    </row>
    <row r="272" spans="1:6" x14ac:dyDescent="0.25">
      <c r="A272" s="20">
        <v>45416</v>
      </c>
      <c r="B272" s="19" t="s">
        <v>120</v>
      </c>
      <c r="C272" s="19" t="s">
        <v>6</v>
      </c>
      <c r="D272" s="19" t="s">
        <v>138</v>
      </c>
      <c r="E272" s="19">
        <v>0</v>
      </c>
      <c r="F272" s="19">
        <v>-1</v>
      </c>
    </row>
    <row r="273" spans="1:6" x14ac:dyDescent="0.25">
      <c r="A273" s="20">
        <v>45416</v>
      </c>
      <c r="B273" s="19" t="s">
        <v>120</v>
      </c>
      <c r="C273" s="19" t="s">
        <v>7</v>
      </c>
      <c r="D273" s="19" t="s">
        <v>138</v>
      </c>
      <c r="E273" s="19">
        <v>0</v>
      </c>
      <c r="F273" s="19">
        <v>-1</v>
      </c>
    </row>
    <row r="274" spans="1:6" x14ac:dyDescent="0.25">
      <c r="A274" s="20">
        <v>45416</v>
      </c>
      <c r="B274" s="19" t="s">
        <v>120</v>
      </c>
      <c r="C274" s="19" t="s">
        <v>8</v>
      </c>
      <c r="D274" s="19" t="s">
        <v>138</v>
      </c>
      <c r="E274" s="19">
        <v>0</v>
      </c>
      <c r="F274" s="19">
        <v>-1</v>
      </c>
    </row>
    <row r="275" spans="1:6" x14ac:dyDescent="0.25">
      <c r="A275" s="20">
        <v>45416</v>
      </c>
      <c r="B275" s="19" t="s">
        <v>119</v>
      </c>
      <c r="C275" s="19" t="s">
        <v>6</v>
      </c>
      <c r="D275" s="19" t="s">
        <v>138</v>
      </c>
      <c r="E275" s="19">
        <v>0</v>
      </c>
      <c r="F275" s="19">
        <v>-1</v>
      </c>
    </row>
    <row r="276" spans="1:6" x14ac:dyDescent="0.25">
      <c r="A276" s="20">
        <v>45416</v>
      </c>
      <c r="B276" s="19" t="s">
        <v>119</v>
      </c>
      <c r="C276" s="19" t="s">
        <v>7</v>
      </c>
      <c r="D276" s="19" t="s">
        <v>138</v>
      </c>
      <c r="E276" s="19">
        <v>0</v>
      </c>
      <c r="F276" s="19">
        <v>-1</v>
      </c>
    </row>
    <row r="277" spans="1:6" x14ac:dyDescent="0.25">
      <c r="A277" s="20">
        <v>45416</v>
      </c>
      <c r="B277" s="19" t="s">
        <v>119</v>
      </c>
      <c r="C277" s="19" t="s">
        <v>8</v>
      </c>
      <c r="D277" s="19" t="s">
        <v>138</v>
      </c>
      <c r="E277" s="19">
        <v>0</v>
      </c>
      <c r="F277" s="19">
        <v>-1</v>
      </c>
    </row>
    <row r="278" spans="1:6" x14ac:dyDescent="0.25">
      <c r="A278" s="20">
        <v>45416</v>
      </c>
      <c r="B278" s="19" t="s">
        <v>117</v>
      </c>
      <c r="C278" s="19" t="s">
        <v>6</v>
      </c>
      <c r="D278" s="19" t="s">
        <v>138</v>
      </c>
      <c r="E278" s="19">
        <v>0</v>
      </c>
      <c r="F278" s="19">
        <v>-1</v>
      </c>
    </row>
    <row r="279" spans="1:6" x14ac:dyDescent="0.25">
      <c r="A279" s="20">
        <v>45416</v>
      </c>
      <c r="B279" s="19" t="s">
        <v>117</v>
      </c>
      <c r="C279" s="19" t="s">
        <v>7</v>
      </c>
      <c r="D279" s="19" t="s">
        <v>138</v>
      </c>
      <c r="E279" s="19">
        <v>0</v>
      </c>
      <c r="F279" s="19">
        <v>-1</v>
      </c>
    </row>
    <row r="280" spans="1:6" x14ac:dyDescent="0.25">
      <c r="A280" s="20">
        <v>45416</v>
      </c>
      <c r="B280" s="19" t="s">
        <v>117</v>
      </c>
      <c r="C280" s="19" t="s">
        <v>8</v>
      </c>
      <c r="D280" s="19" t="s">
        <v>138</v>
      </c>
      <c r="E280" s="19">
        <v>0</v>
      </c>
      <c r="F280" s="19">
        <v>-1</v>
      </c>
    </row>
    <row r="281" spans="1:6" x14ac:dyDescent="0.25">
      <c r="A281" s="20">
        <v>45416</v>
      </c>
      <c r="B281" s="19" t="s">
        <v>39</v>
      </c>
      <c r="C281" s="19" t="s">
        <v>6</v>
      </c>
      <c r="D281" s="19" t="s">
        <v>138</v>
      </c>
      <c r="E281" s="19">
        <v>0</v>
      </c>
      <c r="F281" s="19">
        <v>-1</v>
      </c>
    </row>
    <row r="282" spans="1:6" x14ac:dyDescent="0.25">
      <c r="A282" s="20">
        <v>45416</v>
      </c>
      <c r="B282" s="19" t="s">
        <v>39</v>
      </c>
      <c r="C282" s="19" t="s">
        <v>7</v>
      </c>
      <c r="D282" s="19" t="s">
        <v>138</v>
      </c>
      <c r="E282" s="19">
        <v>0</v>
      </c>
      <c r="F282" s="19">
        <v>-1</v>
      </c>
    </row>
    <row r="283" spans="1:6" x14ac:dyDescent="0.25">
      <c r="A283" s="20">
        <v>45416</v>
      </c>
      <c r="B283" s="19" t="s">
        <v>39</v>
      </c>
      <c r="C283" s="19" t="s">
        <v>8</v>
      </c>
      <c r="D283" s="19" t="s">
        <v>138</v>
      </c>
      <c r="E283" s="19">
        <v>0</v>
      </c>
      <c r="F283" s="19">
        <v>-1</v>
      </c>
    </row>
    <row r="284" spans="1:6" x14ac:dyDescent="0.25">
      <c r="A284" s="20">
        <v>45416</v>
      </c>
      <c r="B284" s="19" t="s">
        <v>113</v>
      </c>
      <c r="C284" s="19" t="s">
        <v>6</v>
      </c>
      <c r="D284" s="19" t="s">
        <v>138</v>
      </c>
      <c r="E284" s="19">
        <v>0</v>
      </c>
      <c r="F284" s="19">
        <v>-1</v>
      </c>
    </row>
    <row r="285" spans="1:6" x14ac:dyDescent="0.25">
      <c r="A285" s="20">
        <v>45416</v>
      </c>
      <c r="B285" s="19" t="s">
        <v>113</v>
      </c>
      <c r="C285" s="19" t="s">
        <v>7</v>
      </c>
      <c r="D285" s="19" t="s">
        <v>138</v>
      </c>
      <c r="E285" s="19">
        <v>0</v>
      </c>
      <c r="F285" s="19">
        <v>-1</v>
      </c>
    </row>
    <row r="286" spans="1:6" x14ac:dyDescent="0.25">
      <c r="A286" s="20">
        <v>45416</v>
      </c>
      <c r="B286" s="19" t="s">
        <v>113</v>
      </c>
      <c r="C286" s="19" t="s">
        <v>8</v>
      </c>
      <c r="D286" s="19" t="s">
        <v>138</v>
      </c>
      <c r="E286" s="19">
        <v>0</v>
      </c>
      <c r="F286" s="19">
        <v>-1</v>
      </c>
    </row>
    <row r="287" spans="1:6" x14ac:dyDescent="0.25">
      <c r="A287" s="20">
        <v>45416</v>
      </c>
      <c r="B287" s="19" t="s">
        <v>111</v>
      </c>
      <c r="C287" s="19" t="s">
        <v>6</v>
      </c>
      <c r="D287" s="19" t="s">
        <v>138</v>
      </c>
      <c r="E287" s="19">
        <v>0</v>
      </c>
      <c r="F287" s="19">
        <v>-1</v>
      </c>
    </row>
    <row r="288" spans="1:6" x14ac:dyDescent="0.25">
      <c r="A288" s="20">
        <v>45416</v>
      </c>
      <c r="B288" s="19" t="s">
        <v>111</v>
      </c>
      <c r="C288" s="19" t="s">
        <v>7</v>
      </c>
      <c r="D288" s="19" t="s">
        <v>138</v>
      </c>
      <c r="E288" s="19">
        <v>0</v>
      </c>
      <c r="F288" s="19">
        <v>-1</v>
      </c>
    </row>
    <row r="289" spans="1:6" x14ac:dyDescent="0.25">
      <c r="A289" s="20">
        <v>45416</v>
      </c>
      <c r="B289" s="19" t="s">
        <v>111</v>
      </c>
      <c r="C289" s="19" t="s">
        <v>8</v>
      </c>
      <c r="D289" s="19" t="s">
        <v>138</v>
      </c>
      <c r="E289" s="19">
        <v>0</v>
      </c>
      <c r="F289" s="19">
        <v>-1</v>
      </c>
    </row>
    <row r="290" spans="1:6" x14ac:dyDescent="0.25">
      <c r="A290" s="20">
        <v>45416</v>
      </c>
      <c r="B290" s="19" t="s">
        <v>109</v>
      </c>
      <c r="C290" s="19" t="s">
        <v>6</v>
      </c>
      <c r="D290" s="19" t="s">
        <v>138</v>
      </c>
      <c r="E290" s="19">
        <v>0</v>
      </c>
      <c r="F290" s="19">
        <v>-1</v>
      </c>
    </row>
    <row r="291" spans="1:6" x14ac:dyDescent="0.25">
      <c r="A291" s="20">
        <v>45416</v>
      </c>
      <c r="B291" s="19" t="s">
        <v>109</v>
      </c>
      <c r="C291" s="19" t="s">
        <v>7</v>
      </c>
      <c r="D291" s="19" t="s">
        <v>138</v>
      </c>
      <c r="E291" s="19">
        <v>0</v>
      </c>
      <c r="F291" s="19">
        <v>-1</v>
      </c>
    </row>
    <row r="292" spans="1:6" x14ac:dyDescent="0.25">
      <c r="A292" s="20">
        <v>45416</v>
      </c>
      <c r="B292" s="19" t="s">
        <v>109</v>
      </c>
      <c r="C292" s="19" t="s">
        <v>8</v>
      </c>
      <c r="D292" s="19" t="s">
        <v>138</v>
      </c>
      <c r="E292" s="19">
        <v>0</v>
      </c>
      <c r="F292" s="19">
        <v>-1</v>
      </c>
    </row>
    <row r="293" spans="1:6" x14ac:dyDescent="0.25">
      <c r="A293" s="20">
        <v>45416</v>
      </c>
      <c r="B293" s="19" t="s">
        <v>107</v>
      </c>
      <c r="C293" s="19" t="s">
        <v>6</v>
      </c>
      <c r="D293" s="19" t="s">
        <v>139</v>
      </c>
      <c r="E293" s="19">
        <v>2005</v>
      </c>
      <c r="F293" s="19">
        <v>-1</v>
      </c>
    </row>
    <row r="294" spans="1:6" x14ac:dyDescent="0.25">
      <c r="A294" s="20">
        <v>45416</v>
      </c>
      <c r="B294" s="19" t="s">
        <v>107</v>
      </c>
      <c r="C294" s="19" t="s">
        <v>7</v>
      </c>
      <c r="D294" s="19" t="s">
        <v>139</v>
      </c>
      <c r="E294" s="19">
        <v>2016</v>
      </c>
      <c r="F294" s="19">
        <v>-1</v>
      </c>
    </row>
    <row r="295" spans="1:6" x14ac:dyDescent="0.25">
      <c r="A295" s="20">
        <v>45416</v>
      </c>
      <c r="B295" s="19" t="s">
        <v>107</v>
      </c>
      <c r="C295" s="19" t="s">
        <v>8</v>
      </c>
      <c r="D295" s="19" t="s">
        <v>139</v>
      </c>
      <c r="E295" s="19">
        <v>2170</v>
      </c>
      <c r="F295" s="19">
        <v>-1</v>
      </c>
    </row>
    <row r="296" spans="1:6" x14ac:dyDescent="0.25">
      <c r="A296" s="20">
        <v>45416</v>
      </c>
      <c r="B296" s="19" t="s">
        <v>41</v>
      </c>
      <c r="C296" s="19" t="s">
        <v>6</v>
      </c>
      <c r="D296" s="19" t="s">
        <v>138</v>
      </c>
      <c r="E296" s="19">
        <v>0</v>
      </c>
      <c r="F296" s="19">
        <v>-1</v>
      </c>
    </row>
    <row r="297" spans="1:6" x14ac:dyDescent="0.25">
      <c r="A297" s="20">
        <v>45416</v>
      </c>
      <c r="B297" s="19" t="s">
        <v>41</v>
      </c>
      <c r="C297" s="19" t="s">
        <v>7</v>
      </c>
      <c r="D297" s="19" t="s">
        <v>138</v>
      </c>
      <c r="E297" s="19">
        <v>0</v>
      </c>
      <c r="F297" s="19">
        <v>-1</v>
      </c>
    </row>
    <row r="298" spans="1:6" x14ac:dyDescent="0.25">
      <c r="A298" s="20">
        <v>45416</v>
      </c>
      <c r="B298" s="19" t="s">
        <v>41</v>
      </c>
      <c r="C298" s="19" t="s">
        <v>8</v>
      </c>
      <c r="D298" s="19" t="s">
        <v>138</v>
      </c>
      <c r="E298" s="19">
        <v>0</v>
      </c>
      <c r="F298" s="19">
        <v>-1</v>
      </c>
    </row>
    <row r="299" spans="1:6" x14ac:dyDescent="0.25">
      <c r="A299" s="20">
        <v>45416</v>
      </c>
      <c r="B299" s="19" t="s">
        <v>43</v>
      </c>
      <c r="C299" s="19" t="s">
        <v>6</v>
      </c>
      <c r="D299" s="19" t="s">
        <v>138</v>
      </c>
      <c r="E299" s="19">
        <v>0</v>
      </c>
      <c r="F299" s="19">
        <v>-1</v>
      </c>
    </row>
    <row r="300" spans="1:6" x14ac:dyDescent="0.25">
      <c r="A300" s="20">
        <v>45416</v>
      </c>
      <c r="B300" s="19" t="s">
        <v>43</v>
      </c>
      <c r="C300" s="19" t="s">
        <v>7</v>
      </c>
      <c r="D300" s="19" t="s">
        <v>138</v>
      </c>
      <c r="E300" s="19">
        <v>0</v>
      </c>
      <c r="F300" s="19">
        <v>-1</v>
      </c>
    </row>
    <row r="301" spans="1:6" x14ac:dyDescent="0.25">
      <c r="A301" s="20">
        <v>45416</v>
      </c>
      <c r="B301" s="19" t="s">
        <v>43</v>
      </c>
      <c r="C301" s="19" t="s">
        <v>8</v>
      </c>
      <c r="D301" s="19" t="s">
        <v>138</v>
      </c>
      <c r="E301" s="19">
        <v>0</v>
      </c>
      <c r="F301" s="19">
        <v>-1</v>
      </c>
    </row>
    <row r="302" spans="1:6" x14ac:dyDescent="0.25">
      <c r="A302" s="20">
        <v>45416</v>
      </c>
      <c r="B302" s="19" t="s">
        <v>5</v>
      </c>
      <c r="C302" s="19" t="s">
        <v>6</v>
      </c>
      <c r="D302" s="19" t="s">
        <v>138</v>
      </c>
      <c r="E302" s="19">
        <v>0</v>
      </c>
      <c r="F302" s="19">
        <v>-1</v>
      </c>
    </row>
    <row r="303" spans="1:6" x14ac:dyDescent="0.25">
      <c r="A303" s="20">
        <v>45416</v>
      </c>
      <c r="B303" s="19" t="s">
        <v>5</v>
      </c>
      <c r="C303" s="19" t="s">
        <v>7</v>
      </c>
      <c r="D303" s="19" t="s">
        <v>138</v>
      </c>
      <c r="E303" s="19">
        <v>0</v>
      </c>
      <c r="F303" s="19">
        <v>-1</v>
      </c>
    </row>
    <row r="304" spans="1:6" x14ac:dyDescent="0.25">
      <c r="A304" s="20">
        <v>45416</v>
      </c>
      <c r="B304" s="19" t="s">
        <v>5</v>
      </c>
      <c r="C304" s="19" t="s">
        <v>8</v>
      </c>
      <c r="D304" s="19" t="s">
        <v>138</v>
      </c>
      <c r="E304" s="19">
        <v>0</v>
      </c>
      <c r="F304" s="19">
        <v>-1</v>
      </c>
    </row>
    <row r="305" spans="1:6" x14ac:dyDescent="0.25">
      <c r="A305" s="20">
        <v>45416</v>
      </c>
      <c r="B305" s="19" t="s">
        <v>9</v>
      </c>
      <c r="C305" s="19" t="s">
        <v>6</v>
      </c>
      <c r="D305" s="19" t="s">
        <v>138</v>
      </c>
      <c r="E305" s="19">
        <v>0</v>
      </c>
      <c r="F305" s="19">
        <v>-1</v>
      </c>
    </row>
    <row r="306" spans="1:6" x14ac:dyDescent="0.25">
      <c r="A306" s="20">
        <v>45416</v>
      </c>
      <c r="B306" s="19" t="s">
        <v>9</v>
      </c>
      <c r="C306" s="19" t="s">
        <v>7</v>
      </c>
      <c r="D306" s="19" t="s">
        <v>138</v>
      </c>
      <c r="E306" s="19">
        <v>0</v>
      </c>
      <c r="F306" s="19">
        <v>-1</v>
      </c>
    </row>
    <row r="307" spans="1:6" x14ac:dyDescent="0.25">
      <c r="A307" s="20">
        <v>45416</v>
      </c>
      <c r="B307" s="19" t="s">
        <v>9</v>
      </c>
      <c r="C307" s="19" t="s">
        <v>8</v>
      </c>
      <c r="D307" s="19" t="s">
        <v>138</v>
      </c>
      <c r="E307" s="19">
        <v>0</v>
      </c>
      <c r="F307" s="19">
        <v>-1</v>
      </c>
    </row>
    <row r="308" spans="1:6" x14ac:dyDescent="0.25">
      <c r="A308" s="20">
        <v>45416</v>
      </c>
      <c r="B308" s="19" t="s">
        <v>10</v>
      </c>
      <c r="C308" s="19" t="s">
        <v>6</v>
      </c>
      <c r="D308" s="19" t="s">
        <v>138</v>
      </c>
      <c r="E308" s="19">
        <v>0</v>
      </c>
      <c r="F308" s="19">
        <v>-1</v>
      </c>
    </row>
    <row r="309" spans="1:6" x14ac:dyDescent="0.25">
      <c r="A309" s="20">
        <v>45416</v>
      </c>
      <c r="B309" s="19" t="s">
        <v>10</v>
      </c>
      <c r="C309" s="19" t="s">
        <v>7</v>
      </c>
      <c r="D309" s="19" t="s">
        <v>138</v>
      </c>
      <c r="E309" s="19">
        <v>0</v>
      </c>
      <c r="F309" s="19">
        <v>-1</v>
      </c>
    </row>
    <row r="310" spans="1:6" x14ac:dyDescent="0.25">
      <c r="A310" s="20">
        <v>45416</v>
      </c>
      <c r="B310" s="19" t="s">
        <v>10</v>
      </c>
      <c r="C310" s="19" t="s">
        <v>8</v>
      </c>
      <c r="D310" s="19" t="s">
        <v>138</v>
      </c>
      <c r="E310" s="19">
        <v>0</v>
      </c>
      <c r="F310" s="19">
        <v>-1</v>
      </c>
    </row>
    <row r="311" spans="1:6" x14ac:dyDescent="0.25">
      <c r="A311" s="20">
        <v>45416</v>
      </c>
      <c r="B311" s="19" t="s">
        <v>11</v>
      </c>
      <c r="C311" s="19" t="s">
        <v>6</v>
      </c>
      <c r="D311" s="19" t="s">
        <v>139</v>
      </c>
      <c r="E311" s="19">
        <v>2471</v>
      </c>
      <c r="F311" s="19">
        <v>-1</v>
      </c>
    </row>
    <row r="312" spans="1:6" x14ac:dyDescent="0.25">
      <c r="A312" s="20">
        <v>45416</v>
      </c>
      <c r="B312" s="19" t="s">
        <v>11</v>
      </c>
      <c r="C312" s="19" t="s">
        <v>7</v>
      </c>
      <c r="D312" s="19" t="s">
        <v>139</v>
      </c>
      <c r="E312" s="19">
        <v>2547</v>
      </c>
      <c r="F312" s="19">
        <v>-1</v>
      </c>
    </row>
    <row r="313" spans="1:6" x14ac:dyDescent="0.25">
      <c r="A313" s="20">
        <v>45416</v>
      </c>
      <c r="B313" s="19" t="s">
        <v>11</v>
      </c>
      <c r="C313" s="19" t="s">
        <v>8</v>
      </c>
      <c r="D313" s="19" t="s">
        <v>139</v>
      </c>
      <c r="E313" s="19">
        <v>2503</v>
      </c>
      <c r="F313" s="19">
        <v>-1</v>
      </c>
    </row>
    <row r="314" spans="1:6" x14ac:dyDescent="0.25">
      <c r="A314" s="20">
        <v>45416</v>
      </c>
      <c r="B314" s="19" t="s">
        <v>12</v>
      </c>
      <c r="C314" s="19" t="s">
        <v>6</v>
      </c>
      <c r="D314" s="19" t="s">
        <v>138</v>
      </c>
      <c r="E314" s="19">
        <v>0</v>
      </c>
      <c r="F314" s="19">
        <v>-1</v>
      </c>
    </row>
    <row r="315" spans="1:6" x14ac:dyDescent="0.25">
      <c r="A315" s="20">
        <v>45416</v>
      </c>
      <c r="B315" s="19" t="s">
        <v>12</v>
      </c>
      <c r="C315" s="19" t="s">
        <v>7</v>
      </c>
      <c r="D315" s="19" t="s">
        <v>138</v>
      </c>
      <c r="E315" s="19">
        <v>0</v>
      </c>
      <c r="F315" s="19">
        <v>-1</v>
      </c>
    </row>
    <row r="316" spans="1:6" x14ac:dyDescent="0.25">
      <c r="A316" s="20">
        <v>45416</v>
      </c>
      <c r="B316" s="19" t="s">
        <v>12</v>
      </c>
      <c r="C316" s="19" t="s">
        <v>8</v>
      </c>
      <c r="D316" s="19" t="s">
        <v>138</v>
      </c>
      <c r="E316" s="19">
        <v>0</v>
      </c>
      <c r="F316" s="19">
        <v>-1</v>
      </c>
    </row>
    <row r="317" spans="1:6" x14ac:dyDescent="0.25">
      <c r="A317" s="20">
        <v>45416</v>
      </c>
      <c r="B317" s="19" t="s">
        <v>105</v>
      </c>
      <c r="C317" s="19" t="s">
        <v>6</v>
      </c>
      <c r="D317" s="19" t="s">
        <v>139</v>
      </c>
      <c r="E317" s="19">
        <v>2329</v>
      </c>
      <c r="F317" s="19">
        <v>-1</v>
      </c>
    </row>
    <row r="318" spans="1:6" x14ac:dyDescent="0.25">
      <c r="A318" s="20">
        <v>45416</v>
      </c>
      <c r="B318" s="19" t="s">
        <v>105</v>
      </c>
      <c r="C318" s="19" t="s">
        <v>7</v>
      </c>
      <c r="D318" s="19" t="s">
        <v>139</v>
      </c>
      <c r="E318" s="19">
        <v>2404</v>
      </c>
      <c r="F318" s="19">
        <v>-1</v>
      </c>
    </row>
    <row r="319" spans="1:6" x14ac:dyDescent="0.25">
      <c r="A319" s="20">
        <v>45416</v>
      </c>
      <c r="B319" s="19" t="s">
        <v>105</v>
      </c>
      <c r="C319" s="19" t="s">
        <v>8</v>
      </c>
      <c r="D319" s="19" t="s">
        <v>139</v>
      </c>
      <c r="E319" s="19">
        <v>2342</v>
      </c>
      <c r="F319" s="19">
        <v>-1</v>
      </c>
    </row>
    <row r="320" spans="1:6" x14ac:dyDescent="0.25">
      <c r="A320" s="20">
        <v>45416</v>
      </c>
      <c r="B320" s="19" t="s">
        <v>104</v>
      </c>
      <c r="C320" s="19" t="s">
        <v>6</v>
      </c>
      <c r="D320" s="19" t="s">
        <v>138</v>
      </c>
      <c r="E320" s="19">
        <v>0</v>
      </c>
      <c r="F320" s="19">
        <v>-1</v>
      </c>
    </row>
    <row r="321" spans="1:6" x14ac:dyDescent="0.25">
      <c r="A321" s="20">
        <v>45416</v>
      </c>
      <c r="B321" s="19" t="s">
        <v>104</v>
      </c>
      <c r="C321" s="19" t="s">
        <v>7</v>
      </c>
      <c r="D321" s="19" t="s">
        <v>138</v>
      </c>
      <c r="E321" s="19">
        <v>0</v>
      </c>
      <c r="F321" s="19">
        <v>-1</v>
      </c>
    </row>
    <row r="322" spans="1:6" x14ac:dyDescent="0.25">
      <c r="A322" s="20">
        <v>45416</v>
      </c>
      <c r="B322" s="19" t="s">
        <v>104</v>
      </c>
      <c r="C322" s="19" t="s">
        <v>8</v>
      </c>
      <c r="D322" s="19" t="s">
        <v>138</v>
      </c>
      <c r="E322" s="19">
        <v>0</v>
      </c>
      <c r="F322" s="19">
        <v>-1</v>
      </c>
    </row>
    <row r="323" spans="1:6" x14ac:dyDescent="0.25">
      <c r="A323" s="20">
        <v>45416</v>
      </c>
      <c r="B323" s="19" t="s">
        <v>13</v>
      </c>
      <c r="C323" s="19" t="s">
        <v>6</v>
      </c>
      <c r="D323" s="19" t="s">
        <v>139</v>
      </c>
      <c r="E323" s="19">
        <v>2203</v>
      </c>
      <c r="F323" s="19">
        <v>-1</v>
      </c>
    </row>
    <row r="324" spans="1:6" x14ac:dyDescent="0.25">
      <c r="A324" s="20">
        <v>45416</v>
      </c>
      <c r="B324" s="19" t="s">
        <v>13</v>
      </c>
      <c r="C324" s="19" t="s">
        <v>7</v>
      </c>
      <c r="D324" s="19" t="s">
        <v>139</v>
      </c>
      <c r="E324" s="19">
        <v>2204</v>
      </c>
      <c r="F324" s="19">
        <v>-1</v>
      </c>
    </row>
    <row r="325" spans="1:6" x14ac:dyDescent="0.25">
      <c r="A325" s="20">
        <v>45416</v>
      </c>
      <c r="B325" s="19" t="s">
        <v>13</v>
      </c>
      <c r="C325" s="19" t="s">
        <v>8</v>
      </c>
      <c r="D325" s="19" t="s">
        <v>139</v>
      </c>
      <c r="E325" s="19">
        <v>2211</v>
      </c>
      <c r="F325" s="19">
        <v>-1</v>
      </c>
    </row>
    <row r="326" spans="1:6" x14ac:dyDescent="0.25">
      <c r="A326" s="20">
        <v>45416</v>
      </c>
      <c r="B326" s="19" t="s">
        <v>103</v>
      </c>
      <c r="C326" s="19" t="s">
        <v>6</v>
      </c>
      <c r="D326" s="19" t="s">
        <v>138</v>
      </c>
      <c r="E326" s="19">
        <v>0</v>
      </c>
      <c r="F326" s="19">
        <v>-1</v>
      </c>
    </row>
    <row r="327" spans="1:6" x14ac:dyDescent="0.25">
      <c r="A327" s="20">
        <v>45416</v>
      </c>
      <c r="B327" s="19" t="s">
        <v>103</v>
      </c>
      <c r="C327" s="19" t="s">
        <v>7</v>
      </c>
      <c r="D327" s="19" t="s">
        <v>138</v>
      </c>
      <c r="E327" s="19">
        <v>0</v>
      </c>
      <c r="F327" s="19">
        <v>-1</v>
      </c>
    </row>
    <row r="328" spans="1:6" x14ac:dyDescent="0.25">
      <c r="A328" s="20">
        <v>45416</v>
      </c>
      <c r="B328" s="19" t="s">
        <v>103</v>
      </c>
      <c r="C328" s="19" t="s">
        <v>8</v>
      </c>
      <c r="D328" s="19" t="s">
        <v>138</v>
      </c>
      <c r="E328" s="19">
        <v>0</v>
      </c>
      <c r="F328" s="19">
        <v>-1</v>
      </c>
    </row>
    <row r="329" spans="1:6" x14ac:dyDescent="0.25">
      <c r="A329" s="20">
        <v>45416</v>
      </c>
      <c r="B329" s="19" t="s">
        <v>101</v>
      </c>
      <c r="C329" s="19" t="s">
        <v>6</v>
      </c>
      <c r="D329" s="19" t="s">
        <v>138</v>
      </c>
      <c r="E329" s="19">
        <v>0</v>
      </c>
      <c r="F329" s="19">
        <v>-1</v>
      </c>
    </row>
    <row r="330" spans="1:6" x14ac:dyDescent="0.25">
      <c r="A330" s="20">
        <v>45416</v>
      </c>
      <c r="B330" s="19" t="s">
        <v>101</v>
      </c>
      <c r="C330" s="19" t="s">
        <v>7</v>
      </c>
      <c r="D330" s="19" t="s">
        <v>138</v>
      </c>
      <c r="E330" s="19">
        <v>0</v>
      </c>
      <c r="F330" s="19">
        <v>-1</v>
      </c>
    </row>
    <row r="331" spans="1:6" x14ac:dyDescent="0.25">
      <c r="A331" s="20">
        <v>45416</v>
      </c>
      <c r="B331" s="19" t="s">
        <v>101</v>
      </c>
      <c r="C331" s="19" t="s">
        <v>8</v>
      </c>
      <c r="D331" s="19" t="s">
        <v>138</v>
      </c>
      <c r="E331" s="19">
        <v>0</v>
      </c>
      <c r="F331" s="19">
        <v>-1</v>
      </c>
    </row>
    <row r="332" spans="1:6" x14ac:dyDescent="0.25">
      <c r="A332" s="20">
        <v>45416</v>
      </c>
      <c r="B332" s="19" t="s">
        <v>99</v>
      </c>
      <c r="C332" s="19" t="s">
        <v>6</v>
      </c>
      <c r="D332" s="19" t="s">
        <v>138</v>
      </c>
      <c r="E332" s="19">
        <v>0</v>
      </c>
      <c r="F332" s="19">
        <v>-1</v>
      </c>
    </row>
    <row r="333" spans="1:6" x14ac:dyDescent="0.25">
      <c r="A333" s="20">
        <v>45416</v>
      </c>
      <c r="B333" s="19" t="s">
        <v>99</v>
      </c>
      <c r="C333" s="19" t="s">
        <v>7</v>
      </c>
      <c r="D333" s="19" t="s">
        <v>138</v>
      </c>
      <c r="E333" s="19">
        <v>0</v>
      </c>
      <c r="F333" s="19">
        <v>-1</v>
      </c>
    </row>
    <row r="334" spans="1:6" x14ac:dyDescent="0.25">
      <c r="A334" s="20">
        <v>45416</v>
      </c>
      <c r="B334" s="19" t="s">
        <v>99</v>
      </c>
      <c r="C334" s="19" t="s">
        <v>8</v>
      </c>
      <c r="D334" s="19" t="s">
        <v>138</v>
      </c>
      <c r="E334" s="19">
        <v>0</v>
      </c>
      <c r="F334" s="19">
        <v>-1</v>
      </c>
    </row>
    <row r="335" spans="1:6" x14ac:dyDescent="0.25">
      <c r="A335" s="20">
        <v>45416</v>
      </c>
      <c r="B335" s="19" t="s">
        <v>97</v>
      </c>
      <c r="C335" s="19" t="s">
        <v>6</v>
      </c>
      <c r="D335" s="19" t="s">
        <v>138</v>
      </c>
      <c r="E335" s="19">
        <v>0</v>
      </c>
      <c r="F335" s="19">
        <v>-1</v>
      </c>
    </row>
    <row r="336" spans="1:6" x14ac:dyDescent="0.25">
      <c r="A336" s="20">
        <v>45416</v>
      </c>
      <c r="B336" s="19" t="s">
        <v>97</v>
      </c>
      <c r="C336" s="19" t="s">
        <v>7</v>
      </c>
      <c r="D336" s="19" t="s">
        <v>138</v>
      </c>
      <c r="E336" s="19">
        <v>0</v>
      </c>
      <c r="F336" s="19">
        <v>-1</v>
      </c>
    </row>
    <row r="337" spans="1:6" x14ac:dyDescent="0.25">
      <c r="A337" s="20">
        <v>45416</v>
      </c>
      <c r="B337" s="19" t="s">
        <v>97</v>
      </c>
      <c r="C337" s="19" t="s">
        <v>8</v>
      </c>
      <c r="D337" s="19" t="s">
        <v>138</v>
      </c>
      <c r="E337" s="19">
        <v>0</v>
      </c>
      <c r="F337" s="19">
        <v>-1</v>
      </c>
    </row>
    <row r="338" spans="1:6" x14ac:dyDescent="0.25">
      <c r="A338" s="20">
        <v>45416</v>
      </c>
      <c r="B338" s="19" t="s">
        <v>95</v>
      </c>
      <c r="C338" s="19" t="s">
        <v>6</v>
      </c>
      <c r="D338" s="19" t="s">
        <v>138</v>
      </c>
      <c r="E338" s="19">
        <v>0</v>
      </c>
      <c r="F338" s="19">
        <v>-1</v>
      </c>
    </row>
    <row r="339" spans="1:6" x14ac:dyDescent="0.25">
      <c r="A339" s="20">
        <v>45416</v>
      </c>
      <c r="B339" s="19" t="s">
        <v>95</v>
      </c>
      <c r="C339" s="19" t="s">
        <v>7</v>
      </c>
      <c r="D339" s="19" t="s">
        <v>138</v>
      </c>
      <c r="E339" s="19">
        <v>0</v>
      </c>
      <c r="F339" s="19">
        <v>-1</v>
      </c>
    </row>
    <row r="340" spans="1:6" x14ac:dyDescent="0.25">
      <c r="A340" s="20">
        <v>45416</v>
      </c>
      <c r="B340" s="19" t="s">
        <v>95</v>
      </c>
      <c r="C340" s="19" t="s">
        <v>8</v>
      </c>
      <c r="D340" s="19" t="s">
        <v>138</v>
      </c>
      <c r="E340" s="19">
        <v>0</v>
      </c>
      <c r="F340" s="19">
        <v>-1</v>
      </c>
    </row>
    <row r="341" spans="1:6" x14ac:dyDescent="0.25">
      <c r="A341" s="20">
        <v>45416</v>
      </c>
      <c r="B341" s="19" t="s">
        <v>14</v>
      </c>
      <c r="C341" s="19" t="s">
        <v>6</v>
      </c>
      <c r="D341" s="19" t="s">
        <v>138</v>
      </c>
      <c r="E341" s="19">
        <v>0</v>
      </c>
      <c r="F341" s="19">
        <v>-1</v>
      </c>
    </row>
    <row r="342" spans="1:6" x14ac:dyDescent="0.25">
      <c r="A342" s="20">
        <v>45416</v>
      </c>
      <c r="B342" s="19" t="s">
        <v>14</v>
      </c>
      <c r="C342" s="19" t="s">
        <v>7</v>
      </c>
      <c r="D342" s="19" t="s">
        <v>138</v>
      </c>
      <c r="E342" s="19">
        <v>0</v>
      </c>
      <c r="F342" s="19">
        <v>-1</v>
      </c>
    </row>
    <row r="343" spans="1:6" x14ac:dyDescent="0.25">
      <c r="A343" s="20">
        <v>45416</v>
      </c>
      <c r="B343" s="19" t="s">
        <v>14</v>
      </c>
      <c r="C343" s="19" t="s">
        <v>8</v>
      </c>
      <c r="D343" s="19" t="s">
        <v>138</v>
      </c>
      <c r="E343" s="19">
        <v>0</v>
      </c>
      <c r="F343" s="19">
        <v>-1</v>
      </c>
    </row>
    <row r="344" spans="1:6" x14ac:dyDescent="0.25">
      <c r="A344" s="20">
        <v>45416</v>
      </c>
      <c r="B344" s="19" t="s">
        <v>91</v>
      </c>
      <c r="C344" s="19" t="s">
        <v>6</v>
      </c>
      <c r="D344" s="19" t="s">
        <v>138</v>
      </c>
      <c r="E344" s="19">
        <v>0</v>
      </c>
      <c r="F344" s="19">
        <v>-1</v>
      </c>
    </row>
    <row r="345" spans="1:6" x14ac:dyDescent="0.25">
      <c r="A345" s="20">
        <v>45416</v>
      </c>
      <c r="B345" s="19" t="s">
        <v>91</v>
      </c>
      <c r="C345" s="19" t="s">
        <v>7</v>
      </c>
      <c r="D345" s="19" t="s">
        <v>138</v>
      </c>
      <c r="E345" s="19">
        <v>0</v>
      </c>
      <c r="F345" s="19">
        <v>-1</v>
      </c>
    </row>
    <row r="346" spans="1:6" x14ac:dyDescent="0.25">
      <c r="A346" s="20">
        <v>45416</v>
      </c>
      <c r="B346" s="19" t="s">
        <v>91</v>
      </c>
      <c r="C346" s="19" t="s">
        <v>8</v>
      </c>
      <c r="D346" s="19" t="s">
        <v>138</v>
      </c>
      <c r="E346" s="19">
        <v>0</v>
      </c>
      <c r="F346" s="19">
        <v>-1</v>
      </c>
    </row>
    <row r="347" spans="1:6" x14ac:dyDescent="0.25">
      <c r="A347" s="20">
        <v>45416</v>
      </c>
      <c r="B347" s="19" t="s">
        <v>15</v>
      </c>
      <c r="C347" s="19" t="s">
        <v>6</v>
      </c>
      <c r="D347" s="19" t="s">
        <v>138</v>
      </c>
      <c r="E347" s="19">
        <v>0</v>
      </c>
      <c r="F347" s="19">
        <v>-1</v>
      </c>
    </row>
    <row r="348" spans="1:6" x14ac:dyDescent="0.25">
      <c r="A348" s="20">
        <v>45416</v>
      </c>
      <c r="B348" s="19" t="s">
        <v>15</v>
      </c>
      <c r="C348" s="19" t="s">
        <v>7</v>
      </c>
      <c r="D348" s="19" t="s">
        <v>138</v>
      </c>
      <c r="E348" s="19">
        <v>0</v>
      </c>
      <c r="F348" s="19">
        <v>-1</v>
      </c>
    </row>
    <row r="349" spans="1:6" x14ac:dyDescent="0.25">
      <c r="A349" s="20">
        <v>45416</v>
      </c>
      <c r="B349" s="19" t="s">
        <v>15</v>
      </c>
      <c r="C349" s="19" t="s">
        <v>8</v>
      </c>
      <c r="D349" s="19" t="s">
        <v>138</v>
      </c>
      <c r="E349" s="19">
        <v>0</v>
      </c>
      <c r="F349" s="19">
        <v>-1</v>
      </c>
    </row>
    <row r="350" spans="1:6" x14ac:dyDescent="0.25">
      <c r="A350" s="20">
        <v>45416</v>
      </c>
      <c r="B350" s="19" t="s">
        <v>89</v>
      </c>
      <c r="C350" s="19" t="s">
        <v>6</v>
      </c>
      <c r="D350" s="19" t="s">
        <v>138</v>
      </c>
      <c r="E350" s="19">
        <v>0</v>
      </c>
      <c r="F350" s="19">
        <v>-1</v>
      </c>
    </row>
    <row r="351" spans="1:6" x14ac:dyDescent="0.25">
      <c r="A351" s="20">
        <v>45416</v>
      </c>
      <c r="B351" s="19" t="s">
        <v>89</v>
      </c>
      <c r="C351" s="19" t="s">
        <v>7</v>
      </c>
      <c r="D351" s="19" t="s">
        <v>138</v>
      </c>
      <c r="E351" s="19">
        <v>0</v>
      </c>
      <c r="F351" s="19">
        <v>-1</v>
      </c>
    </row>
    <row r="352" spans="1:6" x14ac:dyDescent="0.25">
      <c r="A352" s="20">
        <v>45416</v>
      </c>
      <c r="B352" s="19" t="s">
        <v>89</v>
      </c>
      <c r="C352" s="19" t="s">
        <v>8</v>
      </c>
      <c r="D352" s="19" t="s">
        <v>138</v>
      </c>
      <c r="E352" s="19">
        <v>0</v>
      </c>
      <c r="F352" s="19">
        <v>-1</v>
      </c>
    </row>
    <row r="353" spans="1:6" x14ac:dyDescent="0.25">
      <c r="A353" s="20">
        <v>45416</v>
      </c>
      <c r="B353" s="19" t="s">
        <v>16</v>
      </c>
      <c r="C353" s="19" t="s">
        <v>6</v>
      </c>
      <c r="D353" s="19" t="s">
        <v>138</v>
      </c>
      <c r="E353" s="19">
        <v>0</v>
      </c>
      <c r="F353" s="19">
        <v>-1</v>
      </c>
    </row>
    <row r="354" spans="1:6" x14ac:dyDescent="0.25">
      <c r="A354" s="20">
        <v>45416</v>
      </c>
      <c r="B354" s="19" t="s">
        <v>16</v>
      </c>
      <c r="C354" s="19" t="s">
        <v>7</v>
      </c>
      <c r="D354" s="19" t="s">
        <v>138</v>
      </c>
      <c r="E354" s="19">
        <v>0</v>
      </c>
      <c r="F354" s="19">
        <v>-1</v>
      </c>
    </row>
    <row r="355" spans="1:6" x14ac:dyDescent="0.25">
      <c r="A355" s="20">
        <v>45416</v>
      </c>
      <c r="B355" s="19" t="s">
        <v>16</v>
      </c>
      <c r="C355" s="19" t="s">
        <v>8</v>
      </c>
      <c r="D355" s="19" t="s">
        <v>138</v>
      </c>
      <c r="E355" s="19">
        <v>0</v>
      </c>
      <c r="F355" s="19">
        <v>-1</v>
      </c>
    </row>
    <row r="356" spans="1:6" x14ac:dyDescent="0.25">
      <c r="A356" s="20">
        <v>45416</v>
      </c>
      <c r="B356" s="19" t="s">
        <v>88</v>
      </c>
      <c r="C356" s="19" t="s">
        <v>6</v>
      </c>
      <c r="D356" s="19" t="s">
        <v>138</v>
      </c>
      <c r="E356" s="19">
        <v>0</v>
      </c>
      <c r="F356" s="19">
        <v>-1</v>
      </c>
    </row>
    <row r="357" spans="1:6" x14ac:dyDescent="0.25">
      <c r="A357" s="20">
        <v>45416</v>
      </c>
      <c r="B357" s="19" t="s">
        <v>88</v>
      </c>
      <c r="C357" s="19" t="s">
        <v>7</v>
      </c>
      <c r="D357" s="19" t="s">
        <v>138</v>
      </c>
      <c r="E357" s="19">
        <v>0</v>
      </c>
      <c r="F357" s="19">
        <v>-1</v>
      </c>
    </row>
    <row r="358" spans="1:6" x14ac:dyDescent="0.25">
      <c r="A358" s="20">
        <v>45416</v>
      </c>
      <c r="B358" s="19" t="s">
        <v>88</v>
      </c>
      <c r="C358" s="19" t="s">
        <v>8</v>
      </c>
      <c r="D358" s="19" t="s">
        <v>138</v>
      </c>
      <c r="E358" s="19">
        <v>0</v>
      </c>
      <c r="F358" s="19">
        <v>-1</v>
      </c>
    </row>
    <row r="359" spans="1:6" x14ac:dyDescent="0.25">
      <c r="A359" s="20">
        <v>45416</v>
      </c>
      <c r="B359" s="19" t="s">
        <v>17</v>
      </c>
      <c r="C359" s="19" t="s">
        <v>6</v>
      </c>
      <c r="D359" s="19" t="s">
        <v>138</v>
      </c>
      <c r="E359" s="19">
        <v>0</v>
      </c>
      <c r="F359" s="19">
        <v>-1</v>
      </c>
    </row>
    <row r="360" spans="1:6" x14ac:dyDescent="0.25">
      <c r="A360" s="20">
        <v>45416</v>
      </c>
      <c r="B360" s="19" t="s">
        <v>17</v>
      </c>
      <c r="C360" s="19" t="s">
        <v>7</v>
      </c>
      <c r="D360" s="19" t="s">
        <v>138</v>
      </c>
      <c r="E360" s="19">
        <v>0</v>
      </c>
      <c r="F360" s="19">
        <v>-1</v>
      </c>
    </row>
    <row r="361" spans="1:6" x14ac:dyDescent="0.25">
      <c r="A361" s="20">
        <v>45416</v>
      </c>
      <c r="B361" s="19" t="s">
        <v>17</v>
      </c>
      <c r="C361" s="19" t="s">
        <v>8</v>
      </c>
      <c r="D361" s="19" t="s">
        <v>138</v>
      </c>
      <c r="E361" s="19">
        <v>0</v>
      </c>
      <c r="F361" s="19">
        <v>-1</v>
      </c>
    </row>
    <row r="362" spans="1:6" x14ac:dyDescent="0.25">
      <c r="A362" s="20">
        <v>45416</v>
      </c>
      <c r="B362" s="19" t="s">
        <v>19</v>
      </c>
      <c r="C362" s="19" t="s">
        <v>6</v>
      </c>
      <c r="D362" s="19" t="s">
        <v>138</v>
      </c>
      <c r="E362" s="19">
        <v>0</v>
      </c>
      <c r="F362" s="19">
        <v>-1</v>
      </c>
    </row>
    <row r="363" spans="1:6" x14ac:dyDescent="0.25">
      <c r="A363" s="20">
        <v>45416</v>
      </c>
      <c r="B363" s="19" t="s">
        <v>19</v>
      </c>
      <c r="C363" s="19" t="s">
        <v>7</v>
      </c>
      <c r="D363" s="19" t="s">
        <v>138</v>
      </c>
      <c r="E363" s="19">
        <v>0</v>
      </c>
      <c r="F363" s="19">
        <v>-1</v>
      </c>
    </row>
    <row r="364" spans="1:6" x14ac:dyDescent="0.25">
      <c r="A364" s="20">
        <v>45416</v>
      </c>
      <c r="B364" s="19" t="s">
        <v>19</v>
      </c>
      <c r="C364" s="19" t="s">
        <v>8</v>
      </c>
      <c r="D364" s="19" t="s">
        <v>138</v>
      </c>
      <c r="E364" s="19">
        <v>0</v>
      </c>
      <c r="F364" s="19">
        <v>-1</v>
      </c>
    </row>
    <row r="365" spans="1:6" x14ac:dyDescent="0.25">
      <c r="A365" s="20">
        <v>45416</v>
      </c>
      <c r="B365" s="19" t="s">
        <v>18</v>
      </c>
      <c r="C365" s="19" t="s">
        <v>6</v>
      </c>
      <c r="D365" s="19" t="s">
        <v>138</v>
      </c>
      <c r="E365" s="19">
        <v>0</v>
      </c>
      <c r="F365" s="19">
        <v>-1</v>
      </c>
    </row>
    <row r="366" spans="1:6" x14ac:dyDescent="0.25">
      <c r="A366" s="20">
        <v>45416</v>
      </c>
      <c r="B366" s="19" t="s">
        <v>18</v>
      </c>
      <c r="C366" s="19" t="s">
        <v>7</v>
      </c>
      <c r="D366" s="19" t="s">
        <v>138</v>
      </c>
      <c r="E366" s="19">
        <v>0</v>
      </c>
      <c r="F366" s="19">
        <v>-1</v>
      </c>
    </row>
    <row r="367" spans="1:6" x14ac:dyDescent="0.25">
      <c r="A367" s="20">
        <v>45416</v>
      </c>
      <c r="B367" s="19" t="s">
        <v>18</v>
      </c>
      <c r="C367" s="19" t="s">
        <v>8</v>
      </c>
      <c r="D367" s="19" t="s">
        <v>138</v>
      </c>
      <c r="E367" s="19">
        <v>0</v>
      </c>
      <c r="F367" s="19">
        <v>-1</v>
      </c>
    </row>
    <row r="368" spans="1:6" x14ac:dyDescent="0.25">
      <c r="A368" s="20">
        <v>45416</v>
      </c>
      <c r="B368" s="19" t="s">
        <v>87</v>
      </c>
      <c r="C368" s="19" t="s">
        <v>6</v>
      </c>
      <c r="D368" s="19" t="s">
        <v>138</v>
      </c>
      <c r="E368" s="19">
        <v>0</v>
      </c>
      <c r="F368" s="19">
        <v>-1</v>
      </c>
    </row>
    <row r="369" spans="1:6" x14ac:dyDescent="0.25">
      <c r="A369" s="20">
        <v>45416</v>
      </c>
      <c r="B369" s="19" t="s">
        <v>87</v>
      </c>
      <c r="C369" s="19" t="s">
        <v>7</v>
      </c>
      <c r="D369" s="19" t="s">
        <v>138</v>
      </c>
      <c r="E369" s="19">
        <v>0</v>
      </c>
      <c r="F369" s="19">
        <v>-1</v>
      </c>
    </row>
    <row r="370" spans="1:6" x14ac:dyDescent="0.25">
      <c r="A370" s="20">
        <v>45416</v>
      </c>
      <c r="B370" s="19" t="s">
        <v>87</v>
      </c>
      <c r="C370" s="19" t="s">
        <v>8</v>
      </c>
      <c r="D370" s="19" t="s">
        <v>138</v>
      </c>
      <c r="E370" s="19">
        <v>0</v>
      </c>
      <c r="F370" s="19">
        <v>-1</v>
      </c>
    </row>
    <row r="371" spans="1:6" x14ac:dyDescent="0.25">
      <c r="A371" s="20">
        <v>45416</v>
      </c>
      <c r="B371" s="19" t="s">
        <v>42</v>
      </c>
      <c r="C371" s="19" t="s">
        <v>6</v>
      </c>
      <c r="D371" s="19" t="s">
        <v>138</v>
      </c>
      <c r="E371" s="19">
        <v>0</v>
      </c>
      <c r="F371" s="19">
        <v>-1</v>
      </c>
    </row>
    <row r="372" spans="1:6" x14ac:dyDescent="0.25">
      <c r="A372" s="20">
        <v>45416</v>
      </c>
      <c r="B372" s="19" t="s">
        <v>42</v>
      </c>
      <c r="C372" s="19" t="s">
        <v>7</v>
      </c>
      <c r="D372" s="19" t="s">
        <v>138</v>
      </c>
      <c r="E372" s="19">
        <v>0</v>
      </c>
      <c r="F372" s="19">
        <v>-1</v>
      </c>
    </row>
    <row r="373" spans="1:6" x14ac:dyDescent="0.25">
      <c r="A373" s="20">
        <v>45416</v>
      </c>
      <c r="B373" s="19" t="s">
        <v>42</v>
      </c>
      <c r="C373" s="19" t="s">
        <v>8</v>
      </c>
      <c r="D373" s="19" t="s">
        <v>138</v>
      </c>
      <c r="E373" s="19">
        <v>0</v>
      </c>
      <c r="F373" s="19">
        <v>-1</v>
      </c>
    </row>
    <row r="374" spans="1:6" x14ac:dyDescent="0.25">
      <c r="A374" s="20">
        <v>45416</v>
      </c>
      <c r="B374" s="19" t="s">
        <v>86</v>
      </c>
      <c r="C374" s="19" t="s">
        <v>6</v>
      </c>
      <c r="D374" s="19" t="s">
        <v>138</v>
      </c>
      <c r="E374" s="19">
        <v>0</v>
      </c>
      <c r="F374" s="19">
        <v>-1</v>
      </c>
    </row>
    <row r="375" spans="1:6" x14ac:dyDescent="0.25">
      <c r="A375" s="20">
        <v>45416</v>
      </c>
      <c r="B375" s="19" t="s">
        <v>86</v>
      </c>
      <c r="C375" s="19" t="s">
        <v>7</v>
      </c>
      <c r="D375" s="19" t="s">
        <v>138</v>
      </c>
      <c r="E375" s="19">
        <v>0</v>
      </c>
      <c r="F375" s="19">
        <v>-1</v>
      </c>
    </row>
    <row r="376" spans="1:6" x14ac:dyDescent="0.25">
      <c r="A376" s="20">
        <v>45416</v>
      </c>
      <c r="B376" s="19" t="s">
        <v>86</v>
      </c>
      <c r="C376" s="19" t="s">
        <v>8</v>
      </c>
      <c r="D376" s="19" t="s">
        <v>138</v>
      </c>
      <c r="E376" s="19">
        <v>0</v>
      </c>
      <c r="F376" s="19">
        <v>-1</v>
      </c>
    </row>
    <row r="377" spans="1:6" x14ac:dyDescent="0.25">
      <c r="A377" s="20">
        <v>45416</v>
      </c>
      <c r="B377" s="19" t="s">
        <v>38</v>
      </c>
      <c r="C377" s="19" t="s">
        <v>6</v>
      </c>
      <c r="D377" s="19" t="s">
        <v>138</v>
      </c>
      <c r="E377" s="19">
        <v>0</v>
      </c>
      <c r="F377" s="19">
        <v>-1</v>
      </c>
    </row>
    <row r="378" spans="1:6" x14ac:dyDescent="0.25">
      <c r="A378" s="20">
        <v>45416</v>
      </c>
      <c r="B378" s="19" t="s">
        <v>38</v>
      </c>
      <c r="C378" s="19" t="s">
        <v>7</v>
      </c>
      <c r="D378" s="19" t="s">
        <v>138</v>
      </c>
      <c r="E378" s="19">
        <v>0</v>
      </c>
      <c r="F378" s="19">
        <v>-1</v>
      </c>
    </row>
    <row r="379" spans="1:6" x14ac:dyDescent="0.25">
      <c r="A379" s="20">
        <v>45416</v>
      </c>
      <c r="B379" s="19" t="s">
        <v>38</v>
      </c>
      <c r="C379" s="19" t="s">
        <v>8</v>
      </c>
      <c r="D379" s="19" t="s">
        <v>138</v>
      </c>
      <c r="E379" s="19">
        <v>0</v>
      </c>
      <c r="F379" s="19">
        <v>-1</v>
      </c>
    </row>
    <row r="380" spans="1:6" x14ac:dyDescent="0.25">
      <c r="A380" s="20">
        <v>45416</v>
      </c>
      <c r="B380" s="19" t="s">
        <v>83</v>
      </c>
      <c r="C380" s="19" t="s">
        <v>6</v>
      </c>
      <c r="D380" s="19" t="s">
        <v>138</v>
      </c>
      <c r="E380" s="19">
        <v>0</v>
      </c>
      <c r="F380" s="19">
        <v>-1</v>
      </c>
    </row>
    <row r="381" spans="1:6" x14ac:dyDescent="0.25">
      <c r="A381" s="20">
        <v>45416</v>
      </c>
      <c r="B381" s="19" t="s">
        <v>83</v>
      </c>
      <c r="C381" s="19" t="s">
        <v>7</v>
      </c>
      <c r="D381" s="19" t="s">
        <v>138</v>
      </c>
      <c r="E381" s="19">
        <v>0</v>
      </c>
      <c r="F381" s="19">
        <v>-1</v>
      </c>
    </row>
    <row r="382" spans="1:6" x14ac:dyDescent="0.25">
      <c r="A382" s="20">
        <v>45416</v>
      </c>
      <c r="B382" s="19" t="s">
        <v>83</v>
      </c>
      <c r="C382" s="19" t="s">
        <v>8</v>
      </c>
      <c r="D382" s="19" t="s">
        <v>138</v>
      </c>
      <c r="E382" s="19">
        <v>0</v>
      </c>
      <c r="F382" s="19">
        <v>-1</v>
      </c>
    </row>
    <row r="383" spans="1:6" x14ac:dyDescent="0.25">
      <c r="A383" s="20">
        <v>45416</v>
      </c>
      <c r="B383" s="19" t="s">
        <v>20</v>
      </c>
      <c r="C383" s="19" t="s">
        <v>6</v>
      </c>
      <c r="D383" s="19" t="s">
        <v>138</v>
      </c>
      <c r="E383" s="19">
        <v>0</v>
      </c>
      <c r="F383" s="19">
        <v>-1</v>
      </c>
    </row>
    <row r="384" spans="1:6" x14ac:dyDescent="0.25">
      <c r="A384" s="20">
        <v>45416</v>
      </c>
      <c r="B384" s="19" t="s">
        <v>20</v>
      </c>
      <c r="C384" s="19" t="s">
        <v>7</v>
      </c>
      <c r="D384" s="19" t="s">
        <v>138</v>
      </c>
      <c r="E384" s="19">
        <v>0</v>
      </c>
      <c r="F384" s="19">
        <v>-1</v>
      </c>
    </row>
    <row r="385" spans="1:6" x14ac:dyDescent="0.25">
      <c r="A385" s="20">
        <v>45416</v>
      </c>
      <c r="B385" s="19" t="s">
        <v>20</v>
      </c>
      <c r="C385" s="19" t="s">
        <v>8</v>
      </c>
      <c r="D385" s="19" t="s">
        <v>138</v>
      </c>
      <c r="E385" s="19">
        <v>0</v>
      </c>
      <c r="F385" s="19">
        <v>-1</v>
      </c>
    </row>
    <row r="386" spans="1:6" x14ac:dyDescent="0.25">
      <c r="A386" s="20">
        <v>45416</v>
      </c>
      <c r="B386" s="19" t="s">
        <v>21</v>
      </c>
      <c r="C386" s="19" t="s">
        <v>6</v>
      </c>
      <c r="D386" s="19" t="s">
        <v>138</v>
      </c>
      <c r="E386" s="19">
        <v>0</v>
      </c>
      <c r="F386" s="19">
        <v>-1</v>
      </c>
    </row>
    <row r="387" spans="1:6" x14ac:dyDescent="0.25">
      <c r="A387" s="20">
        <v>45416</v>
      </c>
      <c r="B387" s="19" t="s">
        <v>21</v>
      </c>
      <c r="C387" s="19" t="s">
        <v>7</v>
      </c>
      <c r="D387" s="19" t="s">
        <v>138</v>
      </c>
      <c r="E387" s="19">
        <v>0</v>
      </c>
      <c r="F387" s="19">
        <v>-1</v>
      </c>
    </row>
    <row r="388" spans="1:6" x14ac:dyDescent="0.25">
      <c r="A388" s="20">
        <v>45416</v>
      </c>
      <c r="B388" s="19" t="s">
        <v>21</v>
      </c>
      <c r="C388" s="19" t="s">
        <v>8</v>
      </c>
      <c r="D388" s="19" t="s">
        <v>138</v>
      </c>
      <c r="E388" s="19">
        <v>0</v>
      </c>
      <c r="F388" s="19">
        <v>-1</v>
      </c>
    </row>
    <row r="389" spans="1:6" x14ac:dyDescent="0.25">
      <c r="A389" s="20">
        <v>45416</v>
      </c>
      <c r="B389" s="19" t="s">
        <v>22</v>
      </c>
      <c r="C389" s="19" t="s">
        <v>6</v>
      </c>
      <c r="D389" s="19" t="s">
        <v>138</v>
      </c>
      <c r="E389" s="19">
        <v>0</v>
      </c>
      <c r="F389" s="19">
        <v>-1</v>
      </c>
    </row>
    <row r="390" spans="1:6" x14ac:dyDescent="0.25">
      <c r="A390" s="20">
        <v>45416</v>
      </c>
      <c r="B390" s="19" t="s">
        <v>22</v>
      </c>
      <c r="C390" s="19" t="s">
        <v>7</v>
      </c>
      <c r="D390" s="19" t="s">
        <v>138</v>
      </c>
      <c r="E390" s="19">
        <v>0</v>
      </c>
      <c r="F390" s="19">
        <v>-1</v>
      </c>
    </row>
    <row r="391" spans="1:6" x14ac:dyDescent="0.25">
      <c r="A391" s="20">
        <v>45416</v>
      </c>
      <c r="B391" s="19" t="s">
        <v>22</v>
      </c>
      <c r="C391" s="19" t="s">
        <v>8</v>
      </c>
      <c r="D391" s="19" t="s">
        <v>138</v>
      </c>
      <c r="E391" s="19">
        <v>0</v>
      </c>
      <c r="F391" s="19">
        <v>-1</v>
      </c>
    </row>
    <row r="392" spans="1:6" x14ac:dyDescent="0.25">
      <c r="A392" s="20">
        <v>45416</v>
      </c>
      <c r="B392" s="19" t="s">
        <v>77</v>
      </c>
      <c r="C392" s="19" t="s">
        <v>6</v>
      </c>
      <c r="D392" s="19" t="s">
        <v>138</v>
      </c>
      <c r="E392" s="19">
        <v>0</v>
      </c>
      <c r="F392" s="19">
        <v>-1</v>
      </c>
    </row>
    <row r="393" spans="1:6" x14ac:dyDescent="0.25">
      <c r="A393" s="20">
        <v>45416</v>
      </c>
      <c r="B393" s="19" t="s">
        <v>77</v>
      </c>
      <c r="C393" s="19" t="s">
        <v>7</v>
      </c>
      <c r="D393" s="19" t="s">
        <v>138</v>
      </c>
      <c r="E393" s="19">
        <v>0</v>
      </c>
      <c r="F393" s="19">
        <v>-1</v>
      </c>
    </row>
    <row r="394" spans="1:6" x14ac:dyDescent="0.25">
      <c r="A394" s="20">
        <v>45416</v>
      </c>
      <c r="B394" s="19" t="s">
        <v>77</v>
      </c>
      <c r="C394" s="19" t="s">
        <v>8</v>
      </c>
      <c r="D394" s="19" t="s">
        <v>138</v>
      </c>
      <c r="E394" s="19">
        <v>0</v>
      </c>
      <c r="F394" s="19">
        <v>-1</v>
      </c>
    </row>
    <row r="395" spans="1:6" x14ac:dyDescent="0.25">
      <c r="A395" s="20">
        <v>45416</v>
      </c>
      <c r="B395" s="19" t="s">
        <v>23</v>
      </c>
      <c r="C395" s="19" t="s">
        <v>6</v>
      </c>
      <c r="D395" s="19" t="s">
        <v>138</v>
      </c>
      <c r="E395" s="19">
        <v>0</v>
      </c>
      <c r="F395" s="19">
        <v>-1</v>
      </c>
    </row>
    <row r="396" spans="1:6" x14ac:dyDescent="0.25">
      <c r="A396" s="20">
        <v>45416</v>
      </c>
      <c r="B396" s="19" t="s">
        <v>23</v>
      </c>
      <c r="C396" s="19" t="s">
        <v>7</v>
      </c>
      <c r="D396" s="19" t="s">
        <v>138</v>
      </c>
      <c r="E396" s="19">
        <v>0</v>
      </c>
      <c r="F396" s="19">
        <v>-1</v>
      </c>
    </row>
    <row r="397" spans="1:6" x14ac:dyDescent="0.25">
      <c r="A397" s="20">
        <v>45416</v>
      </c>
      <c r="B397" s="19" t="s">
        <v>23</v>
      </c>
      <c r="C397" s="19" t="s">
        <v>8</v>
      </c>
      <c r="D397" s="19" t="s">
        <v>138</v>
      </c>
      <c r="E397" s="19">
        <v>0</v>
      </c>
      <c r="F397" s="19">
        <v>-1</v>
      </c>
    </row>
    <row r="398" spans="1:6" x14ac:dyDescent="0.25">
      <c r="A398" s="20">
        <v>45416</v>
      </c>
      <c r="B398" s="19" t="s">
        <v>24</v>
      </c>
      <c r="C398" s="19" t="s">
        <v>6</v>
      </c>
      <c r="D398" s="19" t="s">
        <v>138</v>
      </c>
      <c r="E398" s="19">
        <v>0</v>
      </c>
      <c r="F398" s="19">
        <v>-1</v>
      </c>
    </row>
    <row r="399" spans="1:6" x14ac:dyDescent="0.25">
      <c r="A399" s="20">
        <v>45416</v>
      </c>
      <c r="B399" s="19" t="s">
        <v>24</v>
      </c>
      <c r="C399" s="19" t="s">
        <v>7</v>
      </c>
      <c r="D399" s="19" t="s">
        <v>138</v>
      </c>
      <c r="E399" s="19">
        <v>0</v>
      </c>
      <c r="F399" s="19">
        <v>-1</v>
      </c>
    </row>
    <row r="400" spans="1:6" x14ac:dyDescent="0.25">
      <c r="A400" s="20">
        <v>45416</v>
      </c>
      <c r="B400" s="19" t="s">
        <v>24</v>
      </c>
      <c r="C400" s="19" t="s">
        <v>8</v>
      </c>
      <c r="D400" s="19" t="s">
        <v>138</v>
      </c>
      <c r="E400" s="19">
        <v>0</v>
      </c>
      <c r="F400" s="19">
        <v>-1</v>
      </c>
    </row>
    <row r="401" spans="1:6" x14ac:dyDescent="0.25">
      <c r="A401" s="20">
        <v>45416</v>
      </c>
      <c r="B401" s="19" t="s">
        <v>75</v>
      </c>
      <c r="C401" s="19" t="s">
        <v>6</v>
      </c>
      <c r="D401" s="19" t="s">
        <v>139</v>
      </c>
      <c r="E401" s="19">
        <v>1785</v>
      </c>
      <c r="F401" s="19">
        <v>-1</v>
      </c>
    </row>
    <row r="402" spans="1:6" x14ac:dyDescent="0.25">
      <c r="A402" s="20">
        <v>45416</v>
      </c>
      <c r="B402" s="19" t="s">
        <v>75</v>
      </c>
      <c r="C402" s="19" t="s">
        <v>7</v>
      </c>
      <c r="D402" s="19" t="s">
        <v>139</v>
      </c>
      <c r="E402" s="19">
        <v>1117</v>
      </c>
      <c r="F402" s="19">
        <v>-1</v>
      </c>
    </row>
    <row r="403" spans="1:6" x14ac:dyDescent="0.25">
      <c r="A403" s="20">
        <v>45416</v>
      </c>
      <c r="B403" s="19" t="s">
        <v>75</v>
      </c>
      <c r="C403" s="19" t="s">
        <v>8</v>
      </c>
      <c r="D403" s="19" t="s">
        <v>139</v>
      </c>
      <c r="E403" s="19">
        <v>444</v>
      </c>
      <c r="F403" s="19">
        <v>-1</v>
      </c>
    </row>
    <row r="404" spans="1:6" x14ac:dyDescent="0.25">
      <c r="A404" s="20">
        <v>45416</v>
      </c>
      <c r="B404" s="19" t="s">
        <v>25</v>
      </c>
      <c r="C404" s="19" t="s">
        <v>6</v>
      </c>
      <c r="D404" s="19" t="s">
        <v>138</v>
      </c>
      <c r="E404" s="19">
        <v>0</v>
      </c>
      <c r="F404" s="19">
        <v>-1</v>
      </c>
    </row>
    <row r="405" spans="1:6" x14ac:dyDescent="0.25">
      <c r="A405" s="20">
        <v>45416</v>
      </c>
      <c r="B405" s="19" t="s">
        <v>25</v>
      </c>
      <c r="C405" s="19" t="s">
        <v>7</v>
      </c>
      <c r="D405" s="19" t="s">
        <v>138</v>
      </c>
      <c r="E405" s="19">
        <v>0</v>
      </c>
      <c r="F405" s="19">
        <v>-1</v>
      </c>
    </row>
    <row r="406" spans="1:6" x14ac:dyDescent="0.25">
      <c r="A406" s="20">
        <v>45416</v>
      </c>
      <c r="B406" s="19" t="s">
        <v>25</v>
      </c>
      <c r="C406" s="19" t="s">
        <v>8</v>
      </c>
      <c r="D406" s="19" t="s">
        <v>138</v>
      </c>
      <c r="E406" s="19">
        <v>0</v>
      </c>
      <c r="F406" s="19">
        <v>-1</v>
      </c>
    </row>
    <row r="407" spans="1:6" x14ac:dyDescent="0.25">
      <c r="A407" s="20">
        <v>45416</v>
      </c>
      <c r="B407" s="19" t="s">
        <v>74</v>
      </c>
      <c r="C407" s="19" t="s">
        <v>6</v>
      </c>
      <c r="D407" s="19" t="s">
        <v>138</v>
      </c>
      <c r="E407" s="19">
        <v>0</v>
      </c>
      <c r="F407" s="19">
        <v>-1</v>
      </c>
    </row>
    <row r="408" spans="1:6" x14ac:dyDescent="0.25">
      <c r="A408" s="20">
        <v>45416</v>
      </c>
      <c r="B408" s="19" t="s">
        <v>74</v>
      </c>
      <c r="C408" s="19" t="s">
        <v>7</v>
      </c>
      <c r="D408" s="19" t="s">
        <v>138</v>
      </c>
      <c r="E408" s="19">
        <v>0</v>
      </c>
      <c r="F408" s="19">
        <v>-1</v>
      </c>
    </row>
    <row r="409" spans="1:6" x14ac:dyDescent="0.25">
      <c r="A409" s="20">
        <v>45416</v>
      </c>
      <c r="B409" s="19" t="s">
        <v>74</v>
      </c>
      <c r="C409" s="19" t="s">
        <v>8</v>
      </c>
      <c r="D409" s="19" t="s">
        <v>138</v>
      </c>
      <c r="E409" s="19">
        <v>0</v>
      </c>
      <c r="F409" s="19">
        <v>-1</v>
      </c>
    </row>
    <row r="410" spans="1:6" x14ac:dyDescent="0.25">
      <c r="A410" s="20">
        <v>45416</v>
      </c>
      <c r="B410" s="19" t="s">
        <v>26</v>
      </c>
      <c r="C410" s="19" t="s">
        <v>6</v>
      </c>
      <c r="D410" s="19" t="s">
        <v>138</v>
      </c>
      <c r="E410" s="19">
        <v>0</v>
      </c>
      <c r="F410" s="19">
        <v>-1</v>
      </c>
    </row>
    <row r="411" spans="1:6" x14ac:dyDescent="0.25">
      <c r="A411" s="20">
        <v>45416</v>
      </c>
      <c r="B411" s="19" t="s">
        <v>26</v>
      </c>
      <c r="C411" s="19" t="s">
        <v>7</v>
      </c>
      <c r="D411" s="19" t="s">
        <v>138</v>
      </c>
      <c r="E411" s="19">
        <v>0</v>
      </c>
      <c r="F411" s="19">
        <v>-1</v>
      </c>
    </row>
    <row r="412" spans="1:6" x14ac:dyDescent="0.25">
      <c r="A412" s="20">
        <v>45416</v>
      </c>
      <c r="B412" s="19" t="s">
        <v>26</v>
      </c>
      <c r="C412" s="19" t="s">
        <v>8</v>
      </c>
      <c r="D412" s="19" t="s">
        <v>138</v>
      </c>
      <c r="E412" s="19">
        <v>0</v>
      </c>
      <c r="F412" s="19">
        <v>-1</v>
      </c>
    </row>
    <row r="413" spans="1:6" x14ac:dyDescent="0.25">
      <c r="A413" s="20">
        <v>45416</v>
      </c>
      <c r="B413" s="19" t="s">
        <v>27</v>
      </c>
      <c r="C413" s="19" t="s">
        <v>6</v>
      </c>
      <c r="D413" s="19" t="s">
        <v>139</v>
      </c>
      <c r="E413" s="19">
        <v>2083</v>
      </c>
      <c r="F413" s="19">
        <v>-1</v>
      </c>
    </row>
    <row r="414" spans="1:6" x14ac:dyDescent="0.25">
      <c r="A414" s="20">
        <v>45416</v>
      </c>
      <c r="B414" s="19" t="s">
        <v>27</v>
      </c>
      <c r="C414" s="19" t="s">
        <v>7</v>
      </c>
      <c r="D414" s="19" t="s">
        <v>139</v>
      </c>
      <c r="E414" s="19">
        <v>1355</v>
      </c>
      <c r="F414" s="19">
        <v>-1</v>
      </c>
    </row>
    <row r="415" spans="1:6" x14ac:dyDescent="0.25">
      <c r="A415" s="20">
        <v>45416</v>
      </c>
      <c r="B415" s="19" t="s">
        <v>27</v>
      </c>
      <c r="C415" s="19" t="s">
        <v>8</v>
      </c>
      <c r="D415" s="19" t="s">
        <v>139</v>
      </c>
      <c r="E415" s="19">
        <v>2067</v>
      </c>
      <c r="F415" s="19">
        <v>-1</v>
      </c>
    </row>
    <row r="416" spans="1:6" x14ac:dyDescent="0.25">
      <c r="A416" s="20">
        <v>45416</v>
      </c>
      <c r="B416" s="19" t="s">
        <v>28</v>
      </c>
      <c r="C416" s="19" t="s">
        <v>6</v>
      </c>
      <c r="D416" s="19" t="s">
        <v>139</v>
      </c>
      <c r="E416" s="19">
        <v>2007</v>
      </c>
      <c r="F416" s="19">
        <v>-1</v>
      </c>
    </row>
    <row r="417" spans="1:6" x14ac:dyDescent="0.25">
      <c r="A417" s="20">
        <v>45416</v>
      </c>
      <c r="B417" s="19" t="s">
        <v>28</v>
      </c>
      <c r="C417" s="19" t="s">
        <v>7</v>
      </c>
      <c r="D417" s="19" t="s">
        <v>139</v>
      </c>
      <c r="E417" s="19">
        <v>1770</v>
      </c>
      <c r="F417" s="19">
        <v>-1</v>
      </c>
    </row>
    <row r="418" spans="1:6" x14ac:dyDescent="0.25">
      <c r="A418" s="20">
        <v>45416</v>
      </c>
      <c r="B418" s="19" t="s">
        <v>28</v>
      </c>
      <c r="C418" s="19" t="s">
        <v>8</v>
      </c>
      <c r="D418" s="19" t="s">
        <v>139</v>
      </c>
      <c r="E418" s="19">
        <v>2057</v>
      </c>
      <c r="F418" s="19">
        <v>-1</v>
      </c>
    </row>
    <row r="419" spans="1:6" x14ac:dyDescent="0.25">
      <c r="A419" s="20">
        <v>45416</v>
      </c>
      <c r="B419" s="19" t="s">
        <v>72</v>
      </c>
      <c r="C419" s="19" t="s">
        <v>6</v>
      </c>
      <c r="D419" s="19" t="s">
        <v>138</v>
      </c>
      <c r="E419" s="19">
        <v>0</v>
      </c>
      <c r="F419" s="19">
        <v>-1</v>
      </c>
    </row>
    <row r="420" spans="1:6" x14ac:dyDescent="0.25">
      <c r="A420" s="20">
        <v>45416</v>
      </c>
      <c r="B420" s="19" t="s">
        <v>72</v>
      </c>
      <c r="C420" s="19" t="s">
        <v>7</v>
      </c>
      <c r="D420" s="19" t="s">
        <v>138</v>
      </c>
      <c r="E420" s="19">
        <v>0</v>
      </c>
      <c r="F420" s="19">
        <v>-1</v>
      </c>
    </row>
    <row r="421" spans="1:6" x14ac:dyDescent="0.25">
      <c r="A421" s="20">
        <v>45416</v>
      </c>
      <c r="B421" s="19" t="s">
        <v>72</v>
      </c>
      <c r="C421" s="19" t="s">
        <v>8</v>
      </c>
      <c r="D421" s="19" t="s">
        <v>138</v>
      </c>
      <c r="E421" s="19">
        <v>0</v>
      </c>
      <c r="F421" s="19">
        <v>-1</v>
      </c>
    </row>
    <row r="422" spans="1:6" x14ac:dyDescent="0.25">
      <c r="A422" s="20">
        <v>45416</v>
      </c>
      <c r="B422" s="19" t="s">
        <v>29</v>
      </c>
      <c r="C422" s="19" t="s">
        <v>6</v>
      </c>
      <c r="D422" s="19" t="s">
        <v>139</v>
      </c>
      <c r="E422" s="19">
        <v>2014</v>
      </c>
      <c r="F422" s="19">
        <v>-1</v>
      </c>
    </row>
    <row r="423" spans="1:6" x14ac:dyDescent="0.25">
      <c r="A423" s="20">
        <v>45416</v>
      </c>
      <c r="B423" s="19" t="s">
        <v>29</v>
      </c>
      <c r="C423" s="19" t="s">
        <v>7</v>
      </c>
      <c r="D423" s="19" t="s">
        <v>139</v>
      </c>
      <c r="E423" s="19">
        <v>2065</v>
      </c>
      <c r="F423" s="19">
        <v>-1</v>
      </c>
    </row>
    <row r="424" spans="1:6" x14ac:dyDescent="0.25">
      <c r="A424" s="20">
        <v>45416</v>
      </c>
      <c r="B424" s="19" t="s">
        <v>29</v>
      </c>
      <c r="C424" s="19" t="s">
        <v>8</v>
      </c>
      <c r="D424" s="19" t="s">
        <v>139</v>
      </c>
      <c r="E424" s="19">
        <v>1970</v>
      </c>
      <c r="F424" s="19">
        <v>-1</v>
      </c>
    </row>
    <row r="425" spans="1:6" x14ac:dyDescent="0.25">
      <c r="A425" s="20">
        <v>45416</v>
      </c>
      <c r="B425" s="19" t="s">
        <v>30</v>
      </c>
      <c r="C425" s="19" t="s">
        <v>6</v>
      </c>
      <c r="D425" s="19" t="s">
        <v>138</v>
      </c>
      <c r="E425" s="19">
        <v>0</v>
      </c>
      <c r="F425" s="19">
        <v>-1</v>
      </c>
    </row>
    <row r="426" spans="1:6" x14ac:dyDescent="0.25">
      <c r="A426" s="20">
        <v>45416</v>
      </c>
      <c r="B426" s="19" t="s">
        <v>30</v>
      </c>
      <c r="C426" s="19" t="s">
        <v>7</v>
      </c>
      <c r="D426" s="19" t="s">
        <v>138</v>
      </c>
      <c r="E426" s="19">
        <v>0</v>
      </c>
      <c r="F426" s="19">
        <v>-1</v>
      </c>
    </row>
    <row r="427" spans="1:6" x14ac:dyDescent="0.25">
      <c r="A427" s="20">
        <v>45416</v>
      </c>
      <c r="B427" s="19" t="s">
        <v>30</v>
      </c>
      <c r="C427" s="19" t="s">
        <v>8</v>
      </c>
      <c r="D427" s="19" t="s">
        <v>138</v>
      </c>
      <c r="E427" s="19">
        <v>0</v>
      </c>
      <c r="F427" s="19">
        <v>-1</v>
      </c>
    </row>
    <row r="428" spans="1:6" x14ac:dyDescent="0.25">
      <c r="A428" s="20">
        <v>45416</v>
      </c>
      <c r="B428" s="19" t="s">
        <v>31</v>
      </c>
      <c r="C428" s="19" t="s">
        <v>6</v>
      </c>
      <c r="D428" s="19" t="s">
        <v>138</v>
      </c>
      <c r="E428" s="19">
        <v>0</v>
      </c>
      <c r="F428" s="19">
        <v>-1</v>
      </c>
    </row>
    <row r="429" spans="1:6" x14ac:dyDescent="0.25">
      <c r="A429" s="20">
        <v>45416</v>
      </c>
      <c r="B429" s="19" t="s">
        <v>31</v>
      </c>
      <c r="C429" s="19" t="s">
        <v>7</v>
      </c>
      <c r="D429" s="19" t="s">
        <v>138</v>
      </c>
      <c r="E429" s="19">
        <v>0</v>
      </c>
      <c r="F429" s="19">
        <v>-1</v>
      </c>
    </row>
    <row r="430" spans="1:6" x14ac:dyDescent="0.25">
      <c r="A430" s="20">
        <v>45416</v>
      </c>
      <c r="B430" s="19" t="s">
        <v>31</v>
      </c>
      <c r="C430" s="19" t="s">
        <v>8</v>
      </c>
      <c r="D430" s="19" t="s">
        <v>138</v>
      </c>
      <c r="E430" s="19">
        <v>0</v>
      </c>
      <c r="F430" s="19">
        <v>-1</v>
      </c>
    </row>
    <row r="431" spans="1:6" x14ac:dyDescent="0.25">
      <c r="A431" s="20">
        <v>45416</v>
      </c>
      <c r="B431" s="19" t="s">
        <v>32</v>
      </c>
      <c r="C431" s="19" t="s">
        <v>6</v>
      </c>
      <c r="D431" s="19" t="s">
        <v>138</v>
      </c>
      <c r="E431" s="19">
        <v>0</v>
      </c>
      <c r="F431" s="19">
        <v>-1</v>
      </c>
    </row>
    <row r="432" spans="1:6" x14ac:dyDescent="0.25">
      <c r="A432" s="20">
        <v>45416</v>
      </c>
      <c r="B432" s="19" t="s">
        <v>32</v>
      </c>
      <c r="C432" s="19" t="s">
        <v>7</v>
      </c>
      <c r="D432" s="19" t="s">
        <v>138</v>
      </c>
      <c r="E432" s="19">
        <v>0</v>
      </c>
      <c r="F432" s="19">
        <v>-1</v>
      </c>
    </row>
    <row r="433" spans="1:6" x14ac:dyDescent="0.25">
      <c r="A433" s="20">
        <v>45416</v>
      </c>
      <c r="B433" s="19" t="s">
        <v>32</v>
      </c>
      <c r="C433" s="19" t="s">
        <v>8</v>
      </c>
      <c r="D433" s="19" t="s">
        <v>138</v>
      </c>
      <c r="E433" s="19">
        <v>0</v>
      </c>
      <c r="F433" s="19">
        <v>-1</v>
      </c>
    </row>
    <row r="434" spans="1:6" x14ac:dyDescent="0.25">
      <c r="A434" s="20">
        <v>45416</v>
      </c>
      <c r="B434" s="19" t="s">
        <v>67</v>
      </c>
      <c r="C434" s="19" t="s">
        <v>6</v>
      </c>
      <c r="D434" s="19" t="s">
        <v>139</v>
      </c>
      <c r="E434" s="19">
        <v>1477</v>
      </c>
      <c r="F434" s="19">
        <v>-1</v>
      </c>
    </row>
    <row r="435" spans="1:6" x14ac:dyDescent="0.25">
      <c r="A435" s="20">
        <v>45416</v>
      </c>
      <c r="B435" s="19" t="s">
        <v>67</v>
      </c>
      <c r="C435" s="19" t="s">
        <v>7</v>
      </c>
      <c r="D435" s="19" t="s">
        <v>138</v>
      </c>
      <c r="E435" s="19">
        <v>0</v>
      </c>
      <c r="F435" s="19">
        <v>-1</v>
      </c>
    </row>
    <row r="436" spans="1:6" x14ac:dyDescent="0.25">
      <c r="A436" s="20">
        <v>45416</v>
      </c>
      <c r="B436" s="19" t="s">
        <v>67</v>
      </c>
      <c r="C436" s="19" t="s">
        <v>8</v>
      </c>
      <c r="D436" s="19" t="s">
        <v>138</v>
      </c>
      <c r="E436" s="19">
        <v>0</v>
      </c>
      <c r="F436" s="19">
        <v>-1</v>
      </c>
    </row>
    <row r="437" spans="1:6" x14ac:dyDescent="0.25">
      <c r="A437" s="20">
        <v>45416</v>
      </c>
      <c r="B437" s="19" t="s">
        <v>33</v>
      </c>
      <c r="C437" s="19" t="s">
        <v>6</v>
      </c>
      <c r="D437" s="19" t="s">
        <v>138</v>
      </c>
      <c r="E437" s="19">
        <v>0</v>
      </c>
      <c r="F437" s="19">
        <v>-1</v>
      </c>
    </row>
    <row r="438" spans="1:6" x14ac:dyDescent="0.25">
      <c r="A438" s="20">
        <v>45416</v>
      </c>
      <c r="B438" s="19" t="s">
        <v>33</v>
      </c>
      <c r="C438" s="19" t="s">
        <v>7</v>
      </c>
      <c r="D438" s="19" t="s">
        <v>138</v>
      </c>
      <c r="E438" s="19">
        <v>0</v>
      </c>
      <c r="F438" s="19">
        <v>-1</v>
      </c>
    </row>
    <row r="439" spans="1:6" x14ac:dyDescent="0.25">
      <c r="A439" s="20">
        <v>45416</v>
      </c>
      <c r="B439" s="19" t="s">
        <v>33</v>
      </c>
      <c r="C439" s="19" t="s">
        <v>8</v>
      </c>
      <c r="D439" s="19" t="s">
        <v>138</v>
      </c>
      <c r="E439" s="19">
        <v>0</v>
      </c>
      <c r="F439" s="19">
        <v>-1</v>
      </c>
    </row>
    <row r="440" spans="1:6" x14ac:dyDescent="0.25">
      <c r="A440" s="20">
        <v>45416</v>
      </c>
      <c r="B440" s="19" t="s">
        <v>34</v>
      </c>
      <c r="C440" s="19" t="s">
        <v>6</v>
      </c>
      <c r="D440" s="19" t="s">
        <v>139</v>
      </c>
      <c r="E440" s="19">
        <v>707</v>
      </c>
      <c r="F440" s="19">
        <v>-1</v>
      </c>
    </row>
    <row r="441" spans="1:6" x14ac:dyDescent="0.25">
      <c r="A441" s="20">
        <v>45416</v>
      </c>
      <c r="B441" s="19" t="s">
        <v>34</v>
      </c>
      <c r="C441" s="19" t="s">
        <v>7</v>
      </c>
      <c r="D441" s="19" t="s">
        <v>139</v>
      </c>
      <c r="E441" s="19">
        <v>1020</v>
      </c>
      <c r="F441" s="19">
        <v>-1</v>
      </c>
    </row>
    <row r="442" spans="1:6" x14ac:dyDescent="0.25">
      <c r="A442" s="20">
        <v>45416</v>
      </c>
      <c r="B442" s="19" t="s">
        <v>34</v>
      </c>
      <c r="C442" s="19" t="s">
        <v>8</v>
      </c>
      <c r="D442" s="19" t="s">
        <v>139</v>
      </c>
      <c r="E442" s="19">
        <v>1732</v>
      </c>
      <c r="F442" s="19">
        <v>-1</v>
      </c>
    </row>
    <row r="443" spans="1:6" x14ac:dyDescent="0.25">
      <c r="A443" s="20">
        <v>45416</v>
      </c>
      <c r="B443" s="19" t="s">
        <v>35</v>
      </c>
      <c r="C443" s="19" t="s">
        <v>6</v>
      </c>
      <c r="D443" s="19" t="s">
        <v>139</v>
      </c>
      <c r="E443" s="19">
        <v>1908</v>
      </c>
      <c r="F443" s="19">
        <v>-1</v>
      </c>
    </row>
    <row r="444" spans="1:6" x14ac:dyDescent="0.25">
      <c r="A444" s="20">
        <v>45416</v>
      </c>
      <c r="B444" s="19" t="s">
        <v>35</v>
      </c>
      <c r="C444" s="19" t="s">
        <v>7</v>
      </c>
      <c r="D444" s="19" t="s">
        <v>139</v>
      </c>
      <c r="E444" s="19">
        <v>1330</v>
      </c>
      <c r="F444" s="19">
        <v>-1</v>
      </c>
    </row>
    <row r="445" spans="1:6" x14ac:dyDescent="0.25">
      <c r="A445" s="20">
        <v>45416</v>
      </c>
      <c r="B445" s="19" t="s">
        <v>35</v>
      </c>
      <c r="C445" s="19" t="s">
        <v>8</v>
      </c>
      <c r="D445" s="19" t="s">
        <v>139</v>
      </c>
      <c r="E445" s="19">
        <v>1942</v>
      </c>
      <c r="F445" s="19">
        <v>-1</v>
      </c>
    </row>
    <row r="446" spans="1:6" x14ac:dyDescent="0.25">
      <c r="A446" s="20">
        <v>45416</v>
      </c>
      <c r="B446" s="19" t="s">
        <v>63</v>
      </c>
      <c r="C446" s="19" t="s">
        <v>6</v>
      </c>
      <c r="D446" s="19" t="s">
        <v>138</v>
      </c>
      <c r="E446" s="19">
        <v>0</v>
      </c>
      <c r="F446" s="19">
        <v>-1</v>
      </c>
    </row>
    <row r="447" spans="1:6" x14ac:dyDescent="0.25">
      <c r="A447" s="20">
        <v>45416</v>
      </c>
      <c r="B447" s="19" t="s">
        <v>63</v>
      </c>
      <c r="C447" s="19" t="s">
        <v>7</v>
      </c>
      <c r="D447" s="19" t="s">
        <v>138</v>
      </c>
      <c r="E447" s="19">
        <v>0</v>
      </c>
      <c r="F447" s="19">
        <v>-1</v>
      </c>
    </row>
    <row r="448" spans="1:6" x14ac:dyDescent="0.25">
      <c r="A448" s="20">
        <v>45416</v>
      </c>
      <c r="B448" s="19" t="s">
        <v>63</v>
      </c>
      <c r="C448" s="19" t="s">
        <v>8</v>
      </c>
      <c r="D448" s="19" t="s">
        <v>138</v>
      </c>
      <c r="E448" s="19">
        <v>0</v>
      </c>
      <c r="F448" s="19">
        <v>-1</v>
      </c>
    </row>
    <row r="449" spans="1:6" x14ac:dyDescent="0.25">
      <c r="A449" s="20">
        <v>45416</v>
      </c>
      <c r="B449" s="19" t="s">
        <v>36</v>
      </c>
      <c r="C449" s="19" t="s">
        <v>6</v>
      </c>
      <c r="D449" s="19" t="s">
        <v>139</v>
      </c>
      <c r="E449" s="19">
        <v>2085</v>
      </c>
      <c r="F449" s="19">
        <v>13.2</v>
      </c>
    </row>
    <row r="450" spans="1:6" x14ac:dyDescent="0.25">
      <c r="A450" s="20">
        <v>45416</v>
      </c>
      <c r="B450" s="19" t="s">
        <v>36</v>
      </c>
      <c r="C450" s="19" t="s">
        <v>7</v>
      </c>
      <c r="D450" s="19" t="s">
        <v>139</v>
      </c>
      <c r="E450" s="19">
        <v>1526</v>
      </c>
      <c r="F450" s="19">
        <v>13.2</v>
      </c>
    </row>
    <row r="451" spans="1:6" x14ac:dyDescent="0.25">
      <c r="A451" s="20">
        <v>45416</v>
      </c>
      <c r="B451" s="19" t="s">
        <v>36</v>
      </c>
      <c r="C451" s="19" t="s">
        <v>8</v>
      </c>
      <c r="D451" s="19" t="s">
        <v>139</v>
      </c>
      <c r="E451" s="19">
        <v>2105</v>
      </c>
      <c r="F451" s="19">
        <v>13.2</v>
      </c>
    </row>
    <row r="452" spans="1:6" x14ac:dyDescent="0.25">
      <c r="A452" s="20">
        <v>45416</v>
      </c>
      <c r="B452" s="19" t="s">
        <v>256</v>
      </c>
      <c r="C452" s="19" t="s">
        <v>6</v>
      </c>
      <c r="D452" s="19" t="s">
        <v>138</v>
      </c>
      <c r="E452" s="19">
        <v>0</v>
      </c>
      <c r="F452" s="19">
        <v>-1</v>
      </c>
    </row>
    <row r="453" spans="1:6" x14ac:dyDescent="0.25">
      <c r="A453" s="20">
        <v>45416</v>
      </c>
      <c r="B453" s="19" t="s">
        <v>256</v>
      </c>
      <c r="C453" s="19" t="s">
        <v>7</v>
      </c>
      <c r="D453" s="19" t="s">
        <v>138</v>
      </c>
      <c r="E453" s="19">
        <v>0</v>
      </c>
      <c r="F453" s="19">
        <v>-1</v>
      </c>
    </row>
    <row r="454" spans="1:6" x14ac:dyDescent="0.25">
      <c r="A454" s="20">
        <v>45416</v>
      </c>
      <c r="B454" s="19" t="s">
        <v>256</v>
      </c>
      <c r="C454" s="19" t="s">
        <v>8</v>
      </c>
      <c r="D454" s="19" t="s">
        <v>138</v>
      </c>
      <c r="E454" s="19">
        <v>0</v>
      </c>
      <c r="F454" s="19">
        <v>-1</v>
      </c>
    </row>
    <row r="455" spans="1:6" x14ac:dyDescent="0.25">
      <c r="A455" s="20">
        <v>45416</v>
      </c>
      <c r="B455" s="19" t="s">
        <v>257</v>
      </c>
      <c r="C455" s="19" t="s">
        <v>6</v>
      </c>
      <c r="D455" s="19" t="s">
        <v>138</v>
      </c>
      <c r="E455" s="19">
        <v>0</v>
      </c>
      <c r="F455" s="19">
        <v>-1</v>
      </c>
    </row>
    <row r="456" spans="1:6" x14ac:dyDescent="0.25">
      <c r="A456" s="20">
        <v>45416</v>
      </c>
      <c r="B456" s="19" t="s">
        <v>257</v>
      </c>
      <c r="C456" s="19" t="s">
        <v>7</v>
      </c>
      <c r="D456" s="19" t="s">
        <v>138</v>
      </c>
      <c r="E456" s="19">
        <v>0</v>
      </c>
      <c r="F456" s="19">
        <v>-1</v>
      </c>
    </row>
    <row r="457" spans="1:6" x14ac:dyDescent="0.25">
      <c r="A457" s="20">
        <v>45416</v>
      </c>
      <c r="B457" s="19" t="s">
        <v>257</v>
      </c>
      <c r="C457" s="19" t="s">
        <v>8</v>
      </c>
      <c r="D457" s="19" t="s">
        <v>138</v>
      </c>
      <c r="E457" s="19">
        <v>0</v>
      </c>
      <c r="F457" s="19">
        <v>-1</v>
      </c>
    </row>
    <row r="458" spans="1:6" x14ac:dyDescent="0.25">
      <c r="A458" s="20">
        <v>45416</v>
      </c>
      <c r="B458" s="19" t="s">
        <v>37</v>
      </c>
      <c r="C458" s="19" t="s">
        <v>6</v>
      </c>
      <c r="D458" s="19" t="s">
        <v>138</v>
      </c>
      <c r="E458" s="19">
        <v>0</v>
      </c>
      <c r="F458" s="19">
        <v>-1</v>
      </c>
    </row>
    <row r="459" spans="1:6" x14ac:dyDescent="0.25">
      <c r="A459" s="20">
        <v>45416</v>
      </c>
      <c r="B459" s="19" t="s">
        <v>37</v>
      </c>
      <c r="C459" s="19" t="s">
        <v>7</v>
      </c>
      <c r="D459" s="19" t="s">
        <v>138</v>
      </c>
      <c r="E459" s="19">
        <v>0</v>
      </c>
      <c r="F459" s="19">
        <v>-1</v>
      </c>
    </row>
    <row r="460" spans="1:6" x14ac:dyDescent="0.25">
      <c r="A460" s="20">
        <v>45416</v>
      </c>
      <c r="B460" s="19" t="s">
        <v>37</v>
      </c>
      <c r="C460" s="19" t="s">
        <v>8</v>
      </c>
      <c r="D460" s="19" t="s">
        <v>138</v>
      </c>
      <c r="E460" s="19">
        <v>0</v>
      </c>
      <c r="F460" s="19">
        <v>-1</v>
      </c>
    </row>
    <row r="461" spans="1:6" x14ac:dyDescent="0.25">
      <c r="A461" s="20">
        <v>45416</v>
      </c>
      <c r="B461" s="19" t="s">
        <v>258</v>
      </c>
      <c r="C461" s="19" t="s">
        <v>6</v>
      </c>
      <c r="D461" s="19" t="s">
        <v>138</v>
      </c>
      <c r="E461" s="19">
        <v>0</v>
      </c>
      <c r="F461" s="19">
        <v>-1</v>
      </c>
    </row>
    <row r="462" spans="1:6" x14ac:dyDescent="0.25">
      <c r="A462" s="20">
        <v>45416</v>
      </c>
      <c r="B462" s="19" t="s">
        <v>258</v>
      </c>
      <c r="C462" s="19" t="s">
        <v>7</v>
      </c>
      <c r="D462" s="19" t="s">
        <v>138</v>
      </c>
      <c r="E462" s="19">
        <v>0</v>
      </c>
      <c r="F462" s="19">
        <v>-1</v>
      </c>
    </row>
    <row r="463" spans="1:6" x14ac:dyDescent="0.25">
      <c r="A463" s="20">
        <v>45416</v>
      </c>
      <c r="B463" s="19" t="s">
        <v>258</v>
      </c>
      <c r="C463" s="19" t="s">
        <v>8</v>
      </c>
      <c r="D463" s="19" t="s">
        <v>138</v>
      </c>
      <c r="E463" s="19">
        <v>0</v>
      </c>
      <c r="F463" s="19">
        <v>-1</v>
      </c>
    </row>
    <row r="464" spans="1:6" x14ac:dyDescent="0.25">
      <c r="A464" s="20">
        <v>45416</v>
      </c>
      <c r="B464" s="19" t="s">
        <v>259</v>
      </c>
      <c r="C464" s="19" t="s">
        <v>6</v>
      </c>
      <c r="D464" s="19" t="s">
        <v>138</v>
      </c>
      <c r="E464" s="19">
        <v>0</v>
      </c>
      <c r="F464" s="19">
        <v>-1</v>
      </c>
    </row>
    <row r="465" spans="1:6" x14ac:dyDescent="0.25">
      <c r="A465" s="20">
        <v>45416</v>
      </c>
      <c r="B465" s="19" t="s">
        <v>259</v>
      </c>
      <c r="C465" s="19" t="s">
        <v>7</v>
      </c>
      <c r="D465" s="19" t="s">
        <v>138</v>
      </c>
      <c r="E465" s="19">
        <v>0</v>
      </c>
      <c r="F465" s="19">
        <v>-1</v>
      </c>
    </row>
    <row r="466" spans="1:6" x14ac:dyDescent="0.25">
      <c r="A466" s="20">
        <v>45416</v>
      </c>
      <c r="B466" s="19" t="s">
        <v>259</v>
      </c>
      <c r="C466" s="19" t="s">
        <v>8</v>
      </c>
      <c r="D466" s="19" t="s">
        <v>138</v>
      </c>
      <c r="E466" s="19">
        <v>0</v>
      </c>
      <c r="F466" s="19">
        <v>-1</v>
      </c>
    </row>
    <row r="467" spans="1:6" x14ac:dyDescent="0.25">
      <c r="A467" s="20">
        <v>45416</v>
      </c>
      <c r="B467" s="19" t="s">
        <v>260</v>
      </c>
      <c r="C467" s="19" t="s">
        <v>6</v>
      </c>
      <c r="D467" s="19" t="s">
        <v>138</v>
      </c>
      <c r="E467" s="19">
        <v>0</v>
      </c>
      <c r="F467" s="19">
        <v>-1</v>
      </c>
    </row>
    <row r="468" spans="1:6" x14ac:dyDescent="0.25">
      <c r="A468" s="20">
        <v>45416</v>
      </c>
      <c r="B468" s="19" t="s">
        <v>260</v>
      </c>
      <c r="C468" s="19" t="s">
        <v>7</v>
      </c>
      <c r="D468" s="19" t="s">
        <v>138</v>
      </c>
      <c r="E468" s="19">
        <v>0</v>
      </c>
      <c r="F468" s="19">
        <v>-1</v>
      </c>
    </row>
    <row r="469" spans="1:6" x14ac:dyDescent="0.25">
      <c r="A469" s="20">
        <v>45416</v>
      </c>
      <c r="B469" s="19" t="s">
        <v>260</v>
      </c>
      <c r="C469" s="19" t="s">
        <v>8</v>
      </c>
      <c r="D469" s="19" t="s">
        <v>138</v>
      </c>
      <c r="E469" s="19">
        <v>0</v>
      </c>
      <c r="F469" s="19">
        <v>-1</v>
      </c>
    </row>
    <row r="470" spans="1:6" x14ac:dyDescent="0.25">
      <c r="A470" s="20">
        <v>45416</v>
      </c>
      <c r="B470" s="19" t="s">
        <v>261</v>
      </c>
      <c r="C470" s="19" t="s">
        <v>6</v>
      </c>
      <c r="D470" s="19" t="s">
        <v>138</v>
      </c>
      <c r="E470" s="19">
        <v>0</v>
      </c>
      <c r="F470" s="19">
        <v>-1</v>
      </c>
    </row>
    <row r="471" spans="1:6" x14ac:dyDescent="0.25">
      <c r="A471" s="20">
        <v>45416</v>
      </c>
      <c r="B471" s="19" t="s">
        <v>261</v>
      </c>
      <c r="C471" s="19" t="s">
        <v>7</v>
      </c>
      <c r="D471" s="19" t="s">
        <v>138</v>
      </c>
      <c r="E471" s="19">
        <v>0</v>
      </c>
      <c r="F471" s="19">
        <v>-1</v>
      </c>
    </row>
    <row r="472" spans="1:6" x14ac:dyDescent="0.25">
      <c r="A472" s="20">
        <v>45416</v>
      </c>
      <c r="B472" s="19" t="s">
        <v>261</v>
      </c>
      <c r="C472" s="19" t="s">
        <v>8</v>
      </c>
      <c r="D472" s="19" t="s">
        <v>138</v>
      </c>
      <c r="E472" s="19">
        <v>0</v>
      </c>
      <c r="F472" s="19">
        <v>-1</v>
      </c>
    </row>
    <row r="473" spans="1:6" x14ac:dyDescent="0.25">
      <c r="A473" s="20">
        <v>45416</v>
      </c>
      <c r="B473" s="19" t="s">
        <v>54</v>
      </c>
      <c r="C473" s="19" t="s">
        <v>6</v>
      </c>
      <c r="D473" s="19" t="s">
        <v>138</v>
      </c>
      <c r="E473" s="19">
        <v>0</v>
      </c>
      <c r="F473" s="19">
        <v>-1</v>
      </c>
    </row>
    <row r="474" spans="1:6" x14ac:dyDescent="0.25">
      <c r="A474" s="20">
        <v>45416</v>
      </c>
      <c r="B474" s="19" t="s">
        <v>54</v>
      </c>
      <c r="C474" s="19" t="s">
        <v>7</v>
      </c>
      <c r="D474" s="19" t="s">
        <v>138</v>
      </c>
      <c r="E474" s="19">
        <v>0</v>
      </c>
      <c r="F474" s="19">
        <v>-1</v>
      </c>
    </row>
    <row r="475" spans="1:6" x14ac:dyDescent="0.25">
      <c r="A475" s="20">
        <v>45416</v>
      </c>
      <c r="B475" s="19" t="s">
        <v>54</v>
      </c>
      <c r="C475" s="19" t="s">
        <v>8</v>
      </c>
      <c r="D475" s="19" t="s">
        <v>138</v>
      </c>
      <c r="E475" s="19">
        <v>0</v>
      </c>
      <c r="F475" s="19">
        <v>-1</v>
      </c>
    </row>
    <row r="476" spans="1:6" x14ac:dyDescent="0.25">
      <c r="A476" s="20">
        <v>45417</v>
      </c>
      <c r="B476" s="19" t="s">
        <v>136</v>
      </c>
      <c r="C476" s="19" t="s">
        <v>6</v>
      </c>
      <c r="D476" s="19" t="s">
        <v>138</v>
      </c>
      <c r="E476" s="19">
        <v>0</v>
      </c>
      <c r="F476" s="19">
        <v>-1</v>
      </c>
    </row>
    <row r="477" spans="1:6" x14ac:dyDescent="0.25">
      <c r="A477" s="20">
        <v>45417</v>
      </c>
      <c r="B477" s="19" t="s">
        <v>136</v>
      </c>
      <c r="C477" s="19" t="s">
        <v>7</v>
      </c>
      <c r="D477" s="19" t="s">
        <v>138</v>
      </c>
      <c r="E477" s="19">
        <v>0</v>
      </c>
      <c r="F477" s="19">
        <v>-1</v>
      </c>
    </row>
    <row r="478" spans="1:6" x14ac:dyDescent="0.25">
      <c r="A478" s="20">
        <v>45417</v>
      </c>
      <c r="B478" s="19" t="s">
        <v>136</v>
      </c>
      <c r="C478" s="19" t="s">
        <v>8</v>
      </c>
      <c r="D478" s="19" t="s">
        <v>138</v>
      </c>
      <c r="E478" s="19">
        <v>0</v>
      </c>
      <c r="F478" s="19">
        <v>-1</v>
      </c>
    </row>
    <row r="479" spans="1:6" x14ac:dyDescent="0.25">
      <c r="A479" s="20">
        <v>45417</v>
      </c>
      <c r="B479" s="19" t="s">
        <v>135</v>
      </c>
      <c r="C479" s="19" t="s">
        <v>6</v>
      </c>
      <c r="D479" s="19" t="s">
        <v>138</v>
      </c>
      <c r="E479" s="19">
        <v>0</v>
      </c>
      <c r="F479" s="19">
        <v>-1</v>
      </c>
    </row>
    <row r="480" spans="1:6" x14ac:dyDescent="0.25">
      <c r="A480" s="20">
        <v>45417</v>
      </c>
      <c r="B480" s="19" t="s">
        <v>135</v>
      </c>
      <c r="C480" s="19" t="s">
        <v>7</v>
      </c>
      <c r="D480" s="19" t="s">
        <v>138</v>
      </c>
      <c r="E480" s="19">
        <v>0</v>
      </c>
      <c r="F480" s="19">
        <v>-1</v>
      </c>
    </row>
    <row r="481" spans="1:6" x14ac:dyDescent="0.25">
      <c r="A481" s="20">
        <v>45417</v>
      </c>
      <c r="B481" s="19" t="s">
        <v>135</v>
      </c>
      <c r="C481" s="19" t="s">
        <v>8</v>
      </c>
      <c r="D481" s="19" t="s">
        <v>138</v>
      </c>
      <c r="E481" s="19">
        <v>0</v>
      </c>
      <c r="F481" s="19">
        <v>-1</v>
      </c>
    </row>
    <row r="482" spans="1:6" x14ac:dyDescent="0.25">
      <c r="A482" s="20">
        <v>45417</v>
      </c>
      <c r="B482" s="19" t="s">
        <v>134</v>
      </c>
      <c r="C482" s="19" t="s">
        <v>6</v>
      </c>
      <c r="D482" s="19" t="s">
        <v>138</v>
      </c>
      <c r="E482" s="19">
        <v>0</v>
      </c>
      <c r="F482" s="19">
        <v>-1</v>
      </c>
    </row>
    <row r="483" spans="1:6" x14ac:dyDescent="0.25">
      <c r="A483" s="20">
        <v>45417</v>
      </c>
      <c r="B483" s="19" t="s">
        <v>134</v>
      </c>
      <c r="C483" s="19" t="s">
        <v>7</v>
      </c>
      <c r="D483" s="19" t="s">
        <v>138</v>
      </c>
      <c r="E483" s="19">
        <v>0</v>
      </c>
      <c r="F483" s="19">
        <v>-1</v>
      </c>
    </row>
    <row r="484" spans="1:6" x14ac:dyDescent="0.25">
      <c r="A484" s="20">
        <v>45417</v>
      </c>
      <c r="B484" s="19" t="s">
        <v>134</v>
      </c>
      <c r="C484" s="19" t="s">
        <v>8</v>
      </c>
      <c r="D484" s="19" t="s">
        <v>138</v>
      </c>
      <c r="E484" s="19">
        <v>0</v>
      </c>
      <c r="F484" s="19">
        <v>-1</v>
      </c>
    </row>
    <row r="485" spans="1:6" x14ac:dyDescent="0.25">
      <c r="A485" s="20">
        <v>45417</v>
      </c>
      <c r="B485" s="19" t="s">
        <v>132</v>
      </c>
      <c r="C485" s="19" t="s">
        <v>6</v>
      </c>
      <c r="D485" s="19" t="s">
        <v>138</v>
      </c>
      <c r="E485" s="19">
        <v>0</v>
      </c>
      <c r="F485" s="19">
        <v>-1</v>
      </c>
    </row>
    <row r="486" spans="1:6" x14ac:dyDescent="0.25">
      <c r="A486" s="20">
        <v>45417</v>
      </c>
      <c r="B486" s="19" t="s">
        <v>132</v>
      </c>
      <c r="C486" s="19" t="s">
        <v>7</v>
      </c>
      <c r="D486" s="19" t="s">
        <v>138</v>
      </c>
      <c r="E486" s="19">
        <v>0</v>
      </c>
      <c r="F486" s="19">
        <v>-1</v>
      </c>
    </row>
    <row r="487" spans="1:6" x14ac:dyDescent="0.25">
      <c r="A487" s="20">
        <v>45417</v>
      </c>
      <c r="B487" s="19" t="s">
        <v>132</v>
      </c>
      <c r="C487" s="19" t="s">
        <v>8</v>
      </c>
      <c r="D487" s="19" t="s">
        <v>138</v>
      </c>
      <c r="E487" s="19">
        <v>0</v>
      </c>
      <c r="F487" s="19">
        <v>-1</v>
      </c>
    </row>
    <row r="488" spans="1:6" x14ac:dyDescent="0.25">
      <c r="A488" s="20">
        <v>45417</v>
      </c>
      <c r="B488" s="19" t="s">
        <v>131</v>
      </c>
      <c r="C488" s="19" t="s">
        <v>6</v>
      </c>
      <c r="D488" s="19" t="s">
        <v>138</v>
      </c>
      <c r="E488" s="19">
        <v>0</v>
      </c>
      <c r="F488" s="19">
        <v>-1</v>
      </c>
    </row>
    <row r="489" spans="1:6" x14ac:dyDescent="0.25">
      <c r="A489" s="20">
        <v>45417</v>
      </c>
      <c r="B489" s="19" t="s">
        <v>131</v>
      </c>
      <c r="C489" s="19" t="s">
        <v>7</v>
      </c>
      <c r="D489" s="19" t="s">
        <v>138</v>
      </c>
      <c r="E489" s="19">
        <v>0</v>
      </c>
      <c r="F489" s="19">
        <v>-1</v>
      </c>
    </row>
    <row r="490" spans="1:6" x14ac:dyDescent="0.25">
      <c r="A490" s="20">
        <v>45417</v>
      </c>
      <c r="B490" s="19" t="s">
        <v>131</v>
      </c>
      <c r="C490" s="19" t="s">
        <v>8</v>
      </c>
      <c r="D490" s="19" t="s">
        <v>138</v>
      </c>
      <c r="E490" s="19">
        <v>0</v>
      </c>
      <c r="F490" s="19">
        <v>-1</v>
      </c>
    </row>
    <row r="491" spans="1:6" x14ac:dyDescent="0.25">
      <c r="A491" s="20">
        <v>45417</v>
      </c>
      <c r="B491" s="19" t="s">
        <v>130</v>
      </c>
      <c r="C491" s="19" t="s">
        <v>6</v>
      </c>
      <c r="D491" s="19" t="s">
        <v>138</v>
      </c>
      <c r="E491" s="19">
        <v>0</v>
      </c>
      <c r="F491" s="19">
        <v>-1</v>
      </c>
    </row>
    <row r="492" spans="1:6" x14ac:dyDescent="0.25">
      <c r="A492" s="20">
        <v>45417</v>
      </c>
      <c r="B492" s="19" t="s">
        <v>130</v>
      </c>
      <c r="C492" s="19" t="s">
        <v>7</v>
      </c>
      <c r="D492" s="19" t="s">
        <v>138</v>
      </c>
      <c r="E492" s="19">
        <v>0</v>
      </c>
      <c r="F492" s="19">
        <v>-1</v>
      </c>
    </row>
    <row r="493" spans="1:6" x14ac:dyDescent="0.25">
      <c r="A493" s="20">
        <v>45417</v>
      </c>
      <c r="B493" s="19" t="s">
        <v>130</v>
      </c>
      <c r="C493" s="19" t="s">
        <v>8</v>
      </c>
      <c r="D493" s="19" t="s">
        <v>138</v>
      </c>
      <c r="E493" s="19">
        <v>0</v>
      </c>
      <c r="F493" s="19">
        <v>-1</v>
      </c>
    </row>
    <row r="494" spans="1:6" x14ac:dyDescent="0.25">
      <c r="A494" s="20">
        <v>45417</v>
      </c>
      <c r="B494" s="19" t="s">
        <v>128</v>
      </c>
      <c r="C494" s="19" t="s">
        <v>6</v>
      </c>
      <c r="D494" s="19" t="s">
        <v>138</v>
      </c>
      <c r="E494" s="19">
        <v>0</v>
      </c>
      <c r="F494" s="19">
        <v>-1</v>
      </c>
    </row>
    <row r="495" spans="1:6" x14ac:dyDescent="0.25">
      <c r="A495" s="20">
        <v>45417</v>
      </c>
      <c r="B495" s="19" t="s">
        <v>128</v>
      </c>
      <c r="C495" s="19" t="s">
        <v>7</v>
      </c>
      <c r="D495" s="19" t="s">
        <v>138</v>
      </c>
      <c r="E495" s="19">
        <v>0</v>
      </c>
      <c r="F495" s="19">
        <v>-1</v>
      </c>
    </row>
    <row r="496" spans="1:6" x14ac:dyDescent="0.25">
      <c r="A496" s="20">
        <v>45417</v>
      </c>
      <c r="B496" s="19" t="s">
        <v>128</v>
      </c>
      <c r="C496" s="19" t="s">
        <v>8</v>
      </c>
      <c r="D496" s="19" t="s">
        <v>138</v>
      </c>
      <c r="E496" s="19">
        <v>0</v>
      </c>
      <c r="F496" s="19">
        <v>-1</v>
      </c>
    </row>
    <row r="497" spans="1:6" x14ac:dyDescent="0.25">
      <c r="A497" s="20">
        <v>45417</v>
      </c>
      <c r="B497" s="19" t="s">
        <v>40</v>
      </c>
      <c r="C497" s="19" t="s">
        <v>6</v>
      </c>
      <c r="D497" s="19" t="s">
        <v>138</v>
      </c>
      <c r="E497" s="19">
        <v>0</v>
      </c>
      <c r="F497" s="19">
        <v>-1</v>
      </c>
    </row>
    <row r="498" spans="1:6" x14ac:dyDescent="0.25">
      <c r="A498" s="20">
        <v>45417</v>
      </c>
      <c r="B498" s="19" t="s">
        <v>40</v>
      </c>
      <c r="C498" s="19" t="s">
        <v>7</v>
      </c>
      <c r="D498" s="19" t="s">
        <v>138</v>
      </c>
      <c r="E498" s="19">
        <v>0</v>
      </c>
      <c r="F498" s="19">
        <v>-1</v>
      </c>
    </row>
    <row r="499" spans="1:6" x14ac:dyDescent="0.25">
      <c r="A499" s="20">
        <v>45417</v>
      </c>
      <c r="B499" s="19" t="s">
        <v>40</v>
      </c>
      <c r="C499" s="19" t="s">
        <v>8</v>
      </c>
      <c r="D499" s="19" t="s">
        <v>138</v>
      </c>
      <c r="E499" s="19">
        <v>0</v>
      </c>
      <c r="F499" s="19">
        <v>-1</v>
      </c>
    </row>
    <row r="500" spans="1:6" x14ac:dyDescent="0.25">
      <c r="A500" s="20">
        <v>45417</v>
      </c>
      <c r="B500" s="19" t="s">
        <v>127</v>
      </c>
      <c r="C500" s="19" t="s">
        <v>6</v>
      </c>
      <c r="D500" s="19" t="s">
        <v>138</v>
      </c>
      <c r="E500" s="19">
        <v>0</v>
      </c>
      <c r="F500" s="19">
        <v>-1</v>
      </c>
    </row>
    <row r="501" spans="1:6" x14ac:dyDescent="0.25">
      <c r="A501" s="20">
        <v>45417</v>
      </c>
      <c r="B501" s="19" t="s">
        <v>127</v>
      </c>
      <c r="C501" s="19" t="s">
        <v>7</v>
      </c>
      <c r="D501" s="19" t="s">
        <v>138</v>
      </c>
      <c r="E501" s="19">
        <v>0</v>
      </c>
      <c r="F501" s="19">
        <v>-1</v>
      </c>
    </row>
    <row r="502" spans="1:6" x14ac:dyDescent="0.25">
      <c r="A502" s="20">
        <v>45417</v>
      </c>
      <c r="B502" s="19" t="s">
        <v>127</v>
      </c>
      <c r="C502" s="19" t="s">
        <v>8</v>
      </c>
      <c r="D502" s="19" t="s">
        <v>138</v>
      </c>
      <c r="E502" s="19">
        <v>0</v>
      </c>
      <c r="F502" s="19">
        <v>-1</v>
      </c>
    </row>
    <row r="503" spans="1:6" x14ac:dyDescent="0.25">
      <c r="A503" s="20">
        <v>45417</v>
      </c>
      <c r="B503" s="19" t="s">
        <v>124</v>
      </c>
      <c r="C503" s="19" t="s">
        <v>6</v>
      </c>
      <c r="D503" s="19" t="s">
        <v>138</v>
      </c>
      <c r="E503" s="19">
        <v>0</v>
      </c>
      <c r="F503" s="19">
        <v>-1</v>
      </c>
    </row>
    <row r="504" spans="1:6" x14ac:dyDescent="0.25">
      <c r="A504" s="20">
        <v>45417</v>
      </c>
      <c r="B504" s="19" t="s">
        <v>124</v>
      </c>
      <c r="C504" s="19" t="s">
        <v>7</v>
      </c>
      <c r="D504" s="19" t="s">
        <v>138</v>
      </c>
      <c r="E504" s="19">
        <v>0</v>
      </c>
      <c r="F504" s="19">
        <v>-1</v>
      </c>
    </row>
    <row r="505" spans="1:6" x14ac:dyDescent="0.25">
      <c r="A505" s="20">
        <v>45417</v>
      </c>
      <c r="B505" s="19" t="s">
        <v>124</v>
      </c>
      <c r="C505" s="19" t="s">
        <v>8</v>
      </c>
      <c r="D505" s="19" t="s">
        <v>138</v>
      </c>
      <c r="E505" s="19">
        <v>0</v>
      </c>
      <c r="F505" s="19">
        <v>-1</v>
      </c>
    </row>
    <row r="506" spans="1:6" x14ac:dyDescent="0.25">
      <c r="A506" s="20">
        <v>45417</v>
      </c>
      <c r="B506" s="19" t="s">
        <v>122</v>
      </c>
      <c r="C506" s="19" t="s">
        <v>6</v>
      </c>
      <c r="D506" s="19" t="s">
        <v>138</v>
      </c>
      <c r="E506" s="19">
        <v>0</v>
      </c>
      <c r="F506" s="19">
        <v>-1</v>
      </c>
    </row>
    <row r="507" spans="1:6" x14ac:dyDescent="0.25">
      <c r="A507" s="20">
        <v>45417</v>
      </c>
      <c r="B507" s="19" t="s">
        <v>122</v>
      </c>
      <c r="C507" s="19" t="s">
        <v>7</v>
      </c>
      <c r="D507" s="19" t="s">
        <v>138</v>
      </c>
      <c r="E507" s="19">
        <v>0</v>
      </c>
      <c r="F507" s="19">
        <v>-1</v>
      </c>
    </row>
    <row r="508" spans="1:6" x14ac:dyDescent="0.25">
      <c r="A508" s="20">
        <v>45417</v>
      </c>
      <c r="B508" s="19" t="s">
        <v>122</v>
      </c>
      <c r="C508" s="19" t="s">
        <v>8</v>
      </c>
      <c r="D508" s="19" t="s">
        <v>138</v>
      </c>
      <c r="E508" s="19">
        <v>0</v>
      </c>
      <c r="F508" s="19">
        <v>-1</v>
      </c>
    </row>
    <row r="509" spans="1:6" x14ac:dyDescent="0.25">
      <c r="A509" s="20">
        <v>45417</v>
      </c>
      <c r="B509" s="19" t="s">
        <v>120</v>
      </c>
      <c r="C509" s="19" t="s">
        <v>6</v>
      </c>
      <c r="D509" s="19" t="s">
        <v>138</v>
      </c>
      <c r="E509" s="19">
        <v>0</v>
      </c>
      <c r="F509" s="19">
        <v>-1</v>
      </c>
    </row>
    <row r="510" spans="1:6" x14ac:dyDescent="0.25">
      <c r="A510" s="20">
        <v>45417</v>
      </c>
      <c r="B510" s="19" t="s">
        <v>120</v>
      </c>
      <c r="C510" s="19" t="s">
        <v>7</v>
      </c>
      <c r="D510" s="19" t="s">
        <v>138</v>
      </c>
      <c r="E510" s="19">
        <v>0</v>
      </c>
      <c r="F510" s="19">
        <v>-1</v>
      </c>
    </row>
    <row r="511" spans="1:6" x14ac:dyDescent="0.25">
      <c r="A511" s="20">
        <v>45417</v>
      </c>
      <c r="B511" s="19" t="s">
        <v>120</v>
      </c>
      <c r="C511" s="19" t="s">
        <v>8</v>
      </c>
      <c r="D511" s="19" t="s">
        <v>138</v>
      </c>
      <c r="E511" s="19">
        <v>0</v>
      </c>
      <c r="F511" s="19">
        <v>-1</v>
      </c>
    </row>
    <row r="512" spans="1:6" x14ac:dyDescent="0.25">
      <c r="A512" s="20">
        <v>45417</v>
      </c>
      <c r="B512" s="19" t="s">
        <v>119</v>
      </c>
      <c r="C512" s="19" t="s">
        <v>6</v>
      </c>
      <c r="D512" s="19" t="s">
        <v>138</v>
      </c>
      <c r="E512" s="19">
        <v>0</v>
      </c>
      <c r="F512" s="19">
        <v>-1</v>
      </c>
    </row>
    <row r="513" spans="1:6" x14ac:dyDescent="0.25">
      <c r="A513" s="20">
        <v>45417</v>
      </c>
      <c r="B513" s="19" t="s">
        <v>119</v>
      </c>
      <c r="C513" s="19" t="s">
        <v>7</v>
      </c>
      <c r="D513" s="19" t="s">
        <v>138</v>
      </c>
      <c r="E513" s="19">
        <v>0</v>
      </c>
      <c r="F513" s="19">
        <v>-1</v>
      </c>
    </row>
    <row r="514" spans="1:6" x14ac:dyDescent="0.25">
      <c r="A514" s="20">
        <v>45417</v>
      </c>
      <c r="B514" s="19" t="s">
        <v>119</v>
      </c>
      <c r="C514" s="19" t="s">
        <v>8</v>
      </c>
      <c r="D514" s="19" t="s">
        <v>138</v>
      </c>
      <c r="E514" s="19">
        <v>0</v>
      </c>
      <c r="F514" s="19">
        <v>-1</v>
      </c>
    </row>
    <row r="515" spans="1:6" x14ac:dyDescent="0.25">
      <c r="A515" s="20">
        <v>45417</v>
      </c>
      <c r="B515" s="19" t="s">
        <v>117</v>
      </c>
      <c r="C515" s="19" t="s">
        <v>6</v>
      </c>
      <c r="D515" s="19" t="s">
        <v>138</v>
      </c>
      <c r="E515" s="19">
        <v>0</v>
      </c>
      <c r="F515" s="19">
        <v>-1</v>
      </c>
    </row>
    <row r="516" spans="1:6" x14ac:dyDescent="0.25">
      <c r="A516" s="20">
        <v>45417</v>
      </c>
      <c r="B516" s="19" t="s">
        <v>117</v>
      </c>
      <c r="C516" s="19" t="s">
        <v>7</v>
      </c>
      <c r="D516" s="19" t="s">
        <v>138</v>
      </c>
      <c r="E516" s="19">
        <v>0</v>
      </c>
      <c r="F516" s="19">
        <v>-1</v>
      </c>
    </row>
    <row r="517" spans="1:6" x14ac:dyDescent="0.25">
      <c r="A517" s="20">
        <v>45417</v>
      </c>
      <c r="B517" s="19" t="s">
        <v>117</v>
      </c>
      <c r="C517" s="19" t="s">
        <v>8</v>
      </c>
      <c r="D517" s="19" t="s">
        <v>138</v>
      </c>
      <c r="E517" s="19">
        <v>0</v>
      </c>
      <c r="F517" s="19">
        <v>-1</v>
      </c>
    </row>
    <row r="518" spans="1:6" x14ac:dyDescent="0.25">
      <c r="A518" s="20">
        <v>45417</v>
      </c>
      <c r="B518" s="19" t="s">
        <v>39</v>
      </c>
      <c r="C518" s="19" t="s">
        <v>6</v>
      </c>
      <c r="D518" s="19" t="s">
        <v>138</v>
      </c>
      <c r="E518" s="19">
        <v>0</v>
      </c>
      <c r="F518" s="19">
        <v>-1</v>
      </c>
    </row>
    <row r="519" spans="1:6" x14ac:dyDescent="0.25">
      <c r="A519" s="20">
        <v>45417</v>
      </c>
      <c r="B519" s="19" t="s">
        <v>39</v>
      </c>
      <c r="C519" s="19" t="s">
        <v>7</v>
      </c>
      <c r="D519" s="19" t="s">
        <v>138</v>
      </c>
      <c r="E519" s="19">
        <v>0</v>
      </c>
      <c r="F519" s="19">
        <v>-1</v>
      </c>
    </row>
    <row r="520" spans="1:6" x14ac:dyDescent="0.25">
      <c r="A520" s="20">
        <v>45417</v>
      </c>
      <c r="B520" s="19" t="s">
        <v>39</v>
      </c>
      <c r="C520" s="19" t="s">
        <v>8</v>
      </c>
      <c r="D520" s="19" t="s">
        <v>138</v>
      </c>
      <c r="E520" s="19">
        <v>0</v>
      </c>
      <c r="F520" s="19">
        <v>-1</v>
      </c>
    </row>
    <row r="521" spans="1:6" x14ac:dyDescent="0.25">
      <c r="A521" s="20">
        <v>45417</v>
      </c>
      <c r="B521" s="19" t="s">
        <v>113</v>
      </c>
      <c r="C521" s="19" t="s">
        <v>6</v>
      </c>
      <c r="D521" s="19" t="s">
        <v>138</v>
      </c>
      <c r="E521" s="19">
        <v>0</v>
      </c>
      <c r="F521" s="19">
        <v>-1</v>
      </c>
    </row>
    <row r="522" spans="1:6" x14ac:dyDescent="0.25">
      <c r="A522" s="20">
        <v>45417</v>
      </c>
      <c r="B522" s="19" t="s">
        <v>113</v>
      </c>
      <c r="C522" s="19" t="s">
        <v>7</v>
      </c>
      <c r="D522" s="19" t="s">
        <v>138</v>
      </c>
      <c r="E522" s="19">
        <v>0</v>
      </c>
      <c r="F522" s="19">
        <v>-1</v>
      </c>
    </row>
    <row r="523" spans="1:6" x14ac:dyDescent="0.25">
      <c r="A523" s="20">
        <v>45417</v>
      </c>
      <c r="B523" s="19" t="s">
        <v>113</v>
      </c>
      <c r="C523" s="19" t="s">
        <v>8</v>
      </c>
      <c r="D523" s="19" t="s">
        <v>138</v>
      </c>
      <c r="E523" s="19">
        <v>0</v>
      </c>
      <c r="F523" s="19">
        <v>-1</v>
      </c>
    </row>
    <row r="524" spans="1:6" x14ac:dyDescent="0.25">
      <c r="A524" s="20">
        <v>45417</v>
      </c>
      <c r="B524" s="19" t="s">
        <v>111</v>
      </c>
      <c r="C524" s="19" t="s">
        <v>6</v>
      </c>
      <c r="D524" s="19" t="s">
        <v>138</v>
      </c>
      <c r="E524" s="19">
        <v>0</v>
      </c>
      <c r="F524" s="19">
        <v>-1</v>
      </c>
    </row>
    <row r="525" spans="1:6" x14ac:dyDescent="0.25">
      <c r="A525" s="20">
        <v>45417</v>
      </c>
      <c r="B525" s="19" t="s">
        <v>111</v>
      </c>
      <c r="C525" s="19" t="s">
        <v>7</v>
      </c>
      <c r="D525" s="19" t="s">
        <v>138</v>
      </c>
      <c r="E525" s="19">
        <v>0</v>
      </c>
      <c r="F525" s="19">
        <v>-1</v>
      </c>
    </row>
    <row r="526" spans="1:6" x14ac:dyDescent="0.25">
      <c r="A526" s="20">
        <v>45417</v>
      </c>
      <c r="B526" s="19" t="s">
        <v>111</v>
      </c>
      <c r="C526" s="19" t="s">
        <v>8</v>
      </c>
      <c r="D526" s="19" t="s">
        <v>138</v>
      </c>
      <c r="E526" s="19">
        <v>0</v>
      </c>
      <c r="F526" s="19">
        <v>-1</v>
      </c>
    </row>
    <row r="527" spans="1:6" x14ac:dyDescent="0.25">
      <c r="A527" s="20">
        <v>45417</v>
      </c>
      <c r="B527" s="19" t="s">
        <v>109</v>
      </c>
      <c r="C527" s="19" t="s">
        <v>6</v>
      </c>
      <c r="D527" s="19" t="s">
        <v>138</v>
      </c>
      <c r="E527" s="19">
        <v>0</v>
      </c>
      <c r="F527" s="19">
        <v>-1</v>
      </c>
    </row>
    <row r="528" spans="1:6" x14ac:dyDescent="0.25">
      <c r="A528" s="20">
        <v>45417</v>
      </c>
      <c r="B528" s="19" t="s">
        <v>109</v>
      </c>
      <c r="C528" s="19" t="s">
        <v>7</v>
      </c>
      <c r="D528" s="19" t="s">
        <v>138</v>
      </c>
      <c r="E528" s="19">
        <v>0</v>
      </c>
      <c r="F528" s="19">
        <v>-1</v>
      </c>
    </row>
    <row r="529" spans="1:6" x14ac:dyDescent="0.25">
      <c r="A529" s="20">
        <v>45417</v>
      </c>
      <c r="B529" s="19" t="s">
        <v>109</v>
      </c>
      <c r="C529" s="19" t="s">
        <v>8</v>
      </c>
      <c r="D529" s="19" t="s">
        <v>138</v>
      </c>
      <c r="E529" s="19">
        <v>0</v>
      </c>
      <c r="F529" s="19">
        <v>-1</v>
      </c>
    </row>
    <row r="530" spans="1:6" x14ac:dyDescent="0.25">
      <c r="A530" s="20">
        <v>45417</v>
      </c>
      <c r="B530" s="19" t="s">
        <v>107</v>
      </c>
      <c r="C530" s="19" t="s">
        <v>6</v>
      </c>
      <c r="D530" s="19" t="s">
        <v>139</v>
      </c>
      <c r="E530" s="19">
        <v>2094</v>
      </c>
      <c r="F530" s="19">
        <v>-1</v>
      </c>
    </row>
    <row r="531" spans="1:6" x14ac:dyDescent="0.25">
      <c r="A531" s="20">
        <v>45417</v>
      </c>
      <c r="B531" s="19" t="s">
        <v>107</v>
      </c>
      <c r="C531" s="19" t="s">
        <v>7</v>
      </c>
      <c r="D531" s="19" t="s">
        <v>139</v>
      </c>
      <c r="E531" s="19">
        <v>2116</v>
      </c>
      <c r="F531" s="19">
        <v>-1</v>
      </c>
    </row>
    <row r="532" spans="1:6" x14ac:dyDescent="0.25">
      <c r="A532" s="20">
        <v>45417</v>
      </c>
      <c r="B532" s="19" t="s">
        <v>107</v>
      </c>
      <c r="C532" s="19" t="s">
        <v>8</v>
      </c>
      <c r="D532" s="19" t="s">
        <v>139</v>
      </c>
      <c r="E532" s="19">
        <v>1980</v>
      </c>
      <c r="F532" s="19">
        <v>-1</v>
      </c>
    </row>
    <row r="533" spans="1:6" x14ac:dyDescent="0.25">
      <c r="A533" s="20">
        <v>45417</v>
      </c>
      <c r="B533" s="19" t="s">
        <v>41</v>
      </c>
      <c r="C533" s="19" t="s">
        <v>6</v>
      </c>
      <c r="D533" s="19" t="s">
        <v>138</v>
      </c>
      <c r="E533" s="19">
        <v>0</v>
      </c>
      <c r="F533" s="19">
        <v>-1</v>
      </c>
    </row>
    <row r="534" spans="1:6" x14ac:dyDescent="0.25">
      <c r="A534" s="20">
        <v>45417</v>
      </c>
      <c r="B534" s="19" t="s">
        <v>41</v>
      </c>
      <c r="C534" s="19" t="s">
        <v>7</v>
      </c>
      <c r="D534" s="19" t="s">
        <v>138</v>
      </c>
      <c r="E534" s="19">
        <v>0</v>
      </c>
      <c r="F534" s="19">
        <v>-1</v>
      </c>
    </row>
    <row r="535" spans="1:6" x14ac:dyDescent="0.25">
      <c r="A535" s="20">
        <v>45417</v>
      </c>
      <c r="B535" s="19" t="s">
        <v>41</v>
      </c>
      <c r="C535" s="19" t="s">
        <v>8</v>
      </c>
      <c r="D535" s="19" t="s">
        <v>138</v>
      </c>
      <c r="E535" s="19">
        <v>0</v>
      </c>
      <c r="F535" s="19">
        <v>-1</v>
      </c>
    </row>
    <row r="536" spans="1:6" x14ac:dyDescent="0.25">
      <c r="A536" s="20">
        <v>45417</v>
      </c>
      <c r="B536" s="19" t="s">
        <v>43</v>
      </c>
      <c r="C536" s="19" t="s">
        <v>6</v>
      </c>
      <c r="D536" s="19" t="s">
        <v>138</v>
      </c>
      <c r="E536" s="19">
        <v>0</v>
      </c>
      <c r="F536" s="19">
        <v>-1</v>
      </c>
    </row>
    <row r="537" spans="1:6" x14ac:dyDescent="0.25">
      <c r="A537" s="20">
        <v>45417</v>
      </c>
      <c r="B537" s="19" t="s">
        <v>43</v>
      </c>
      <c r="C537" s="19" t="s">
        <v>7</v>
      </c>
      <c r="D537" s="19" t="s">
        <v>138</v>
      </c>
      <c r="E537" s="19">
        <v>0</v>
      </c>
      <c r="F537" s="19">
        <v>-1</v>
      </c>
    </row>
    <row r="538" spans="1:6" x14ac:dyDescent="0.25">
      <c r="A538" s="20">
        <v>45417</v>
      </c>
      <c r="B538" s="19" t="s">
        <v>43</v>
      </c>
      <c r="C538" s="19" t="s">
        <v>8</v>
      </c>
      <c r="D538" s="19" t="s">
        <v>138</v>
      </c>
      <c r="E538" s="19">
        <v>0</v>
      </c>
      <c r="F538" s="19">
        <v>-1</v>
      </c>
    </row>
    <row r="539" spans="1:6" x14ac:dyDescent="0.25">
      <c r="A539" s="20">
        <v>45417</v>
      </c>
      <c r="B539" s="19" t="s">
        <v>5</v>
      </c>
      <c r="C539" s="19" t="s">
        <v>6</v>
      </c>
      <c r="D539" s="19" t="s">
        <v>138</v>
      </c>
      <c r="E539" s="19">
        <v>0</v>
      </c>
      <c r="F539" s="19">
        <v>-1</v>
      </c>
    </row>
    <row r="540" spans="1:6" x14ac:dyDescent="0.25">
      <c r="A540" s="20">
        <v>45417</v>
      </c>
      <c r="B540" s="19" t="s">
        <v>5</v>
      </c>
      <c r="C540" s="19" t="s">
        <v>7</v>
      </c>
      <c r="D540" s="19" t="s">
        <v>138</v>
      </c>
      <c r="E540" s="19">
        <v>0</v>
      </c>
      <c r="F540" s="19">
        <v>-1</v>
      </c>
    </row>
    <row r="541" spans="1:6" x14ac:dyDescent="0.25">
      <c r="A541" s="20">
        <v>45417</v>
      </c>
      <c r="B541" s="19" t="s">
        <v>5</v>
      </c>
      <c r="C541" s="19" t="s">
        <v>8</v>
      </c>
      <c r="D541" s="19" t="s">
        <v>138</v>
      </c>
      <c r="E541" s="19">
        <v>0</v>
      </c>
      <c r="F541" s="19">
        <v>-1</v>
      </c>
    </row>
    <row r="542" spans="1:6" x14ac:dyDescent="0.25">
      <c r="A542" s="20">
        <v>45417</v>
      </c>
      <c r="B542" s="19" t="s">
        <v>9</v>
      </c>
      <c r="C542" s="19" t="s">
        <v>6</v>
      </c>
      <c r="D542" s="19" t="s">
        <v>138</v>
      </c>
      <c r="E542" s="19">
        <v>0</v>
      </c>
      <c r="F542" s="19">
        <v>-1</v>
      </c>
    </row>
    <row r="543" spans="1:6" x14ac:dyDescent="0.25">
      <c r="A543" s="20">
        <v>45417</v>
      </c>
      <c r="B543" s="19" t="s">
        <v>9</v>
      </c>
      <c r="C543" s="19" t="s">
        <v>7</v>
      </c>
      <c r="D543" s="19" t="s">
        <v>138</v>
      </c>
      <c r="E543" s="19">
        <v>0</v>
      </c>
      <c r="F543" s="19">
        <v>-1</v>
      </c>
    </row>
    <row r="544" spans="1:6" x14ac:dyDescent="0.25">
      <c r="A544" s="20">
        <v>45417</v>
      </c>
      <c r="B544" s="19" t="s">
        <v>9</v>
      </c>
      <c r="C544" s="19" t="s">
        <v>8</v>
      </c>
      <c r="D544" s="19" t="s">
        <v>138</v>
      </c>
      <c r="E544" s="19">
        <v>0</v>
      </c>
      <c r="F544" s="19">
        <v>-1</v>
      </c>
    </row>
    <row r="545" spans="1:6" x14ac:dyDescent="0.25">
      <c r="A545" s="20">
        <v>45417</v>
      </c>
      <c r="B545" s="19" t="s">
        <v>10</v>
      </c>
      <c r="C545" s="19" t="s">
        <v>6</v>
      </c>
      <c r="D545" s="19" t="s">
        <v>138</v>
      </c>
      <c r="E545" s="19">
        <v>0</v>
      </c>
      <c r="F545" s="19">
        <v>-1</v>
      </c>
    </row>
    <row r="546" spans="1:6" x14ac:dyDescent="0.25">
      <c r="A546" s="20">
        <v>45417</v>
      </c>
      <c r="B546" s="19" t="s">
        <v>10</v>
      </c>
      <c r="C546" s="19" t="s">
        <v>7</v>
      </c>
      <c r="D546" s="19" t="s">
        <v>138</v>
      </c>
      <c r="E546" s="19">
        <v>0</v>
      </c>
      <c r="F546" s="19">
        <v>-1</v>
      </c>
    </row>
    <row r="547" spans="1:6" x14ac:dyDescent="0.25">
      <c r="A547" s="20">
        <v>45417</v>
      </c>
      <c r="B547" s="19" t="s">
        <v>10</v>
      </c>
      <c r="C547" s="19" t="s">
        <v>8</v>
      </c>
      <c r="D547" s="19" t="s">
        <v>138</v>
      </c>
      <c r="E547" s="19">
        <v>0</v>
      </c>
      <c r="F547" s="19">
        <v>-1</v>
      </c>
    </row>
    <row r="548" spans="1:6" x14ac:dyDescent="0.25">
      <c r="A548" s="20">
        <v>45417</v>
      </c>
      <c r="B548" s="19" t="s">
        <v>11</v>
      </c>
      <c r="C548" s="19" t="s">
        <v>6</v>
      </c>
      <c r="D548" s="19" t="s">
        <v>139</v>
      </c>
      <c r="E548" s="19">
        <v>2476</v>
      </c>
      <c r="F548" s="19">
        <v>-1</v>
      </c>
    </row>
    <row r="549" spans="1:6" x14ac:dyDescent="0.25">
      <c r="A549" s="20">
        <v>45417</v>
      </c>
      <c r="B549" s="19" t="s">
        <v>11</v>
      </c>
      <c r="C549" s="19" t="s">
        <v>7</v>
      </c>
      <c r="D549" s="19" t="s">
        <v>139</v>
      </c>
      <c r="E549" s="19">
        <v>2205</v>
      </c>
      <c r="F549" s="19">
        <v>-1</v>
      </c>
    </row>
    <row r="550" spans="1:6" x14ac:dyDescent="0.25">
      <c r="A550" s="20">
        <v>45417</v>
      </c>
      <c r="B550" s="19" t="s">
        <v>11</v>
      </c>
      <c r="C550" s="19" t="s">
        <v>8</v>
      </c>
      <c r="D550" s="19" t="s">
        <v>139</v>
      </c>
      <c r="E550" s="19">
        <v>2498</v>
      </c>
      <c r="F550" s="19">
        <v>-1</v>
      </c>
    </row>
    <row r="551" spans="1:6" x14ac:dyDescent="0.25">
      <c r="A551" s="20">
        <v>45417</v>
      </c>
      <c r="B551" s="19" t="s">
        <v>12</v>
      </c>
      <c r="C551" s="19" t="s">
        <v>6</v>
      </c>
      <c r="D551" s="19" t="s">
        <v>138</v>
      </c>
      <c r="E551" s="19">
        <v>0</v>
      </c>
      <c r="F551" s="19">
        <v>-1</v>
      </c>
    </row>
    <row r="552" spans="1:6" x14ac:dyDescent="0.25">
      <c r="A552" s="20">
        <v>45417</v>
      </c>
      <c r="B552" s="19" t="s">
        <v>12</v>
      </c>
      <c r="C552" s="19" t="s">
        <v>7</v>
      </c>
      <c r="D552" s="19" t="s">
        <v>138</v>
      </c>
      <c r="E552" s="19">
        <v>0</v>
      </c>
      <c r="F552" s="19">
        <v>-1</v>
      </c>
    </row>
    <row r="553" spans="1:6" x14ac:dyDescent="0.25">
      <c r="A553" s="20">
        <v>45417</v>
      </c>
      <c r="B553" s="19" t="s">
        <v>12</v>
      </c>
      <c r="C553" s="19" t="s">
        <v>8</v>
      </c>
      <c r="D553" s="19" t="s">
        <v>138</v>
      </c>
      <c r="E553" s="19">
        <v>0</v>
      </c>
      <c r="F553" s="19">
        <v>-1</v>
      </c>
    </row>
    <row r="554" spans="1:6" x14ac:dyDescent="0.25">
      <c r="A554" s="20">
        <v>45417</v>
      </c>
      <c r="B554" s="19" t="s">
        <v>105</v>
      </c>
      <c r="C554" s="19" t="s">
        <v>6</v>
      </c>
      <c r="D554" s="19" t="s">
        <v>139</v>
      </c>
      <c r="E554" s="19">
        <v>2357</v>
      </c>
      <c r="F554" s="19">
        <v>-1</v>
      </c>
    </row>
    <row r="555" spans="1:6" x14ac:dyDescent="0.25">
      <c r="A555" s="20">
        <v>45417</v>
      </c>
      <c r="B555" s="19" t="s">
        <v>105</v>
      </c>
      <c r="C555" s="19" t="s">
        <v>7</v>
      </c>
      <c r="D555" s="19" t="s">
        <v>139</v>
      </c>
      <c r="E555" s="19">
        <v>2337</v>
      </c>
      <c r="F555" s="19">
        <v>-1</v>
      </c>
    </row>
    <row r="556" spans="1:6" x14ac:dyDescent="0.25">
      <c r="A556" s="20">
        <v>45417</v>
      </c>
      <c r="B556" s="19" t="s">
        <v>105</v>
      </c>
      <c r="C556" s="19" t="s">
        <v>8</v>
      </c>
      <c r="D556" s="19" t="s">
        <v>139</v>
      </c>
      <c r="E556" s="19">
        <v>2359</v>
      </c>
      <c r="F556" s="19">
        <v>-1</v>
      </c>
    </row>
    <row r="557" spans="1:6" x14ac:dyDescent="0.25">
      <c r="A557" s="20">
        <v>45417</v>
      </c>
      <c r="B557" s="19" t="s">
        <v>104</v>
      </c>
      <c r="C557" s="19" t="s">
        <v>6</v>
      </c>
      <c r="D557" s="19" t="s">
        <v>138</v>
      </c>
      <c r="E557" s="19">
        <v>0</v>
      </c>
      <c r="F557" s="19">
        <v>-1</v>
      </c>
    </row>
    <row r="558" spans="1:6" x14ac:dyDescent="0.25">
      <c r="A558" s="20">
        <v>45417</v>
      </c>
      <c r="B558" s="19" t="s">
        <v>104</v>
      </c>
      <c r="C558" s="19" t="s">
        <v>7</v>
      </c>
      <c r="D558" s="19" t="s">
        <v>138</v>
      </c>
      <c r="E558" s="19">
        <v>0</v>
      </c>
      <c r="F558" s="19">
        <v>-1</v>
      </c>
    </row>
    <row r="559" spans="1:6" x14ac:dyDescent="0.25">
      <c r="A559" s="20">
        <v>45417</v>
      </c>
      <c r="B559" s="19" t="s">
        <v>104</v>
      </c>
      <c r="C559" s="19" t="s">
        <v>8</v>
      </c>
      <c r="D559" s="19" t="s">
        <v>138</v>
      </c>
      <c r="E559" s="19">
        <v>0</v>
      </c>
      <c r="F559" s="19">
        <v>-1</v>
      </c>
    </row>
    <row r="560" spans="1:6" x14ac:dyDescent="0.25">
      <c r="A560" s="20">
        <v>45417</v>
      </c>
      <c r="B560" s="19" t="s">
        <v>13</v>
      </c>
      <c r="C560" s="19" t="s">
        <v>6</v>
      </c>
      <c r="D560" s="19" t="s">
        <v>139</v>
      </c>
      <c r="E560" s="19">
        <v>2221</v>
      </c>
      <c r="F560" s="19">
        <v>-1</v>
      </c>
    </row>
    <row r="561" spans="1:6" x14ac:dyDescent="0.25">
      <c r="A561" s="20">
        <v>45417</v>
      </c>
      <c r="B561" s="19" t="s">
        <v>13</v>
      </c>
      <c r="C561" s="19" t="s">
        <v>7</v>
      </c>
      <c r="D561" s="19" t="s">
        <v>139</v>
      </c>
      <c r="E561" s="19">
        <v>2225</v>
      </c>
      <c r="F561" s="19">
        <v>-1</v>
      </c>
    </row>
    <row r="562" spans="1:6" x14ac:dyDescent="0.25">
      <c r="A562" s="20">
        <v>45417</v>
      </c>
      <c r="B562" s="19" t="s">
        <v>13</v>
      </c>
      <c r="C562" s="19" t="s">
        <v>8</v>
      </c>
      <c r="D562" s="19" t="s">
        <v>139</v>
      </c>
      <c r="E562" s="19">
        <v>2223</v>
      </c>
      <c r="F562" s="19">
        <v>-1</v>
      </c>
    </row>
    <row r="563" spans="1:6" x14ac:dyDescent="0.25">
      <c r="A563" s="20">
        <v>45417</v>
      </c>
      <c r="B563" s="19" t="s">
        <v>103</v>
      </c>
      <c r="C563" s="19" t="s">
        <v>6</v>
      </c>
      <c r="D563" s="19" t="s">
        <v>138</v>
      </c>
      <c r="E563" s="19">
        <v>0</v>
      </c>
      <c r="F563" s="19">
        <v>-1</v>
      </c>
    </row>
    <row r="564" spans="1:6" x14ac:dyDescent="0.25">
      <c r="A564" s="20">
        <v>45417</v>
      </c>
      <c r="B564" s="19" t="s">
        <v>103</v>
      </c>
      <c r="C564" s="19" t="s">
        <v>7</v>
      </c>
      <c r="D564" s="19" t="s">
        <v>138</v>
      </c>
      <c r="E564" s="19">
        <v>0</v>
      </c>
      <c r="F564" s="19">
        <v>-1</v>
      </c>
    </row>
    <row r="565" spans="1:6" x14ac:dyDescent="0.25">
      <c r="A565" s="20">
        <v>45417</v>
      </c>
      <c r="B565" s="19" t="s">
        <v>103</v>
      </c>
      <c r="C565" s="19" t="s">
        <v>8</v>
      </c>
      <c r="D565" s="19" t="s">
        <v>138</v>
      </c>
      <c r="E565" s="19">
        <v>0</v>
      </c>
      <c r="F565" s="19">
        <v>-1</v>
      </c>
    </row>
    <row r="566" spans="1:6" x14ac:dyDescent="0.25">
      <c r="A566" s="20">
        <v>45417</v>
      </c>
      <c r="B566" s="19" t="s">
        <v>101</v>
      </c>
      <c r="C566" s="19" t="s">
        <v>6</v>
      </c>
      <c r="D566" s="19" t="s">
        <v>138</v>
      </c>
      <c r="E566" s="19">
        <v>0</v>
      </c>
      <c r="F566" s="19">
        <v>-1</v>
      </c>
    </row>
    <row r="567" spans="1:6" x14ac:dyDescent="0.25">
      <c r="A567" s="20">
        <v>45417</v>
      </c>
      <c r="B567" s="19" t="s">
        <v>101</v>
      </c>
      <c r="C567" s="19" t="s">
        <v>7</v>
      </c>
      <c r="D567" s="19" t="s">
        <v>138</v>
      </c>
      <c r="E567" s="19">
        <v>0</v>
      </c>
      <c r="F567" s="19">
        <v>-1</v>
      </c>
    </row>
    <row r="568" spans="1:6" x14ac:dyDescent="0.25">
      <c r="A568" s="20">
        <v>45417</v>
      </c>
      <c r="B568" s="19" t="s">
        <v>101</v>
      </c>
      <c r="C568" s="19" t="s">
        <v>8</v>
      </c>
      <c r="D568" s="19" t="s">
        <v>138</v>
      </c>
      <c r="E568" s="19">
        <v>0</v>
      </c>
      <c r="F568" s="19">
        <v>-1</v>
      </c>
    </row>
    <row r="569" spans="1:6" x14ac:dyDescent="0.25">
      <c r="A569" s="20">
        <v>45417</v>
      </c>
      <c r="B569" s="19" t="s">
        <v>99</v>
      </c>
      <c r="C569" s="19" t="s">
        <v>6</v>
      </c>
      <c r="D569" s="19" t="s">
        <v>138</v>
      </c>
      <c r="E569" s="19">
        <v>0</v>
      </c>
      <c r="F569" s="19">
        <v>-1</v>
      </c>
    </row>
    <row r="570" spans="1:6" x14ac:dyDescent="0.25">
      <c r="A570" s="20">
        <v>45417</v>
      </c>
      <c r="B570" s="19" t="s">
        <v>99</v>
      </c>
      <c r="C570" s="19" t="s">
        <v>7</v>
      </c>
      <c r="D570" s="19" t="s">
        <v>138</v>
      </c>
      <c r="E570" s="19">
        <v>0</v>
      </c>
      <c r="F570" s="19">
        <v>-1</v>
      </c>
    </row>
    <row r="571" spans="1:6" x14ac:dyDescent="0.25">
      <c r="A571" s="20">
        <v>45417</v>
      </c>
      <c r="B571" s="19" t="s">
        <v>99</v>
      </c>
      <c r="C571" s="19" t="s">
        <v>8</v>
      </c>
      <c r="D571" s="19" t="s">
        <v>138</v>
      </c>
      <c r="E571" s="19">
        <v>0</v>
      </c>
      <c r="F571" s="19">
        <v>-1</v>
      </c>
    </row>
    <row r="572" spans="1:6" x14ac:dyDescent="0.25">
      <c r="A572" s="20">
        <v>45417</v>
      </c>
      <c r="B572" s="19" t="s">
        <v>97</v>
      </c>
      <c r="C572" s="19" t="s">
        <v>6</v>
      </c>
      <c r="D572" s="19" t="s">
        <v>138</v>
      </c>
      <c r="E572" s="19">
        <v>0</v>
      </c>
      <c r="F572" s="19">
        <v>-1</v>
      </c>
    </row>
    <row r="573" spans="1:6" x14ac:dyDescent="0.25">
      <c r="A573" s="20">
        <v>45417</v>
      </c>
      <c r="B573" s="19" t="s">
        <v>97</v>
      </c>
      <c r="C573" s="19" t="s">
        <v>7</v>
      </c>
      <c r="D573" s="19" t="s">
        <v>138</v>
      </c>
      <c r="E573" s="19">
        <v>0</v>
      </c>
      <c r="F573" s="19">
        <v>-1</v>
      </c>
    </row>
    <row r="574" spans="1:6" x14ac:dyDescent="0.25">
      <c r="A574" s="20">
        <v>45417</v>
      </c>
      <c r="B574" s="19" t="s">
        <v>97</v>
      </c>
      <c r="C574" s="19" t="s">
        <v>8</v>
      </c>
      <c r="D574" s="19" t="s">
        <v>138</v>
      </c>
      <c r="E574" s="19">
        <v>0</v>
      </c>
      <c r="F574" s="19">
        <v>-1</v>
      </c>
    </row>
    <row r="575" spans="1:6" x14ac:dyDescent="0.25">
      <c r="A575" s="20">
        <v>45417</v>
      </c>
      <c r="B575" s="19" t="s">
        <v>95</v>
      </c>
      <c r="C575" s="19" t="s">
        <v>6</v>
      </c>
      <c r="D575" s="19" t="s">
        <v>138</v>
      </c>
      <c r="E575" s="19">
        <v>0</v>
      </c>
      <c r="F575" s="19">
        <v>-1</v>
      </c>
    </row>
    <row r="576" spans="1:6" x14ac:dyDescent="0.25">
      <c r="A576" s="20">
        <v>45417</v>
      </c>
      <c r="B576" s="19" t="s">
        <v>95</v>
      </c>
      <c r="C576" s="19" t="s">
        <v>7</v>
      </c>
      <c r="D576" s="19" t="s">
        <v>138</v>
      </c>
      <c r="E576" s="19">
        <v>0</v>
      </c>
      <c r="F576" s="19">
        <v>-1</v>
      </c>
    </row>
    <row r="577" spans="1:6" x14ac:dyDescent="0.25">
      <c r="A577" s="20">
        <v>45417</v>
      </c>
      <c r="B577" s="19" t="s">
        <v>95</v>
      </c>
      <c r="C577" s="19" t="s">
        <v>8</v>
      </c>
      <c r="D577" s="19" t="s">
        <v>138</v>
      </c>
      <c r="E577" s="19">
        <v>0</v>
      </c>
      <c r="F577" s="19">
        <v>-1</v>
      </c>
    </row>
    <row r="578" spans="1:6" x14ac:dyDescent="0.25">
      <c r="A578" s="20">
        <v>45417</v>
      </c>
      <c r="B578" s="19" t="s">
        <v>14</v>
      </c>
      <c r="C578" s="19" t="s">
        <v>6</v>
      </c>
      <c r="D578" s="19" t="s">
        <v>138</v>
      </c>
      <c r="E578" s="19">
        <v>0</v>
      </c>
      <c r="F578" s="19">
        <v>-1</v>
      </c>
    </row>
    <row r="579" spans="1:6" x14ac:dyDescent="0.25">
      <c r="A579" s="20">
        <v>45417</v>
      </c>
      <c r="B579" s="19" t="s">
        <v>14</v>
      </c>
      <c r="C579" s="19" t="s">
        <v>7</v>
      </c>
      <c r="D579" s="19" t="s">
        <v>138</v>
      </c>
      <c r="E579" s="19">
        <v>0</v>
      </c>
      <c r="F579" s="19">
        <v>-1</v>
      </c>
    </row>
    <row r="580" spans="1:6" x14ac:dyDescent="0.25">
      <c r="A580" s="20">
        <v>45417</v>
      </c>
      <c r="B580" s="19" t="s">
        <v>14</v>
      </c>
      <c r="C580" s="19" t="s">
        <v>8</v>
      </c>
      <c r="D580" s="19" t="s">
        <v>138</v>
      </c>
      <c r="E580" s="19">
        <v>0</v>
      </c>
      <c r="F580" s="19">
        <v>-1</v>
      </c>
    </row>
    <row r="581" spans="1:6" x14ac:dyDescent="0.25">
      <c r="A581" s="20">
        <v>45417</v>
      </c>
      <c r="B581" s="19" t="s">
        <v>91</v>
      </c>
      <c r="C581" s="19" t="s">
        <v>6</v>
      </c>
      <c r="D581" s="19" t="s">
        <v>138</v>
      </c>
      <c r="E581" s="19">
        <v>0</v>
      </c>
      <c r="F581" s="19">
        <v>-1</v>
      </c>
    </row>
    <row r="582" spans="1:6" x14ac:dyDescent="0.25">
      <c r="A582" s="20">
        <v>45417</v>
      </c>
      <c r="B582" s="19" t="s">
        <v>91</v>
      </c>
      <c r="C582" s="19" t="s">
        <v>7</v>
      </c>
      <c r="D582" s="19" t="s">
        <v>138</v>
      </c>
      <c r="E582" s="19">
        <v>0</v>
      </c>
      <c r="F582" s="19">
        <v>-1</v>
      </c>
    </row>
    <row r="583" spans="1:6" x14ac:dyDescent="0.25">
      <c r="A583" s="20">
        <v>45417</v>
      </c>
      <c r="B583" s="19" t="s">
        <v>91</v>
      </c>
      <c r="C583" s="19" t="s">
        <v>8</v>
      </c>
      <c r="D583" s="19" t="s">
        <v>138</v>
      </c>
      <c r="E583" s="19">
        <v>0</v>
      </c>
      <c r="F583" s="19">
        <v>-1</v>
      </c>
    </row>
    <row r="584" spans="1:6" x14ac:dyDescent="0.25">
      <c r="A584" s="20">
        <v>45417</v>
      </c>
      <c r="B584" s="19" t="s">
        <v>15</v>
      </c>
      <c r="C584" s="19" t="s">
        <v>6</v>
      </c>
      <c r="D584" s="19" t="s">
        <v>138</v>
      </c>
      <c r="E584" s="19">
        <v>0</v>
      </c>
      <c r="F584" s="19">
        <v>-1</v>
      </c>
    </row>
    <row r="585" spans="1:6" x14ac:dyDescent="0.25">
      <c r="A585" s="20">
        <v>45417</v>
      </c>
      <c r="B585" s="19" t="s">
        <v>15</v>
      </c>
      <c r="C585" s="19" t="s">
        <v>7</v>
      </c>
      <c r="D585" s="19" t="s">
        <v>138</v>
      </c>
      <c r="E585" s="19">
        <v>0</v>
      </c>
      <c r="F585" s="19">
        <v>-1</v>
      </c>
    </row>
    <row r="586" spans="1:6" x14ac:dyDescent="0.25">
      <c r="A586" s="20">
        <v>45417</v>
      </c>
      <c r="B586" s="19" t="s">
        <v>15</v>
      </c>
      <c r="C586" s="19" t="s">
        <v>8</v>
      </c>
      <c r="D586" s="19" t="s">
        <v>138</v>
      </c>
      <c r="E586" s="19">
        <v>0</v>
      </c>
      <c r="F586" s="19">
        <v>-1</v>
      </c>
    </row>
    <row r="587" spans="1:6" x14ac:dyDescent="0.25">
      <c r="A587" s="20">
        <v>45417</v>
      </c>
      <c r="B587" s="19" t="s">
        <v>89</v>
      </c>
      <c r="C587" s="19" t="s">
        <v>6</v>
      </c>
      <c r="D587" s="19" t="s">
        <v>138</v>
      </c>
      <c r="E587" s="19">
        <v>0</v>
      </c>
      <c r="F587" s="19">
        <v>-1</v>
      </c>
    </row>
    <row r="588" spans="1:6" x14ac:dyDescent="0.25">
      <c r="A588" s="20">
        <v>45417</v>
      </c>
      <c r="B588" s="19" t="s">
        <v>89</v>
      </c>
      <c r="C588" s="19" t="s">
        <v>7</v>
      </c>
      <c r="D588" s="19" t="s">
        <v>138</v>
      </c>
      <c r="E588" s="19">
        <v>0</v>
      </c>
      <c r="F588" s="19">
        <v>-1</v>
      </c>
    </row>
    <row r="589" spans="1:6" x14ac:dyDescent="0.25">
      <c r="A589" s="20">
        <v>45417</v>
      </c>
      <c r="B589" s="19" t="s">
        <v>89</v>
      </c>
      <c r="C589" s="19" t="s">
        <v>8</v>
      </c>
      <c r="D589" s="19" t="s">
        <v>138</v>
      </c>
      <c r="E589" s="19">
        <v>0</v>
      </c>
      <c r="F589" s="19">
        <v>-1</v>
      </c>
    </row>
    <row r="590" spans="1:6" x14ac:dyDescent="0.25">
      <c r="A590" s="20">
        <v>45417</v>
      </c>
      <c r="B590" s="19" t="s">
        <v>16</v>
      </c>
      <c r="C590" s="19" t="s">
        <v>6</v>
      </c>
      <c r="D590" s="19" t="s">
        <v>138</v>
      </c>
      <c r="E590" s="19">
        <v>0</v>
      </c>
      <c r="F590" s="19">
        <v>-1</v>
      </c>
    </row>
    <row r="591" spans="1:6" x14ac:dyDescent="0.25">
      <c r="A591" s="20">
        <v>45417</v>
      </c>
      <c r="B591" s="19" t="s">
        <v>16</v>
      </c>
      <c r="C591" s="19" t="s">
        <v>7</v>
      </c>
      <c r="D591" s="19" t="s">
        <v>138</v>
      </c>
      <c r="E591" s="19">
        <v>0</v>
      </c>
      <c r="F591" s="19">
        <v>-1</v>
      </c>
    </row>
    <row r="592" spans="1:6" x14ac:dyDescent="0.25">
      <c r="A592" s="20">
        <v>45417</v>
      </c>
      <c r="B592" s="19" t="s">
        <v>16</v>
      </c>
      <c r="C592" s="19" t="s">
        <v>8</v>
      </c>
      <c r="D592" s="19" t="s">
        <v>138</v>
      </c>
      <c r="E592" s="19">
        <v>0</v>
      </c>
      <c r="F592" s="19">
        <v>-1</v>
      </c>
    </row>
    <row r="593" spans="1:6" x14ac:dyDescent="0.25">
      <c r="A593" s="20">
        <v>45417</v>
      </c>
      <c r="B593" s="19" t="s">
        <v>88</v>
      </c>
      <c r="C593" s="19" t="s">
        <v>6</v>
      </c>
      <c r="D593" s="19" t="s">
        <v>138</v>
      </c>
      <c r="E593" s="19">
        <v>0</v>
      </c>
      <c r="F593" s="19">
        <v>-1</v>
      </c>
    </row>
    <row r="594" spans="1:6" x14ac:dyDescent="0.25">
      <c r="A594" s="20">
        <v>45417</v>
      </c>
      <c r="B594" s="19" t="s">
        <v>88</v>
      </c>
      <c r="C594" s="19" t="s">
        <v>7</v>
      </c>
      <c r="D594" s="19" t="s">
        <v>138</v>
      </c>
      <c r="E594" s="19">
        <v>0</v>
      </c>
      <c r="F594" s="19">
        <v>-1</v>
      </c>
    </row>
    <row r="595" spans="1:6" x14ac:dyDescent="0.25">
      <c r="A595" s="20">
        <v>45417</v>
      </c>
      <c r="B595" s="19" t="s">
        <v>88</v>
      </c>
      <c r="C595" s="19" t="s">
        <v>8</v>
      </c>
      <c r="D595" s="19" t="s">
        <v>138</v>
      </c>
      <c r="E595" s="19">
        <v>0</v>
      </c>
      <c r="F595" s="19">
        <v>-1</v>
      </c>
    </row>
    <row r="596" spans="1:6" x14ac:dyDescent="0.25">
      <c r="A596" s="20">
        <v>45417</v>
      </c>
      <c r="B596" s="19" t="s">
        <v>17</v>
      </c>
      <c r="C596" s="19" t="s">
        <v>6</v>
      </c>
      <c r="D596" s="19" t="s">
        <v>138</v>
      </c>
      <c r="E596" s="19">
        <v>0</v>
      </c>
      <c r="F596" s="19">
        <v>-1</v>
      </c>
    </row>
    <row r="597" spans="1:6" x14ac:dyDescent="0.25">
      <c r="A597" s="20">
        <v>45417</v>
      </c>
      <c r="B597" s="19" t="s">
        <v>17</v>
      </c>
      <c r="C597" s="19" t="s">
        <v>7</v>
      </c>
      <c r="D597" s="19" t="s">
        <v>138</v>
      </c>
      <c r="E597" s="19">
        <v>0</v>
      </c>
      <c r="F597" s="19">
        <v>-1</v>
      </c>
    </row>
    <row r="598" spans="1:6" x14ac:dyDescent="0.25">
      <c r="A598" s="20">
        <v>45417</v>
      </c>
      <c r="B598" s="19" t="s">
        <v>17</v>
      </c>
      <c r="C598" s="19" t="s">
        <v>8</v>
      </c>
      <c r="D598" s="19" t="s">
        <v>138</v>
      </c>
      <c r="E598" s="19">
        <v>0</v>
      </c>
      <c r="F598" s="19">
        <v>-1</v>
      </c>
    </row>
    <row r="599" spans="1:6" x14ac:dyDescent="0.25">
      <c r="A599" s="20">
        <v>45417</v>
      </c>
      <c r="B599" s="19" t="s">
        <v>19</v>
      </c>
      <c r="C599" s="19" t="s">
        <v>6</v>
      </c>
      <c r="D599" s="19" t="s">
        <v>138</v>
      </c>
      <c r="E599" s="19">
        <v>0</v>
      </c>
      <c r="F599" s="19">
        <v>-1</v>
      </c>
    </row>
    <row r="600" spans="1:6" x14ac:dyDescent="0.25">
      <c r="A600" s="20">
        <v>45417</v>
      </c>
      <c r="B600" s="19" t="s">
        <v>19</v>
      </c>
      <c r="C600" s="19" t="s">
        <v>7</v>
      </c>
      <c r="D600" s="19" t="s">
        <v>138</v>
      </c>
      <c r="E600" s="19">
        <v>0</v>
      </c>
      <c r="F600" s="19">
        <v>-1</v>
      </c>
    </row>
    <row r="601" spans="1:6" x14ac:dyDescent="0.25">
      <c r="A601" s="20">
        <v>45417</v>
      </c>
      <c r="B601" s="19" t="s">
        <v>19</v>
      </c>
      <c r="C601" s="19" t="s">
        <v>8</v>
      </c>
      <c r="D601" s="19" t="s">
        <v>138</v>
      </c>
      <c r="E601" s="19">
        <v>0</v>
      </c>
      <c r="F601" s="19">
        <v>-1</v>
      </c>
    </row>
    <row r="602" spans="1:6" x14ac:dyDescent="0.25">
      <c r="A602" s="20">
        <v>45417</v>
      </c>
      <c r="B602" s="19" t="s">
        <v>18</v>
      </c>
      <c r="C602" s="19" t="s">
        <v>6</v>
      </c>
      <c r="D602" s="19" t="s">
        <v>138</v>
      </c>
      <c r="E602" s="19">
        <v>0</v>
      </c>
      <c r="F602" s="19">
        <v>-1</v>
      </c>
    </row>
    <row r="603" spans="1:6" x14ac:dyDescent="0.25">
      <c r="A603" s="20">
        <v>45417</v>
      </c>
      <c r="B603" s="19" t="s">
        <v>18</v>
      </c>
      <c r="C603" s="19" t="s">
        <v>7</v>
      </c>
      <c r="D603" s="19" t="s">
        <v>138</v>
      </c>
      <c r="E603" s="19">
        <v>0</v>
      </c>
      <c r="F603" s="19">
        <v>-1</v>
      </c>
    </row>
    <row r="604" spans="1:6" x14ac:dyDescent="0.25">
      <c r="A604" s="20">
        <v>45417</v>
      </c>
      <c r="B604" s="19" t="s">
        <v>18</v>
      </c>
      <c r="C604" s="19" t="s">
        <v>8</v>
      </c>
      <c r="D604" s="19" t="s">
        <v>138</v>
      </c>
      <c r="E604" s="19">
        <v>0</v>
      </c>
      <c r="F604" s="19">
        <v>-1</v>
      </c>
    </row>
    <row r="605" spans="1:6" x14ac:dyDescent="0.25">
      <c r="A605" s="20">
        <v>45417</v>
      </c>
      <c r="B605" s="19" t="s">
        <v>87</v>
      </c>
      <c r="C605" s="19" t="s">
        <v>6</v>
      </c>
      <c r="D605" s="19" t="s">
        <v>138</v>
      </c>
      <c r="E605" s="19">
        <v>0</v>
      </c>
      <c r="F605" s="19">
        <v>-1</v>
      </c>
    </row>
    <row r="606" spans="1:6" x14ac:dyDescent="0.25">
      <c r="A606" s="20">
        <v>45417</v>
      </c>
      <c r="B606" s="19" t="s">
        <v>87</v>
      </c>
      <c r="C606" s="19" t="s">
        <v>7</v>
      </c>
      <c r="D606" s="19" t="s">
        <v>138</v>
      </c>
      <c r="E606" s="19">
        <v>0</v>
      </c>
      <c r="F606" s="19">
        <v>-1</v>
      </c>
    </row>
    <row r="607" spans="1:6" x14ac:dyDescent="0.25">
      <c r="A607" s="20">
        <v>45417</v>
      </c>
      <c r="B607" s="19" t="s">
        <v>87</v>
      </c>
      <c r="C607" s="19" t="s">
        <v>8</v>
      </c>
      <c r="D607" s="19" t="s">
        <v>138</v>
      </c>
      <c r="E607" s="19">
        <v>0</v>
      </c>
      <c r="F607" s="19">
        <v>-1</v>
      </c>
    </row>
    <row r="608" spans="1:6" x14ac:dyDescent="0.25">
      <c r="A608" s="20">
        <v>45417</v>
      </c>
      <c r="B608" s="19" t="s">
        <v>42</v>
      </c>
      <c r="C608" s="19" t="s">
        <v>6</v>
      </c>
      <c r="D608" s="19" t="s">
        <v>138</v>
      </c>
      <c r="E608" s="19">
        <v>0</v>
      </c>
      <c r="F608" s="19">
        <v>-1</v>
      </c>
    </row>
    <row r="609" spans="1:6" x14ac:dyDescent="0.25">
      <c r="A609" s="20">
        <v>45417</v>
      </c>
      <c r="B609" s="19" t="s">
        <v>42</v>
      </c>
      <c r="C609" s="19" t="s">
        <v>7</v>
      </c>
      <c r="D609" s="19" t="s">
        <v>138</v>
      </c>
      <c r="E609" s="19">
        <v>0</v>
      </c>
      <c r="F609" s="19">
        <v>-1</v>
      </c>
    </row>
    <row r="610" spans="1:6" x14ac:dyDescent="0.25">
      <c r="A610" s="20">
        <v>45417</v>
      </c>
      <c r="B610" s="19" t="s">
        <v>42</v>
      </c>
      <c r="C610" s="19" t="s">
        <v>8</v>
      </c>
      <c r="D610" s="19" t="s">
        <v>138</v>
      </c>
      <c r="E610" s="19">
        <v>0</v>
      </c>
      <c r="F610" s="19">
        <v>-1</v>
      </c>
    </row>
    <row r="611" spans="1:6" x14ac:dyDescent="0.25">
      <c r="A611" s="20">
        <v>45417</v>
      </c>
      <c r="B611" s="19" t="s">
        <v>86</v>
      </c>
      <c r="C611" s="19" t="s">
        <v>6</v>
      </c>
      <c r="D611" s="19" t="s">
        <v>138</v>
      </c>
      <c r="E611" s="19">
        <v>0</v>
      </c>
      <c r="F611" s="19">
        <v>-1</v>
      </c>
    </row>
    <row r="612" spans="1:6" x14ac:dyDescent="0.25">
      <c r="A612" s="20">
        <v>45417</v>
      </c>
      <c r="B612" s="19" t="s">
        <v>86</v>
      </c>
      <c r="C612" s="19" t="s">
        <v>7</v>
      </c>
      <c r="D612" s="19" t="s">
        <v>138</v>
      </c>
      <c r="E612" s="19">
        <v>0</v>
      </c>
      <c r="F612" s="19">
        <v>-1</v>
      </c>
    </row>
    <row r="613" spans="1:6" x14ac:dyDescent="0.25">
      <c r="A613" s="20">
        <v>45417</v>
      </c>
      <c r="B613" s="19" t="s">
        <v>86</v>
      </c>
      <c r="C613" s="19" t="s">
        <v>8</v>
      </c>
      <c r="D613" s="19" t="s">
        <v>138</v>
      </c>
      <c r="E613" s="19">
        <v>0</v>
      </c>
      <c r="F613" s="19">
        <v>-1</v>
      </c>
    </row>
    <row r="614" spans="1:6" x14ac:dyDescent="0.25">
      <c r="A614" s="20">
        <v>45417</v>
      </c>
      <c r="B614" s="19" t="s">
        <v>38</v>
      </c>
      <c r="C614" s="19" t="s">
        <v>6</v>
      </c>
      <c r="D614" s="19" t="s">
        <v>138</v>
      </c>
      <c r="E614" s="19">
        <v>0</v>
      </c>
      <c r="F614" s="19">
        <v>-1</v>
      </c>
    </row>
    <row r="615" spans="1:6" x14ac:dyDescent="0.25">
      <c r="A615" s="20">
        <v>45417</v>
      </c>
      <c r="B615" s="19" t="s">
        <v>38</v>
      </c>
      <c r="C615" s="19" t="s">
        <v>7</v>
      </c>
      <c r="D615" s="19" t="s">
        <v>138</v>
      </c>
      <c r="E615" s="19">
        <v>0</v>
      </c>
      <c r="F615" s="19">
        <v>-1</v>
      </c>
    </row>
    <row r="616" spans="1:6" x14ac:dyDescent="0.25">
      <c r="A616" s="20">
        <v>45417</v>
      </c>
      <c r="B616" s="19" t="s">
        <v>38</v>
      </c>
      <c r="C616" s="19" t="s">
        <v>8</v>
      </c>
      <c r="D616" s="19" t="s">
        <v>138</v>
      </c>
      <c r="E616" s="19">
        <v>0</v>
      </c>
      <c r="F616" s="19">
        <v>-1</v>
      </c>
    </row>
    <row r="617" spans="1:6" x14ac:dyDescent="0.25">
      <c r="A617" s="20">
        <v>45417</v>
      </c>
      <c r="B617" s="19" t="s">
        <v>83</v>
      </c>
      <c r="C617" s="19" t="s">
        <v>6</v>
      </c>
      <c r="D617" s="19" t="s">
        <v>138</v>
      </c>
      <c r="E617" s="19">
        <v>0</v>
      </c>
      <c r="F617" s="19">
        <v>-1</v>
      </c>
    </row>
    <row r="618" spans="1:6" x14ac:dyDescent="0.25">
      <c r="A618" s="20">
        <v>45417</v>
      </c>
      <c r="B618" s="19" t="s">
        <v>83</v>
      </c>
      <c r="C618" s="19" t="s">
        <v>7</v>
      </c>
      <c r="D618" s="19" t="s">
        <v>138</v>
      </c>
      <c r="E618" s="19">
        <v>0</v>
      </c>
      <c r="F618" s="19">
        <v>-1</v>
      </c>
    </row>
    <row r="619" spans="1:6" x14ac:dyDescent="0.25">
      <c r="A619" s="20">
        <v>45417</v>
      </c>
      <c r="B619" s="19" t="s">
        <v>83</v>
      </c>
      <c r="C619" s="19" t="s">
        <v>8</v>
      </c>
      <c r="D619" s="19" t="s">
        <v>138</v>
      </c>
      <c r="E619" s="19">
        <v>0</v>
      </c>
      <c r="F619" s="19">
        <v>-1</v>
      </c>
    </row>
    <row r="620" spans="1:6" x14ac:dyDescent="0.25">
      <c r="A620" s="20">
        <v>45417</v>
      </c>
      <c r="B620" s="19" t="s">
        <v>20</v>
      </c>
      <c r="C620" s="19" t="s">
        <v>6</v>
      </c>
      <c r="D620" s="19" t="s">
        <v>138</v>
      </c>
      <c r="E620" s="19">
        <v>0</v>
      </c>
      <c r="F620" s="19">
        <v>-1</v>
      </c>
    </row>
    <row r="621" spans="1:6" x14ac:dyDescent="0.25">
      <c r="A621" s="20">
        <v>45417</v>
      </c>
      <c r="B621" s="19" t="s">
        <v>20</v>
      </c>
      <c r="C621" s="19" t="s">
        <v>7</v>
      </c>
      <c r="D621" s="19" t="s">
        <v>138</v>
      </c>
      <c r="E621" s="19">
        <v>0</v>
      </c>
      <c r="F621" s="19">
        <v>-1</v>
      </c>
    </row>
    <row r="622" spans="1:6" x14ac:dyDescent="0.25">
      <c r="A622" s="20">
        <v>45417</v>
      </c>
      <c r="B622" s="19" t="s">
        <v>20</v>
      </c>
      <c r="C622" s="19" t="s">
        <v>8</v>
      </c>
      <c r="D622" s="19" t="s">
        <v>138</v>
      </c>
      <c r="E622" s="19">
        <v>0</v>
      </c>
      <c r="F622" s="19">
        <v>-1</v>
      </c>
    </row>
    <row r="623" spans="1:6" x14ac:dyDescent="0.25">
      <c r="A623" s="20">
        <v>45417</v>
      </c>
      <c r="B623" s="19" t="s">
        <v>21</v>
      </c>
      <c r="C623" s="19" t="s">
        <v>6</v>
      </c>
      <c r="D623" s="19" t="s">
        <v>138</v>
      </c>
      <c r="E623" s="19">
        <v>0</v>
      </c>
      <c r="F623" s="19">
        <v>-1</v>
      </c>
    </row>
    <row r="624" spans="1:6" x14ac:dyDescent="0.25">
      <c r="A624" s="20">
        <v>45417</v>
      </c>
      <c r="B624" s="19" t="s">
        <v>21</v>
      </c>
      <c r="C624" s="19" t="s">
        <v>7</v>
      </c>
      <c r="D624" s="19" t="s">
        <v>138</v>
      </c>
      <c r="E624" s="19">
        <v>0</v>
      </c>
      <c r="F624" s="19">
        <v>-1</v>
      </c>
    </row>
    <row r="625" spans="1:6" x14ac:dyDescent="0.25">
      <c r="A625" s="20">
        <v>45417</v>
      </c>
      <c r="B625" s="19" t="s">
        <v>21</v>
      </c>
      <c r="C625" s="19" t="s">
        <v>8</v>
      </c>
      <c r="D625" s="19" t="s">
        <v>138</v>
      </c>
      <c r="E625" s="19">
        <v>0</v>
      </c>
      <c r="F625" s="19">
        <v>-1</v>
      </c>
    </row>
    <row r="626" spans="1:6" x14ac:dyDescent="0.25">
      <c r="A626" s="20">
        <v>45417</v>
      </c>
      <c r="B626" s="19" t="s">
        <v>22</v>
      </c>
      <c r="C626" s="19" t="s">
        <v>6</v>
      </c>
      <c r="D626" s="19" t="s">
        <v>138</v>
      </c>
      <c r="E626" s="19">
        <v>0</v>
      </c>
      <c r="F626" s="19">
        <v>-1</v>
      </c>
    </row>
    <row r="627" spans="1:6" x14ac:dyDescent="0.25">
      <c r="A627" s="20">
        <v>45417</v>
      </c>
      <c r="B627" s="19" t="s">
        <v>22</v>
      </c>
      <c r="C627" s="19" t="s">
        <v>7</v>
      </c>
      <c r="D627" s="19" t="s">
        <v>138</v>
      </c>
      <c r="E627" s="19">
        <v>0</v>
      </c>
      <c r="F627" s="19">
        <v>-1</v>
      </c>
    </row>
    <row r="628" spans="1:6" x14ac:dyDescent="0.25">
      <c r="A628" s="20">
        <v>45417</v>
      </c>
      <c r="B628" s="19" t="s">
        <v>22</v>
      </c>
      <c r="C628" s="19" t="s">
        <v>8</v>
      </c>
      <c r="D628" s="19" t="s">
        <v>138</v>
      </c>
      <c r="E628" s="19">
        <v>0</v>
      </c>
      <c r="F628" s="19">
        <v>-1</v>
      </c>
    </row>
    <row r="629" spans="1:6" x14ac:dyDescent="0.25">
      <c r="A629" s="20">
        <v>45417</v>
      </c>
      <c r="B629" s="19" t="s">
        <v>77</v>
      </c>
      <c r="C629" s="19" t="s">
        <v>6</v>
      </c>
      <c r="D629" s="19" t="s">
        <v>138</v>
      </c>
      <c r="E629" s="19">
        <v>0</v>
      </c>
      <c r="F629" s="19">
        <v>-1</v>
      </c>
    </row>
    <row r="630" spans="1:6" x14ac:dyDescent="0.25">
      <c r="A630" s="20">
        <v>45417</v>
      </c>
      <c r="B630" s="19" t="s">
        <v>77</v>
      </c>
      <c r="C630" s="19" t="s">
        <v>7</v>
      </c>
      <c r="D630" s="19" t="s">
        <v>138</v>
      </c>
      <c r="E630" s="19">
        <v>0</v>
      </c>
      <c r="F630" s="19">
        <v>-1</v>
      </c>
    </row>
    <row r="631" spans="1:6" x14ac:dyDescent="0.25">
      <c r="A631" s="20">
        <v>45417</v>
      </c>
      <c r="B631" s="19" t="s">
        <v>77</v>
      </c>
      <c r="C631" s="19" t="s">
        <v>8</v>
      </c>
      <c r="D631" s="19" t="s">
        <v>138</v>
      </c>
      <c r="E631" s="19">
        <v>0</v>
      </c>
      <c r="F631" s="19">
        <v>-1</v>
      </c>
    </row>
    <row r="632" spans="1:6" x14ac:dyDescent="0.25">
      <c r="A632" s="20">
        <v>45417</v>
      </c>
      <c r="B632" s="19" t="s">
        <v>23</v>
      </c>
      <c r="C632" s="19" t="s">
        <v>6</v>
      </c>
      <c r="D632" s="19" t="s">
        <v>138</v>
      </c>
      <c r="E632" s="19">
        <v>0</v>
      </c>
      <c r="F632" s="19">
        <v>-1</v>
      </c>
    </row>
    <row r="633" spans="1:6" x14ac:dyDescent="0.25">
      <c r="A633" s="20">
        <v>45417</v>
      </c>
      <c r="B633" s="19" t="s">
        <v>23</v>
      </c>
      <c r="C633" s="19" t="s">
        <v>7</v>
      </c>
      <c r="D633" s="19" t="s">
        <v>138</v>
      </c>
      <c r="E633" s="19">
        <v>0</v>
      </c>
      <c r="F633" s="19">
        <v>-1</v>
      </c>
    </row>
    <row r="634" spans="1:6" x14ac:dyDescent="0.25">
      <c r="A634" s="20">
        <v>45417</v>
      </c>
      <c r="B634" s="19" t="s">
        <v>23</v>
      </c>
      <c r="C634" s="19" t="s">
        <v>8</v>
      </c>
      <c r="D634" s="19" t="s">
        <v>138</v>
      </c>
      <c r="E634" s="19">
        <v>0</v>
      </c>
      <c r="F634" s="19">
        <v>-1</v>
      </c>
    </row>
    <row r="635" spans="1:6" x14ac:dyDescent="0.25">
      <c r="A635" s="20">
        <v>45417</v>
      </c>
      <c r="B635" s="19" t="s">
        <v>24</v>
      </c>
      <c r="C635" s="19" t="s">
        <v>6</v>
      </c>
      <c r="D635" s="19" t="s">
        <v>138</v>
      </c>
      <c r="E635" s="19">
        <v>0</v>
      </c>
      <c r="F635" s="19">
        <v>-1</v>
      </c>
    </row>
    <row r="636" spans="1:6" x14ac:dyDescent="0.25">
      <c r="A636" s="20">
        <v>45417</v>
      </c>
      <c r="B636" s="19" t="s">
        <v>24</v>
      </c>
      <c r="C636" s="19" t="s">
        <v>7</v>
      </c>
      <c r="D636" s="19" t="s">
        <v>138</v>
      </c>
      <c r="E636" s="19">
        <v>0</v>
      </c>
      <c r="F636" s="19">
        <v>-1</v>
      </c>
    </row>
    <row r="637" spans="1:6" x14ac:dyDescent="0.25">
      <c r="A637" s="20">
        <v>45417</v>
      </c>
      <c r="B637" s="19" t="s">
        <v>24</v>
      </c>
      <c r="C637" s="19" t="s">
        <v>8</v>
      </c>
      <c r="D637" s="19" t="s">
        <v>138</v>
      </c>
      <c r="E637" s="19">
        <v>0</v>
      </c>
      <c r="F637" s="19">
        <v>-1</v>
      </c>
    </row>
    <row r="638" spans="1:6" x14ac:dyDescent="0.25">
      <c r="A638" s="20">
        <v>45417</v>
      </c>
      <c r="B638" s="19" t="s">
        <v>75</v>
      </c>
      <c r="C638" s="19" t="s">
        <v>6</v>
      </c>
      <c r="D638" s="19" t="s">
        <v>138</v>
      </c>
      <c r="E638" s="19">
        <v>0</v>
      </c>
      <c r="F638" s="19">
        <v>-1</v>
      </c>
    </row>
    <row r="639" spans="1:6" x14ac:dyDescent="0.25">
      <c r="A639" s="20">
        <v>45417</v>
      </c>
      <c r="B639" s="19" t="s">
        <v>75</v>
      </c>
      <c r="C639" s="19" t="s">
        <v>7</v>
      </c>
      <c r="D639" s="19" t="s">
        <v>138</v>
      </c>
      <c r="E639" s="19">
        <v>0</v>
      </c>
      <c r="F639" s="19">
        <v>-1</v>
      </c>
    </row>
    <row r="640" spans="1:6" x14ac:dyDescent="0.25">
      <c r="A640" s="20">
        <v>45417</v>
      </c>
      <c r="B640" s="19" t="s">
        <v>75</v>
      </c>
      <c r="C640" s="19" t="s">
        <v>8</v>
      </c>
      <c r="D640" s="19" t="s">
        <v>138</v>
      </c>
      <c r="E640" s="19">
        <v>0</v>
      </c>
      <c r="F640" s="19">
        <v>-1</v>
      </c>
    </row>
    <row r="641" spans="1:6" x14ac:dyDescent="0.25">
      <c r="A641" s="20">
        <v>45417</v>
      </c>
      <c r="B641" s="19" t="s">
        <v>25</v>
      </c>
      <c r="C641" s="19" t="s">
        <v>6</v>
      </c>
      <c r="D641" s="19" t="s">
        <v>138</v>
      </c>
      <c r="E641" s="19">
        <v>0</v>
      </c>
      <c r="F641" s="19">
        <v>-1</v>
      </c>
    </row>
    <row r="642" spans="1:6" x14ac:dyDescent="0.25">
      <c r="A642" s="20">
        <v>45417</v>
      </c>
      <c r="B642" s="19" t="s">
        <v>25</v>
      </c>
      <c r="C642" s="19" t="s">
        <v>7</v>
      </c>
      <c r="D642" s="19" t="s">
        <v>138</v>
      </c>
      <c r="E642" s="19">
        <v>0</v>
      </c>
      <c r="F642" s="19">
        <v>-1</v>
      </c>
    </row>
    <row r="643" spans="1:6" x14ac:dyDescent="0.25">
      <c r="A643" s="20">
        <v>45417</v>
      </c>
      <c r="B643" s="19" t="s">
        <v>25</v>
      </c>
      <c r="C643" s="19" t="s">
        <v>8</v>
      </c>
      <c r="D643" s="19" t="s">
        <v>138</v>
      </c>
      <c r="E643" s="19">
        <v>0</v>
      </c>
      <c r="F643" s="19">
        <v>-1</v>
      </c>
    </row>
    <row r="644" spans="1:6" x14ac:dyDescent="0.25">
      <c r="A644" s="20">
        <v>45417</v>
      </c>
      <c r="B644" s="19" t="s">
        <v>74</v>
      </c>
      <c r="C644" s="19" t="s">
        <v>6</v>
      </c>
      <c r="D644" s="19" t="s">
        <v>138</v>
      </c>
      <c r="E644" s="19">
        <v>0</v>
      </c>
      <c r="F644" s="19">
        <v>-1</v>
      </c>
    </row>
    <row r="645" spans="1:6" x14ac:dyDescent="0.25">
      <c r="A645" s="20">
        <v>45417</v>
      </c>
      <c r="B645" s="19" t="s">
        <v>74</v>
      </c>
      <c r="C645" s="19" t="s">
        <v>7</v>
      </c>
      <c r="D645" s="19" t="s">
        <v>138</v>
      </c>
      <c r="E645" s="19">
        <v>0</v>
      </c>
      <c r="F645" s="19">
        <v>-1</v>
      </c>
    </row>
    <row r="646" spans="1:6" x14ac:dyDescent="0.25">
      <c r="A646" s="20">
        <v>45417</v>
      </c>
      <c r="B646" s="19" t="s">
        <v>74</v>
      </c>
      <c r="C646" s="19" t="s">
        <v>8</v>
      </c>
      <c r="D646" s="19" t="s">
        <v>138</v>
      </c>
      <c r="E646" s="19">
        <v>0</v>
      </c>
      <c r="F646" s="19">
        <v>-1</v>
      </c>
    </row>
    <row r="647" spans="1:6" x14ac:dyDescent="0.25">
      <c r="A647" s="20">
        <v>45417</v>
      </c>
      <c r="B647" s="19" t="s">
        <v>26</v>
      </c>
      <c r="C647" s="19" t="s">
        <v>6</v>
      </c>
      <c r="D647" s="19" t="s">
        <v>138</v>
      </c>
      <c r="E647" s="19">
        <v>0</v>
      </c>
      <c r="F647" s="19">
        <v>-1</v>
      </c>
    </row>
    <row r="648" spans="1:6" x14ac:dyDescent="0.25">
      <c r="A648" s="20">
        <v>45417</v>
      </c>
      <c r="B648" s="19" t="s">
        <v>26</v>
      </c>
      <c r="C648" s="19" t="s">
        <v>7</v>
      </c>
      <c r="D648" s="19" t="s">
        <v>138</v>
      </c>
      <c r="E648" s="19">
        <v>0</v>
      </c>
      <c r="F648" s="19">
        <v>-1</v>
      </c>
    </row>
    <row r="649" spans="1:6" x14ac:dyDescent="0.25">
      <c r="A649" s="20">
        <v>45417</v>
      </c>
      <c r="B649" s="19" t="s">
        <v>26</v>
      </c>
      <c r="C649" s="19" t="s">
        <v>8</v>
      </c>
      <c r="D649" s="19" t="s">
        <v>138</v>
      </c>
      <c r="E649" s="19">
        <v>0</v>
      </c>
      <c r="F649" s="19">
        <v>-1</v>
      </c>
    </row>
    <row r="650" spans="1:6" x14ac:dyDescent="0.25">
      <c r="A650" s="20">
        <v>45417</v>
      </c>
      <c r="B650" s="19" t="s">
        <v>27</v>
      </c>
      <c r="C650" s="19" t="s">
        <v>6</v>
      </c>
      <c r="D650" s="19" t="s">
        <v>139</v>
      </c>
      <c r="E650" s="19">
        <v>2061</v>
      </c>
      <c r="F650" s="19">
        <v>-1</v>
      </c>
    </row>
    <row r="651" spans="1:6" x14ac:dyDescent="0.25">
      <c r="A651" s="20">
        <v>45417</v>
      </c>
      <c r="B651" s="19" t="s">
        <v>27</v>
      </c>
      <c r="C651" s="19" t="s">
        <v>7</v>
      </c>
      <c r="D651" s="19" t="s">
        <v>139</v>
      </c>
      <c r="E651" s="19">
        <v>2130</v>
      </c>
      <c r="F651" s="19">
        <v>-1</v>
      </c>
    </row>
    <row r="652" spans="1:6" x14ac:dyDescent="0.25">
      <c r="A652" s="20">
        <v>45417</v>
      </c>
      <c r="B652" s="19" t="s">
        <v>27</v>
      </c>
      <c r="C652" s="19" t="s">
        <v>8</v>
      </c>
      <c r="D652" s="19" t="s">
        <v>139</v>
      </c>
      <c r="E652" s="19">
        <v>2043</v>
      </c>
      <c r="F652" s="19">
        <v>-1</v>
      </c>
    </row>
    <row r="653" spans="1:6" x14ac:dyDescent="0.25">
      <c r="A653" s="20">
        <v>45417</v>
      </c>
      <c r="B653" s="19" t="s">
        <v>28</v>
      </c>
      <c r="C653" s="19" t="s">
        <v>6</v>
      </c>
      <c r="D653" s="19" t="s">
        <v>139</v>
      </c>
      <c r="E653" s="19">
        <v>2035</v>
      </c>
      <c r="F653" s="19">
        <v>-1</v>
      </c>
    </row>
    <row r="654" spans="1:6" x14ac:dyDescent="0.25">
      <c r="A654" s="20">
        <v>45417</v>
      </c>
      <c r="B654" s="19" t="s">
        <v>28</v>
      </c>
      <c r="C654" s="19" t="s">
        <v>7</v>
      </c>
      <c r="D654" s="19" t="s">
        <v>139</v>
      </c>
      <c r="E654" s="19">
        <v>2170</v>
      </c>
      <c r="F654" s="19">
        <v>-1</v>
      </c>
    </row>
    <row r="655" spans="1:6" x14ac:dyDescent="0.25">
      <c r="A655" s="20">
        <v>45417</v>
      </c>
      <c r="B655" s="19" t="s">
        <v>28</v>
      </c>
      <c r="C655" s="19" t="s">
        <v>8</v>
      </c>
      <c r="D655" s="19" t="s">
        <v>139</v>
      </c>
      <c r="E655" s="19">
        <v>2045</v>
      </c>
      <c r="F655" s="19">
        <v>-1</v>
      </c>
    </row>
    <row r="656" spans="1:6" x14ac:dyDescent="0.25">
      <c r="A656" s="20">
        <v>45417</v>
      </c>
      <c r="B656" s="19" t="s">
        <v>72</v>
      </c>
      <c r="C656" s="19" t="s">
        <v>6</v>
      </c>
      <c r="D656" s="19" t="s">
        <v>138</v>
      </c>
      <c r="E656" s="19">
        <v>0</v>
      </c>
      <c r="F656" s="19">
        <v>-1</v>
      </c>
    </row>
    <row r="657" spans="1:6" x14ac:dyDescent="0.25">
      <c r="A657" s="20">
        <v>45417</v>
      </c>
      <c r="B657" s="19" t="s">
        <v>72</v>
      </c>
      <c r="C657" s="19" t="s">
        <v>7</v>
      </c>
      <c r="D657" s="19" t="s">
        <v>138</v>
      </c>
      <c r="E657" s="19">
        <v>0</v>
      </c>
      <c r="F657" s="19">
        <v>-1</v>
      </c>
    </row>
    <row r="658" spans="1:6" x14ac:dyDescent="0.25">
      <c r="A658" s="20">
        <v>45417</v>
      </c>
      <c r="B658" s="19" t="s">
        <v>72</v>
      </c>
      <c r="C658" s="19" t="s">
        <v>8</v>
      </c>
      <c r="D658" s="19" t="s">
        <v>138</v>
      </c>
      <c r="E658" s="19">
        <v>0</v>
      </c>
      <c r="F658" s="19">
        <v>-1</v>
      </c>
    </row>
    <row r="659" spans="1:6" x14ac:dyDescent="0.25">
      <c r="A659" s="20">
        <v>45417</v>
      </c>
      <c r="B659" s="19" t="s">
        <v>29</v>
      </c>
      <c r="C659" s="19" t="s">
        <v>6</v>
      </c>
      <c r="D659" s="19" t="s">
        <v>139</v>
      </c>
      <c r="E659" s="19">
        <v>2015</v>
      </c>
      <c r="F659" s="19">
        <v>-1</v>
      </c>
    </row>
    <row r="660" spans="1:6" x14ac:dyDescent="0.25">
      <c r="A660" s="20">
        <v>45417</v>
      </c>
      <c r="B660" s="19" t="s">
        <v>29</v>
      </c>
      <c r="C660" s="19" t="s">
        <v>7</v>
      </c>
      <c r="D660" s="19" t="s">
        <v>139</v>
      </c>
      <c r="E660" s="19">
        <v>2066</v>
      </c>
      <c r="F660" s="19">
        <v>-1</v>
      </c>
    </row>
    <row r="661" spans="1:6" x14ac:dyDescent="0.25">
      <c r="A661" s="20">
        <v>45417</v>
      </c>
      <c r="B661" s="19" t="s">
        <v>29</v>
      </c>
      <c r="C661" s="19" t="s">
        <v>8</v>
      </c>
      <c r="D661" s="19" t="s">
        <v>139</v>
      </c>
      <c r="E661" s="19">
        <v>1937</v>
      </c>
      <c r="F661" s="19">
        <v>-1</v>
      </c>
    </row>
    <row r="662" spans="1:6" x14ac:dyDescent="0.25">
      <c r="A662" s="20">
        <v>45417</v>
      </c>
      <c r="B662" s="19" t="s">
        <v>30</v>
      </c>
      <c r="C662" s="19" t="s">
        <v>6</v>
      </c>
      <c r="D662" s="19" t="s">
        <v>138</v>
      </c>
      <c r="E662" s="19">
        <v>0</v>
      </c>
      <c r="F662" s="19">
        <v>-1</v>
      </c>
    </row>
    <row r="663" spans="1:6" x14ac:dyDescent="0.25">
      <c r="A663" s="20">
        <v>45417</v>
      </c>
      <c r="B663" s="19" t="s">
        <v>30</v>
      </c>
      <c r="C663" s="19" t="s">
        <v>7</v>
      </c>
      <c r="D663" s="19" t="s">
        <v>138</v>
      </c>
      <c r="E663" s="19">
        <v>0</v>
      </c>
      <c r="F663" s="19">
        <v>-1</v>
      </c>
    </row>
    <row r="664" spans="1:6" x14ac:dyDescent="0.25">
      <c r="A664" s="20">
        <v>45417</v>
      </c>
      <c r="B664" s="19" t="s">
        <v>30</v>
      </c>
      <c r="C664" s="19" t="s">
        <v>8</v>
      </c>
      <c r="D664" s="19" t="s">
        <v>138</v>
      </c>
      <c r="E664" s="19">
        <v>0</v>
      </c>
      <c r="F664" s="19">
        <v>-1</v>
      </c>
    </row>
    <row r="665" spans="1:6" x14ac:dyDescent="0.25">
      <c r="A665" s="20">
        <v>45417</v>
      </c>
      <c r="B665" s="19" t="s">
        <v>31</v>
      </c>
      <c r="C665" s="19" t="s">
        <v>6</v>
      </c>
      <c r="D665" s="19" t="s">
        <v>138</v>
      </c>
      <c r="E665" s="19">
        <v>0</v>
      </c>
      <c r="F665" s="19">
        <v>-1</v>
      </c>
    </row>
    <row r="666" spans="1:6" x14ac:dyDescent="0.25">
      <c r="A666" s="20">
        <v>45417</v>
      </c>
      <c r="B666" s="19" t="s">
        <v>31</v>
      </c>
      <c r="C666" s="19" t="s">
        <v>7</v>
      </c>
      <c r="D666" s="19" t="s">
        <v>138</v>
      </c>
      <c r="E666" s="19">
        <v>0</v>
      </c>
      <c r="F666" s="19">
        <v>-1</v>
      </c>
    </row>
    <row r="667" spans="1:6" x14ac:dyDescent="0.25">
      <c r="A667" s="20">
        <v>45417</v>
      </c>
      <c r="B667" s="19" t="s">
        <v>31</v>
      </c>
      <c r="C667" s="19" t="s">
        <v>8</v>
      </c>
      <c r="D667" s="19" t="s">
        <v>138</v>
      </c>
      <c r="E667" s="19">
        <v>0</v>
      </c>
      <c r="F667" s="19">
        <v>-1</v>
      </c>
    </row>
    <row r="668" spans="1:6" x14ac:dyDescent="0.25">
      <c r="A668" s="20">
        <v>45417</v>
      </c>
      <c r="B668" s="19" t="s">
        <v>32</v>
      </c>
      <c r="C668" s="19" t="s">
        <v>6</v>
      </c>
      <c r="D668" s="19" t="s">
        <v>138</v>
      </c>
      <c r="E668" s="19">
        <v>0</v>
      </c>
      <c r="F668" s="19">
        <v>-1</v>
      </c>
    </row>
    <row r="669" spans="1:6" x14ac:dyDescent="0.25">
      <c r="A669" s="20">
        <v>45417</v>
      </c>
      <c r="B669" s="19" t="s">
        <v>32</v>
      </c>
      <c r="C669" s="19" t="s">
        <v>7</v>
      </c>
      <c r="D669" s="19" t="s">
        <v>138</v>
      </c>
      <c r="E669" s="19">
        <v>0</v>
      </c>
      <c r="F669" s="19">
        <v>-1</v>
      </c>
    </row>
    <row r="670" spans="1:6" x14ac:dyDescent="0.25">
      <c r="A670" s="20">
        <v>45417</v>
      </c>
      <c r="B670" s="19" t="s">
        <v>32</v>
      </c>
      <c r="C670" s="19" t="s">
        <v>8</v>
      </c>
      <c r="D670" s="19" t="s">
        <v>138</v>
      </c>
      <c r="E670" s="19">
        <v>0</v>
      </c>
      <c r="F670" s="19">
        <v>-1</v>
      </c>
    </row>
    <row r="671" spans="1:6" x14ac:dyDescent="0.25">
      <c r="A671" s="20">
        <v>45417</v>
      </c>
      <c r="B671" s="19" t="s">
        <v>67</v>
      </c>
      <c r="C671" s="19" t="s">
        <v>6</v>
      </c>
      <c r="D671" s="19" t="s">
        <v>139</v>
      </c>
      <c r="E671" s="19">
        <v>1416</v>
      </c>
      <c r="F671" s="19">
        <v>-1</v>
      </c>
    </row>
    <row r="672" spans="1:6" x14ac:dyDescent="0.25">
      <c r="A672" s="20">
        <v>45417</v>
      </c>
      <c r="B672" s="19" t="s">
        <v>67</v>
      </c>
      <c r="C672" s="19" t="s">
        <v>7</v>
      </c>
      <c r="D672" s="19" t="s">
        <v>139</v>
      </c>
      <c r="E672" s="19">
        <v>2131</v>
      </c>
      <c r="F672" s="19">
        <v>-1</v>
      </c>
    </row>
    <row r="673" spans="1:6" x14ac:dyDescent="0.25">
      <c r="A673" s="20">
        <v>45417</v>
      </c>
      <c r="B673" s="19" t="s">
        <v>67</v>
      </c>
      <c r="C673" s="19" t="s">
        <v>8</v>
      </c>
      <c r="D673" s="19" t="s">
        <v>139</v>
      </c>
      <c r="E673" s="19">
        <v>2020</v>
      </c>
      <c r="F673" s="19">
        <v>-1</v>
      </c>
    </row>
    <row r="674" spans="1:6" x14ac:dyDescent="0.25">
      <c r="A674" s="20">
        <v>45417</v>
      </c>
      <c r="B674" s="19" t="s">
        <v>33</v>
      </c>
      <c r="C674" s="19" t="s">
        <v>6</v>
      </c>
      <c r="D674" s="19" t="s">
        <v>138</v>
      </c>
      <c r="E674" s="19">
        <v>0</v>
      </c>
      <c r="F674" s="19">
        <v>-1</v>
      </c>
    </row>
    <row r="675" spans="1:6" x14ac:dyDescent="0.25">
      <c r="A675" s="20">
        <v>45417</v>
      </c>
      <c r="B675" s="19" t="s">
        <v>33</v>
      </c>
      <c r="C675" s="19" t="s">
        <v>7</v>
      </c>
      <c r="D675" s="19" t="s">
        <v>138</v>
      </c>
      <c r="E675" s="19">
        <v>0</v>
      </c>
      <c r="F675" s="19">
        <v>-1</v>
      </c>
    </row>
    <row r="676" spans="1:6" x14ac:dyDescent="0.25">
      <c r="A676" s="20">
        <v>45417</v>
      </c>
      <c r="B676" s="19" t="s">
        <v>33</v>
      </c>
      <c r="C676" s="19" t="s">
        <v>8</v>
      </c>
      <c r="D676" s="19" t="s">
        <v>138</v>
      </c>
      <c r="E676" s="19">
        <v>0</v>
      </c>
      <c r="F676" s="19">
        <v>-1</v>
      </c>
    </row>
    <row r="677" spans="1:6" x14ac:dyDescent="0.25">
      <c r="A677" s="20">
        <v>45417</v>
      </c>
      <c r="B677" s="19" t="s">
        <v>34</v>
      </c>
      <c r="C677" s="19" t="s">
        <v>6</v>
      </c>
      <c r="D677" s="19" t="s">
        <v>139</v>
      </c>
      <c r="E677" s="19">
        <v>1580</v>
      </c>
      <c r="F677" s="19">
        <v>-1</v>
      </c>
    </row>
    <row r="678" spans="1:6" x14ac:dyDescent="0.25">
      <c r="A678" s="20">
        <v>45417</v>
      </c>
      <c r="B678" s="19" t="s">
        <v>34</v>
      </c>
      <c r="C678" s="19" t="s">
        <v>7</v>
      </c>
      <c r="D678" s="19" t="s">
        <v>139</v>
      </c>
      <c r="E678" s="19">
        <v>1775</v>
      </c>
      <c r="F678" s="19">
        <v>-1</v>
      </c>
    </row>
    <row r="679" spans="1:6" x14ac:dyDescent="0.25">
      <c r="A679" s="20">
        <v>45417</v>
      </c>
      <c r="B679" s="19" t="s">
        <v>34</v>
      </c>
      <c r="C679" s="19" t="s">
        <v>8</v>
      </c>
      <c r="D679" s="19" t="s">
        <v>139</v>
      </c>
      <c r="E679" s="19">
        <v>1611</v>
      </c>
      <c r="F679" s="19">
        <v>-1</v>
      </c>
    </row>
    <row r="680" spans="1:6" x14ac:dyDescent="0.25">
      <c r="A680" s="20">
        <v>45417</v>
      </c>
      <c r="B680" s="19" t="s">
        <v>35</v>
      </c>
      <c r="C680" s="19" t="s">
        <v>6</v>
      </c>
      <c r="D680" s="19" t="s">
        <v>139</v>
      </c>
      <c r="E680" s="19">
        <v>1939</v>
      </c>
      <c r="F680" s="19">
        <v>-1</v>
      </c>
    </row>
    <row r="681" spans="1:6" x14ac:dyDescent="0.25">
      <c r="A681" s="20">
        <v>45417</v>
      </c>
      <c r="B681" s="19" t="s">
        <v>35</v>
      </c>
      <c r="C681" s="19" t="s">
        <v>7</v>
      </c>
      <c r="D681" s="19" t="s">
        <v>139</v>
      </c>
      <c r="E681" s="19">
        <v>1936</v>
      </c>
      <c r="F681" s="19">
        <v>-1</v>
      </c>
    </row>
    <row r="682" spans="1:6" x14ac:dyDescent="0.25">
      <c r="A682" s="20">
        <v>45417</v>
      </c>
      <c r="B682" s="19" t="s">
        <v>35</v>
      </c>
      <c r="C682" s="19" t="s">
        <v>8</v>
      </c>
      <c r="D682" s="19" t="s">
        <v>139</v>
      </c>
      <c r="E682" s="19">
        <v>1922</v>
      </c>
      <c r="F682" s="19">
        <v>-1</v>
      </c>
    </row>
    <row r="683" spans="1:6" x14ac:dyDescent="0.25">
      <c r="A683" s="20">
        <v>45417</v>
      </c>
      <c r="B683" s="19" t="s">
        <v>63</v>
      </c>
      <c r="C683" s="19" t="s">
        <v>6</v>
      </c>
      <c r="D683" s="19" t="s">
        <v>138</v>
      </c>
      <c r="E683" s="19">
        <v>0</v>
      </c>
      <c r="F683" s="19">
        <v>-1</v>
      </c>
    </row>
    <row r="684" spans="1:6" x14ac:dyDescent="0.25">
      <c r="A684" s="20">
        <v>45417</v>
      </c>
      <c r="B684" s="19" t="s">
        <v>63</v>
      </c>
      <c r="C684" s="19" t="s">
        <v>7</v>
      </c>
      <c r="D684" s="19" t="s">
        <v>138</v>
      </c>
      <c r="E684" s="19">
        <v>0</v>
      </c>
      <c r="F684" s="19">
        <v>-1</v>
      </c>
    </row>
    <row r="685" spans="1:6" x14ac:dyDescent="0.25">
      <c r="A685" s="20">
        <v>45417</v>
      </c>
      <c r="B685" s="19" t="s">
        <v>63</v>
      </c>
      <c r="C685" s="19" t="s">
        <v>8</v>
      </c>
      <c r="D685" s="19" t="s">
        <v>138</v>
      </c>
      <c r="E685" s="19">
        <v>0</v>
      </c>
      <c r="F685" s="19">
        <v>-1</v>
      </c>
    </row>
    <row r="686" spans="1:6" x14ac:dyDescent="0.25">
      <c r="A686" s="20">
        <v>45417</v>
      </c>
      <c r="B686" s="19" t="s">
        <v>36</v>
      </c>
      <c r="C686" s="19" t="s">
        <v>6</v>
      </c>
      <c r="D686" s="19" t="s">
        <v>139</v>
      </c>
      <c r="E686" s="19">
        <v>2105</v>
      </c>
      <c r="F686" s="19">
        <v>13.2</v>
      </c>
    </row>
    <row r="687" spans="1:6" x14ac:dyDescent="0.25">
      <c r="A687" s="20">
        <v>45417</v>
      </c>
      <c r="B687" s="19" t="s">
        <v>36</v>
      </c>
      <c r="C687" s="19" t="s">
        <v>7</v>
      </c>
      <c r="D687" s="19" t="s">
        <v>139</v>
      </c>
      <c r="E687" s="19">
        <v>537</v>
      </c>
      <c r="F687" s="19">
        <v>13.2</v>
      </c>
    </row>
    <row r="688" spans="1:6" x14ac:dyDescent="0.25">
      <c r="A688" s="20">
        <v>45417</v>
      </c>
      <c r="B688" s="19" t="s">
        <v>36</v>
      </c>
      <c r="C688" s="19" t="s">
        <v>8</v>
      </c>
      <c r="D688" s="19" t="s">
        <v>138</v>
      </c>
      <c r="E688" s="19">
        <v>0</v>
      </c>
      <c r="F688" s="19">
        <v>13.2</v>
      </c>
    </row>
    <row r="689" spans="1:6" x14ac:dyDescent="0.25">
      <c r="A689" s="20">
        <v>45417</v>
      </c>
      <c r="B689" s="19" t="s">
        <v>256</v>
      </c>
      <c r="C689" s="19" t="s">
        <v>6</v>
      </c>
      <c r="D689" s="19" t="s">
        <v>138</v>
      </c>
      <c r="E689" s="19">
        <v>0</v>
      </c>
      <c r="F689" s="19">
        <v>-1</v>
      </c>
    </row>
    <row r="690" spans="1:6" x14ac:dyDescent="0.25">
      <c r="A690" s="20">
        <v>45417</v>
      </c>
      <c r="B690" s="19" t="s">
        <v>256</v>
      </c>
      <c r="C690" s="19" t="s">
        <v>7</v>
      </c>
      <c r="D690" s="19" t="s">
        <v>138</v>
      </c>
      <c r="E690" s="19">
        <v>0</v>
      </c>
      <c r="F690" s="19">
        <v>-1</v>
      </c>
    </row>
    <row r="691" spans="1:6" x14ac:dyDescent="0.25">
      <c r="A691" s="20">
        <v>45417</v>
      </c>
      <c r="B691" s="19" t="s">
        <v>256</v>
      </c>
      <c r="C691" s="19" t="s">
        <v>8</v>
      </c>
      <c r="D691" s="19" t="s">
        <v>138</v>
      </c>
      <c r="E691" s="19">
        <v>0</v>
      </c>
      <c r="F691" s="19">
        <v>-1</v>
      </c>
    </row>
    <row r="692" spans="1:6" x14ac:dyDescent="0.25">
      <c r="A692" s="20">
        <v>45417</v>
      </c>
      <c r="B692" s="19" t="s">
        <v>257</v>
      </c>
      <c r="C692" s="19" t="s">
        <v>6</v>
      </c>
      <c r="D692" s="19" t="s">
        <v>138</v>
      </c>
      <c r="E692" s="19">
        <v>0</v>
      </c>
      <c r="F692" s="19">
        <v>-1</v>
      </c>
    </row>
    <row r="693" spans="1:6" x14ac:dyDescent="0.25">
      <c r="A693" s="20">
        <v>45417</v>
      </c>
      <c r="B693" s="19" t="s">
        <v>257</v>
      </c>
      <c r="C693" s="19" t="s">
        <v>7</v>
      </c>
      <c r="D693" s="19" t="s">
        <v>138</v>
      </c>
      <c r="E693" s="19">
        <v>0</v>
      </c>
      <c r="F693" s="19">
        <v>-1</v>
      </c>
    </row>
    <row r="694" spans="1:6" x14ac:dyDescent="0.25">
      <c r="A694" s="20">
        <v>45417</v>
      </c>
      <c r="B694" s="19" t="s">
        <v>257</v>
      </c>
      <c r="C694" s="19" t="s">
        <v>8</v>
      </c>
      <c r="D694" s="19" t="s">
        <v>138</v>
      </c>
      <c r="E694" s="19">
        <v>0</v>
      </c>
      <c r="F694" s="19">
        <v>-1</v>
      </c>
    </row>
    <row r="695" spans="1:6" x14ac:dyDescent="0.25">
      <c r="A695" s="20">
        <v>45417</v>
      </c>
      <c r="B695" s="19" t="s">
        <v>37</v>
      </c>
      <c r="C695" s="19" t="s">
        <v>6</v>
      </c>
      <c r="D695" s="19" t="s">
        <v>138</v>
      </c>
      <c r="E695" s="19">
        <v>0</v>
      </c>
      <c r="F695" s="19">
        <v>-1</v>
      </c>
    </row>
    <row r="696" spans="1:6" x14ac:dyDescent="0.25">
      <c r="A696" s="20">
        <v>45417</v>
      </c>
      <c r="B696" s="19" t="s">
        <v>37</v>
      </c>
      <c r="C696" s="19" t="s">
        <v>7</v>
      </c>
      <c r="D696" s="19" t="s">
        <v>138</v>
      </c>
      <c r="E696" s="19">
        <v>0</v>
      </c>
      <c r="F696" s="19">
        <v>-1</v>
      </c>
    </row>
    <row r="697" spans="1:6" x14ac:dyDescent="0.25">
      <c r="A697" s="20">
        <v>45417</v>
      </c>
      <c r="B697" s="19" t="s">
        <v>37</v>
      </c>
      <c r="C697" s="19" t="s">
        <v>8</v>
      </c>
      <c r="D697" s="19" t="s">
        <v>138</v>
      </c>
      <c r="E697" s="19">
        <v>0</v>
      </c>
      <c r="F697" s="19">
        <v>-1</v>
      </c>
    </row>
    <row r="698" spans="1:6" x14ac:dyDescent="0.25">
      <c r="A698" s="20">
        <v>45417</v>
      </c>
      <c r="B698" s="19" t="s">
        <v>258</v>
      </c>
      <c r="C698" s="19" t="s">
        <v>6</v>
      </c>
      <c r="D698" s="19" t="s">
        <v>138</v>
      </c>
      <c r="E698" s="19">
        <v>0</v>
      </c>
      <c r="F698" s="19">
        <v>-1</v>
      </c>
    </row>
    <row r="699" spans="1:6" x14ac:dyDescent="0.25">
      <c r="A699" s="20">
        <v>45417</v>
      </c>
      <c r="B699" s="19" t="s">
        <v>258</v>
      </c>
      <c r="C699" s="19" t="s">
        <v>7</v>
      </c>
      <c r="D699" s="19" t="s">
        <v>138</v>
      </c>
      <c r="E699" s="19">
        <v>0</v>
      </c>
      <c r="F699" s="19">
        <v>-1</v>
      </c>
    </row>
    <row r="700" spans="1:6" x14ac:dyDescent="0.25">
      <c r="A700" s="20">
        <v>45417</v>
      </c>
      <c r="B700" s="19" t="s">
        <v>258</v>
      </c>
      <c r="C700" s="19" t="s">
        <v>8</v>
      </c>
      <c r="D700" s="19" t="s">
        <v>138</v>
      </c>
      <c r="E700" s="19">
        <v>0</v>
      </c>
      <c r="F700" s="19">
        <v>-1</v>
      </c>
    </row>
    <row r="701" spans="1:6" x14ac:dyDescent="0.25">
      <c r="A701" s="20">
        <v>45417</v>
      </c>
      <c r="B701" s="19" t="s">
        <v>259</v>
      </c>
      <c r="C701" s="19" t="s">
        <v>6</v>
      </c>
      <c r="D701" s="19" t="s">
        <v>138</v>
      </c>
      <c r="E701" s="19">
        <v>0</v>
      </c>
      <c r="F701" s="19">
        <v>-1</v>
      </c>
    </row>
    <row r="702" spans="1:6" x14ac:dyDescent="0.25">
      <c r="A702" s="20">
        <v>45417</v>
      </c>
      <c r="B702" s="19" t="s">
        <v>259</v>
      </c>
      <c r="C702" s="19" t="s">
        <v>7</v>
      </c>
      <c r="D702" s="19" t="s">
        <v>138</v>
      </c>
      <c r="E702" s="19">
        <v>0</v>
      </c>
      <c r="F702" s="19">
        <v>-1</v>
      </c>
    </row>
    <row r="703" spans="1:6" x14ac:dyDescent="0.25">
      <c r="A703" s="20">
        <v>45417</v>
      </c>
      <c r="B703" s="19" t="s">
        <v>259</v>
      </c>
      <c r="C703" s="19" t="s">
        <v>8</v>
      </c>
      <c r="D703" s="19" t="s">
        <v>138</v>
      </c>
      <c r="E703" s="19">
        <v>0</v>
      </c>
      <c r="F703" s="19">
        <v>-1</v>
      </c>
    </row>
    <row r="704" spans="1:6" x14ac:dyDescent="0.25">
      <c r="A704" s="20">
        <v>45417</v>
      </c>
      <c r="B704" s="19" t="s">
        <v>260</v>
      </c>
      <c r="C704" s="19" t="s">
        <v>6</v>
      </c>
      <c r="D704" s="19" t="s">
        <v>138</v>
      </c>
      <c r="E704" s="19">
        <v>0</v>
      </c>
      <c r="F704" s="19">
        <v>-1</v>
      </c>
    </row>
    <row r="705" spans="1:6" x14ac:dyDescent="0.25">
      <c r="A705" s="20">
        <v>45417</v>
      </c>
      <c r="B705" s="19" t="s">
        <v>260</v>
      </c>
      <c r="C705" s="19" t="s">
        <v>7</v>
      </c>
      <c r="D705" s="19" t="s">
        <v>138</v>
      </c>
      <c r="E705" s="19">
        <v>0</v>
      </c>
      <c r="F705" s="19">
        <v>-1</v>
      </c>
    </row>
    <row r="706" spans="1:6" x14ac:dyDescent="0.25">
      <c r="A706" s="20">
        <v>45417</v>
      </c>
      <c r="B706" s="19" t="s">
        <v>260</v>
      </c>
      <c r="C706" s="19" t="s">
        <v>8</v>
      </c>
      <c r="D706" s="19" t="s">
        <v>138</v>
      </c>
      <c r="E706" s="19">
        <v>0</v>
      </c>
      <c r="F706" s="19">
        <v>-1</v>
      </c>
    </row>
    <row r="707" spans="1:6" x14ac:dyDescent="0.25">
      <c r="A707" s="20">
        <v>45417</v>
      </c>
      <c r="B707" s="19" t="s">
        <v>261</v>
      </c>
      <c r="C707" s="19" t="s">
        <v>6</v>
      </c>
      <c r="D707" s="19" t="s">
        <v>138</v>
      </c>
      <c r="E707" s="19">
        <v>0</v>
      </c>
      <c r="F707" s="19">
        <v>-1</v>
      </c>
    </row>
    <row r="708" spans="1:6" x14ac:dyDescent="0.25">
      <c r="A708" s="20">
        <v>45417</v>
      </c>
      <c r="B708" s="19" t="s">
        <v>261</v>
      </c>
      <c r="C708" s="19" t="s">
        <v>7</v>
      </c>
      <c r="D708" s="19" t="s">
        <v>138</v>
      </c>
      <c r="E708" s="19">
        <v>0</v>
      </c>
      <c r="F708" s="19">
        <v>-1</v>
      </c>
    </row>
    <row r="709" spans="1:6" x14ac:dyDescent="0.25">
      <c r="A709" s="20">
        <v>45417</v>
      </c>
      <c r="B709" s="19" t="s">
        <v>261</v>
      </c>
      <c r="C709" s="19" t="s">
        <v>8</v>
      </c>
      <c r="D709" s="19" t="s">
        <v>138</v>
      </c>
      <c r="E709" s="19">
        <v>0</v>
      </c>
      <c r="F709" s="19">
        <v>-1</v>
      </c>
    </row>
    <row r="710" spans="1:6" x14ac:dyDescent="0.25">
      <c r="A710" s="20">
        <v>45417</v>
      </c>
      <c r="B710" s="19" t="s">
        <v>54</v>
      </c>
      <c r="C710" s="19" t="s">
        <v>6</v>
      </c>
      <c r="D710" s="19" t="s">
        <v>138</v>
      </c>
      <c r="E710" s="19">
        <v>0</v>
      </c>
      <c r="F710" s="19">
        <v>-1</v>
      </c>
    </row>
    <row r="711" spans="1:6" x14ac:dyDescent="0.25">
      <c r="A711" s="20">
        <v>45417</v>
      </c>
      <c r="B711" s="19" t="s">
        <v>54</v>
      </c>
      <c r="C711" s="19" t="s">
        <v>7</v>
      </c>
      <c r="D711" s="19" t="s">
        <v>138</v>
      </c>
      <c r="E711" s="19">
        <v>0</v>
      </c>
      <c r="F711" s="19">
        <v>-1</v>
      </c>
    </row>
    <row r="712" spans="1:6" x14ac:dyDescent="0.25">
      <c r="A712" s="20">
        <v>45417</v>
      </c>
      <c r="B712" s="19" t="s">
        <v>54</v>
      </c>
      <c r="C712" s="19" t="s">
        <v>8</v>
      </c>
      <c r="D712" s="19" t="s">
        <v>138</v>
      </c>
      <c r="E712" s="19">
        <v>0</v>
      </c>
      <c r="F712" s="19">
        <v>-1</v>
      </c>
    </row>
    <row r="713" spans="1:6" x14ac:dyDescent="0.25">
      <c r="A713" s="20">
        <v>45418</v>
      </c>
      <c r="B713" s="19" t="s">
        <v>136</v>
      </c>
      <c r="C713" s="19" t="s">
        <v>6</v>
      </c>
      <c r="D713" s="19" t="s">
        <v>138</v>
      </c>
      <c r="E713" s="19">
        <v>0</v>
      </c>
      <c r="F713" s="19">
        <v>-1</v>
      </c>
    </row>
    <row r="714" spans="1:6" x14ac:dyDescent="0.25">
      <c r="A714" s="20">
        <v>45418</v>
      </c>
      <c r="B714" s="19" t="s">
        <v>136</v>
      </c>
      <c r="C714" s="19" t="s">
        <v>7</v>
      </c>
      <c r="D714" s="19" t="s">
        <v>138</v>
      </c>
      <c r="E714" s="19">
        <v>0</v>
      </c>
      <c r="F714" s="19">
        <v>-1</v>
      </c>
    </row>
    <row r="715" spans="1:6" x14ac:dyDescent="0.25">
      <c r="A715" s="20">
        <v>45418</v>
      </c>
      <c r="B715" s="19" t="s">
        <v>136</v>
      </c>
      <c r="C715" s="19" t="s">
        <v>8</v>
      </c>
      <c r="D715" s="19" t="s">
        <v>138</v>
      </c>
      <c r="E715" s="19">
        <v>0</v>
      </c>
      <c r="F715" s="19">
        <v>-1</v>
      </c>
    </row>
    <row r="716" spans="1:6" x14ac:dyDescent="0.25">
      <c r="A716" s="20">
        <v>45418</v>
      </c>
      <c r="B716" s="19" t="s">
        <v>135</v>
      </c>
      <c r="C716" s="19" t="s">
        <v>6</v>
      </c>
      <c r="D716" s="19" t="s">
        <v>138</v>
      </c>
      <c r="E716" s="19">
        <v>0</v>
      </c>
      <c r="F716" s="19">
        <v>-1</v>
      </c>
    </row>
    <row r="717" spans="1:6" x14ac:dyDescent="0.25">
      <c r="A717" s="20">
        <v>45418</v>
      </c>
      <c r="B717" s="19" t="s">
        <v>135</v>
      </c>
      <c r="C717" s="19" t="s">
        <v>7</v>
      </c>
      <c r="D717" s="19" t="s">
        <v>138</v>
      </c>
      <c r="E717" s="19">
        <v>0</v>
      </c>
      <c r="F717" s="19">
        <v>-1</v>
      </c>
    </row>
    <row r="718" spans="1:6" x14ac:dyDescent="0.25">
      <c r="A718" s="20">
        <v>45418</v>
      </c>
      <c r="B718" s="19" t="s">
        <v>135</v>
      </c>
      <c r="C718" s="19" t="s">
        <v>8</v>
      </c>
      <c r="D718" s="19" t="s">
        <v>138</v>
      </c>
      <c r="E718" s="19">
        <v>0</v>
      </c>
      <c r="F718" s="19">
        <v>-1</v>
      </c>
    </row>
    <row r="719" spans="1:6" x14ac:dyDescent="0.25">
      <c r="A719" s="20">
        <v>45418</v>
      </c>
      <c r="B719" s="19" t="s">
        <v>134</v>
      </c>
      <c r="C719" s="19" t="s">
        <v>6</v>
      </c>
      <c r="D719" s="19" t="s">
        <v>138</v>
      </c>
      <c r="E719" s="19">
        <v>0</v>
      </c>
      <c r="F719" s="19">
        <v>-1</v>
      </c>
    </row>
    <row r="720" spans="1:6" x14ac:dyDescent="0.25">
      <c r="A720" s="20">
        <v>45418</v>
      </c>
      <c r="B720" s="19" t="s">
        <v>134</v>
      </c>
      <c r="C720" s="19" t="s">
        <v>7</v>
      </c>
      <c r="D720" s="19" t="s">
        <v>138</v>
      </c>
      <c r="E720" s="19">
        <v>0</v>
      </c>
      <c r="F720" s="19">
        <v>-1</v>
      </c>
    </row>
    <row r="721" spans="1:6" x14ac:dyDescent="0.25">
      <c r="A721" s="20">
        <v>45418</v>
      </c>
      <c r="B721" s="19" t="s">
        <v>134</v>
      </c>
      <c r="C721" s="19" t="s">
        <v>8</v>
      </c>
      <c r="D721" s="19" t="s">
        <v>138</v>
      </c>
      <c r="E721" s="19">
        <v>0</v>
      </c>
      <c r="F721" s="19">
        <v>-1</v>
      </c>
    </row>
    <row r="722" spans="1:6" x14ac:dyDescent="0.25">
      <c r="A722" s="20">
        <v>45418</v>
      </c>
      <c r="B722" s="19" t="s">
        <v>132</v>
      </c>
      <c r="C722" s="19" t="s">
        <v>6</v>
      </c>
      <c r="D722" s="19" t="s">
        <v>138</v>
      </c>
      <c r="E722" s="19">
        <v>0</v>
      </c>
      <c r="F722" s="19">
        <v>-1</v>
      </c>
    </row>
    <row r="723" spans="1:6" x14ac:dyDescent="0.25">
      <c r="A723" s="20">
        <v>45418</v>
      </c>
      <c r="B723" s="19" t="s">
        <v>132</v>
      </c>
      <c r="C723" s="19" t="s">
        <v>7</v>
      </c>
      <c r="D723" s="19" t="s">
        <v>138</v>
      </c>
      <c r="E723" s="19">
        <v>0</v>
      </c>
      <c r="F723" s="19">
        <v>-1</v>
      </c>
    </row>
    <row r="724" spans="1:6" x14ac:dyDescent="0.25">
      <c r="A724" s="20">
        <v>45418</v>
      </c>
      <c r="B724" s="19" t="s">
        <v>132</v>
      </c>
      <c r="C724" s="19" t="s">
        <v>8</v>
      </c>
      <c r="D724" s="19" t="s">
        <v>138</v>
      </c>
      <c r="E724" s="19">
        <v>0</v>
      </c>
      <c r="F724" s="19">
        <v>-1</v>
      </c>
    </row>
    <row r="725" spans="1:6" x14ac:dyDescent="0.25">
      <c r="A725" s="20">
        <v>45418</v>
      </c>
      <c r="B725" s="19" t="s">
        <v>131</v>
      </c>
      <c r="C725" s="19" t="s">
        <v>6</v>
      </c>
      <c r="D725" s="19" t="s">
        <v>138</v>
      </c>
      <c r="E725" s="19">
        <v>0</v>
      </c>
      <c r="F725" s="19">
        <v>-1</v>
      </c>
    </row>
    <row r="726" spans="1:6" x14ac:dyDescent="0.25">
      <c r="A726" s="20">
        <v>45418</v>
      </c>
      <c r="B726" s="19" t="s">
        <v>131</v>
      </c>
      <c r="C726" s="19" t="s">
        <v>7</v>
      </c>
      <c r="D726" s="19" t="s">
        <v>138</v>
      </c>
      <c r="E726" s="19">
        <v>0</v>
      </c>
      <c r="F726" s="19">
        <v>-1</v>
      </c>
    </row>
    <row r="727" spans="1:6" x14ac:dyDescent="0.25">
      <c r="A727" s="20">
        <v>45418</v>
      </c>
      <c r="B727" s="19" t="s">
        <v>131</v>
      </c>
      <c r="C727" s="19" t="s">
        <v>8</v>
      </c>
      <c r="D727" s="19" t="s">
        <v>138</v>
      </c>
      <c r="E727" s="19">
        <v>0</v>
      </c>
      <c r="F727" s="19">
        <v>-1</v>
      </c>
    </row>
    <row r="728" spans="1:6" x14ac:dyDescent="0.25">
      <c r="A728" s="20">
        <v>45418</v>
      </c>
      <c r="B728" s="19" t="s">
        <v>130</v>
      </c>
      <c r="C728" s="19" t="s">
        <v>6</v>
      </c>
      <c r="D728" s="19" t="s">
        <v>138</v>
      </c>
      <c r="E728" s="19">
        <v>0</v>
      </c>
      <c r="F728" s="19">
        <v>-1</v>
      </c>
    </row>
    <row r="729" spans="1:6" x14ac:dyDescent="0.25">
      <c r="A729" s="20">
        <v>45418</v>
      </c>
      <c r="B729" s="19" t="s">
        <v>130</v>
      </c>
      <c r="C729" s="19" t="s">
        <v>7</v>
      </c>
      <c r="D729" s="19" t="s">
        <v>138</v>
      </c>
      <c r="E729" s="19">
        <v>0</v>
      </c>
      <c r="F729" s="19">
        <v>-1</v>
      </c>
    </row>
    <row r="730" spans="1:6" x14ac:dyDescent="0.25">
      <c r="A730" s="20">
        <v>45418</v>
      </c>
      <c r="B730" s="19" t="s">
        <v>130</v>
      </c>
      <c r="C730" s="19" t="s">
        <v>8</v>
      </c>
      <c r="D730" s="19" t="s">
        <v>138</v>
      </c>
      <c r="E730" s="19">
        <v>0</v>
      </c>
      <c r="F730" s="19">
        <v>-1</v>
      </c>
    </row>
    <row r="731" spans="1:6" x14ac:dyDescent="0.25">
      <c r="A731" s="20">
        <v>45418</v>
      </c>
      <c r="B731" s="19" t="s">
        <v>128</v>
      </c>
      <c r="C731" s="19" t="s">
        <v>6</v>
      </c>
      <c r="D731" s="19" t="s">
        <v>138</v>
      </c>
      <c r="E731" s="19">
        <v>0</v>
      </c>
      <c r="F731" s="19">
        <v>-1</v>
      </c>
    </row>
    <row r="732" spans="1:6" x14ac:dyDescent="0.25">
      <c r="A732" s="20">
        <v>45418</v>
      </c>
      <c r="B732" s="19" t="s">
        <v>128</v>
      </c>
      <c r="C732" s="19" t="s">
        <v>7</v>
      </c>
      <c r="D732" s="19" t="s">
        <v>138</v>
      </c>
      <c r="E732" s="19">
        <v>0</v>
      </c>
      <c r="F732" s="19">
        <v>-1</v>
      </c>
    </row>
    <row r="733" spans="1:6" x14ac:dyDescent="0.25">
      <c r="A733" s="20">
        <v>45418</v>
      </c>
      <c r="B733" s="19" t="s">
        <v>128</v>
      </c>
      <c r="C733" s="19" t="s">
        <v>8</v>
      </c>
      <c r="D733" s="19" t="s">
        <v>138</v>
      </c>
      <c r="E733" s="19">
        <v>0</v>
      </c>
      <c r="F733" s="19">
        <v>-1</v>
      </c>
    </row>
    <row r="734" spans="1:6" x14ac:dyDescent="0.25">
      <c r="A734" s="20">
        <v>45418</v>
      </c>
      <c r="B734" s="19" t="s">
        <v>40</v>
      </c>
      <c r="C734" s="19" t="s">
        <v>6</v>
      </c>
      <c r="D734" s="19" t="s">
        <v>138</v>
      </c>
      <c r="E734" s="19">
        <v>0</v>
      </c>
      <c r="F734" s="19">
        <v>-1</v>
      </c>
    </row>
    <row r="735" spans="1:6" x14ac:dyDescent="0.25">
      <c r="A735" s="20">
        <v>45418</v>
      </c>
      <c r="B735" s="19" t="s">
        <v>40</v>
      </c>
      <c r="C735" s="19" t="s">
        <v>7</v>
      </c>
      <c r="D735" s="19" t="s">
        <v>138</v>
      </c>
      <c r="E735" s="19">
        <v>0</v>
      </c>
      <c r="F735" s="19">
        <v>-1</v>
      </c>
    </row>
    <row r="736" spans="1:6" x14ac:dyDescent="0.25">
      <c r="A736" s="20">
        <v>45418</v>
      </c>
      <c r="B736" s="19" t="s">
        <v>40</v>
      </c>
      <c r="C736" s="19" t="s">
        <v>8</v>
      </c>
      <c r="D736" s="19" t="s">
        <v>138</v>
      </c>
      <c r="E736" s="19">
        <v>0</v>
      </c>
      <c r="F736" s="19">
        <v>-1</v>
      </c>
    </row>
    <row r="737" spans="1:6" x14ac:dyDescent="0.25">
      <c r="A737" s="20">
        <v>45418</v>
      </c>
      <c r="B737" s="19" t="s">
        <v>127</v>
      </c>
      <c r="C737" s="19" t="s">
        <v>6</v>
      </c>
      <c r="D737" s="19" t="s">
        <v>138</v>
      </c>
      <c r="E737" s="19">
        <v>0</v>
      </c>
      <c r="F737" s="19">
        <v>-1</v>
      </c>
    </row>
    <row r="738" spans="1:6" x14ac:dyDescent="0.25">
      <c r="A738" s="20">
        <v>45418</v>
      </c>
      <c r="B738" s="19" t="s">
        <v>127</v>
      </c>
      <c r="C738" s="19" t="s">
        <v>7</v>
      </c>
      <c r="D738" s="19" t="s">
        <v>138</v>
      </c>
      <c r="E738" s="19">
        <v>0</v>
      </c>
      <c r="F738" s="19">
        <v>-1</v>
      </c>
    </row>
    <row r="739" spans="1:6" x14ac:dyDescent="0.25">
      <c r="A739" s="20">
        <v>45418</v>
      </c>
      <c r="B739" s="19" t="s">
        <v>127</v>
      </c>
      <c r="C739" s="19" t="s">
        <v>8</v>
      </c>
      <c r="D739" s="19" t="s">
        <v>138</v>
      </c>
      <c r="E739" s="19">
        <v>0</v>
      </c>
      <c r="F739" s="19">
        <v>-1</v>
      </c>
    </row>
    <row r="740" spans="1:6" x14ac:dyDescent="0.25">
      <c r="A740" s="20">
        <v>45418</v>
      </c>
      <c r="B740" s="19" t="s">
        <v>124</v>
      </c>
      <c r="C740" s="19" t="s">
        <v>6</v>
      </c>
      <c r="D740" s="19" t="s">
        <v>138</v>
      </c>
      <c r="E740" s="19">
        <v>0</v>
      </c>
      <c r="F740" s="19">
        <v>-1</v>
      </c>
    </row>
    <row r="741" spans="1:6" x14ac:dyDescent="0.25">
      <c r="A741" s="20">
        <v>45418</v>
      </c>
      <c r="B741" s="19" t="s">
        <v>124</v>
      </c>
      <c r="C741" s="19" t="s">
        <v>7</v>
      </c>
      <c r="D741" s="19" t="s">
        <v>138</v>
      </c>
      <c r="E741" s="19">
        <v>0</v>
      </c>
      <c r="F741" s="19">
        <v>-1</v>
      </c>
    </row>
    <row r="742" spans="1:6" x14ac:dyDescent="0.25">
      <c r="A742" s="20">
        <v>45418</v>
      </c>
      <c r="B742" s="19" t="s">
        <v>124</v>
      </c>
      <c r="C742" s="19" t="s">
        <v>8</v>
      </c>
      <c r="D742" s="19" t="s">
        <v>138</v>
      </c>
      <c r="E742" s="19">
        <v>0</v>
      </c>
      <c r="F742" s="19">
        <v>-1</v>
      </c>
    </row>
    <row r="743" spans="1:6" x14ac:dyDescent="0.25">
      <c r="A743" s="20">
        <v>45418</v>
      </c>
      <c r="B743" s="19" t="s">
        <v>122</v>
      </c>
      <c r="C743" s="19" t="s">
        <v>6</v>
      </c>
      <c r="D743" s="19" t="s">
        <v>138</v>
      </c>
      <c r="E743" s="19">
        <v>0</v>
      </c>
      <c r="F743" s="19">
        <v>-1</v>
      </c>
    </row>
    <row r="744" spans="1:6" x14ac:dyDescent="0.25">
      <c r="A744" s="20">
        <v>45418</v>
      </c>
      <c r="B744" s="19" t="s">
        <v>122</v>
      </c>
      <c r="C744" s="19" t="s">
        <v>7</v>
      </c>
      <c r="D744" s="19" t="s">
        <v>138</v>
      </c>
      <c r="E744" s="19">
        <v>0</v>
      </c>
      <c r="F744" s="19">
        <v>-1</v>
      </c>
    </row>
    <row r="745" spans="1:6" x14ac:dyDescent="0.25">
      <c r="A745" s="20">
        <v>45418</v>
      </c>
      <c r="B745" s="19" t="s">
        <v>122</v>
      </c>
      <c r="C745" s="19" t="s">
        <v>8</v>
      </c>
      <c r="D745" s="19" t="s">
        <v>138</v>
      </c>
      <c r="E745" s="19">
        <v>0</v>
      </c>
      <c r="F745" s="19">
        <v>-1</v>
      </c>
    </row>
    <row r="746" spans="1:6" x14ac:dyDescent="0.25">
      <c r="A746" s="20">
        <v>45418</v>
      </c>
      <c r="B746" s="19" t="s">
        <v>120</v>
      </c>
      <c r="C746" s="19" t="s">
        <v>6</v>
      </c>
      <c r="D746" s="19" t="s">
        <v>138</v>
      </c>
      <c r="E746" s="19">
        <v>0</v>
      </c>
      <c r="F746" s="19">
        <v>-1</v>
      </c>
    </row>
    <row r="747" spans="1:6" x14ac:dyDescent="0.25">
      <c r="A747" s="20">
        <v>45418</v>
      </c>
      <c r="B747" s="19" t="s">
        <v>120</v>
      </c>
      <c r="C747" s="19" t="s">
        <v>7</v>
      </c>
      <c r="D747" s="19" t="s">
        <v>138</v>
      </c>
      <c r="E747" s="19">
        <v>0</v>
      </c>
      <c r="F747" s="19">
        <v>-1</v>
      </c>
    </row>
    <row r="748" spans="1:6" x14ac:dyDescent="0.25">
      <c r="A748" s="20">
        <v>45418</v>
      </c>
      <c r="B748" s="19" t="s">
        <v>120</v>
      </c>
      <c r="C748" s="19" t="s">
        <v>8</v>
      </c>
      <c r="D748" s="19" t="s">
        <v>138</v>
      </c>
      <c r="E748" s="19">
        <v>0</v>
      </c>
      <c r="F748" s="19">
        <v>-1</v>
      </c>
    </row>
    <row r="749" spans="1:6" x14ac:dyDescent="0.25">
      <c r="A749" s="20">
        <v>45418</v>
      </c>
      <c r="B749" s="19" t="s">
        <v>119</v>
      </c>
      <c r="C749" s="19" t="s">
        <v>6</v>
      </c>
      <c r="D749" s="19" t="s">
        <v>138</v>
      </c>
      <c r="E749" s="19">
        <v>0</v>
      </c>
      <c r="F749" s="19">
        <v>-1</v>
      </c>
    </row>
    <row r="750" spans="1:6" x14ac:dyDescent="0.25">
      <c r="A750" s="20">
        <v>45418</v>
      </c>
      <c r="B750" s="19" t="s">
        <v>119</v>
      </c>
      <c r="C750" s="19" t="s">
        <v>7</v>
      </c>
      <c r="D750" s="19" t="s">
        <v>138</v>
      </c>
      <c r="E750" s="19">
        <v>0</v>
      </c>
      <c r="F750" s="19">
        <v>-1</v>
      </c>
    </row>
    <row r="751" spans="1:6" x14ac:dyDescent="0.25">
      <c r="A751" s="20">
        <v>45418</v>
      </c>
      <c r="B751" s="19" t="s">
        <v>119</v>
      </c>
      <c r="C751" s="19" t="s">
        <v>8</v>
      </c>
      <c r="D751" s="19" t="s">
        <v>138</v>
      </c>
      <c r="E751" s="19">
        <v>0</v>
      </c>
      <c r="F751" s="19">
        <v>-1</v>
      </c>
    </row>
    <row r="752" spans="1:6" x14ac:dyDescent="0.25">
      <c r="A752" s="20">
        <v>45418</v>
      </c>
      <c r="B752" s="19" t="s">
        <v>117</v>
      </c>
      <c r="C752" s="19" t="s">
        <v>6</v>
      </c>
      <c r="D752" s="19" t="s">
        <v>138</v>
      </c>
      <c r="E752" s="19">
        <v>0</v>
      </c>
      <c r="F752" s="19">
        <v>-1</v>
      </c>
    </row>
    <row r="753" spans="1:6" x14ac:dyDescent="0.25">
      <c r="A753" s="20">
        <v>45418</v>
      </c>
      <c r="B753" s="19" t="s">
        <v>117</v>
      </c>
      <c r="C753" s="19" t="s">
        <v>7</v>
      </c>
      <c r="D753" s="19" t="s">
        <v>138</v>
      </c>
      <c r="E753" s="19">
        <v>0</v>
      </c>
      <c r="F753" s="19">
        <v>-1</v>
      </c>
    </row>
    <row r="754" spans="1:6" x14ac:dyDescent="0.25">
      <c r="A754" s="20">
        <v>45418</v>
      </c>
      <c r="B754" s="19" t="s">
        <v>117</v>
      </c>
      <c r="C754" s="19" t="s">
        <v>8</v>
      </c>
      <c r="D754" s="19" t="s">
        <v>138</v>
      </c>
      <c r="E754" s="19">
        <v>0</v>
      </c>
      <c r="F754" s="19">
        <v>-1</v>
      </c>
    </row>
    <row r="755" spans="1:6" x14ac:dyDescent="0.25">
      <c r="A755" s="20">
        <v>45418</v>
      </c>
      <c r="B755" s="19" t="s">
        <v>39</v>
      </c>
      <c r="C755" s="19" t="s">
        <v>6</v>
      </c>
      <c r="D755" s="19" t="s">
        <v>138</v>
      </c>
      <c r="E755" s="19">
        <v>0</v>
      </c>
      <c r="F755" s="19">
        <v>-1</v>
      </c>
    </row>
    <row r="756" spans="1:6" x14ac:dyDescent="0.25">
      <c r="A756" s="20">
        <v>45418</v>
      </c>
      <c r="B756" s="19" t="s">
        <v>39</v>
      </c>
      <c r="C756" s="19" t="s">
        <v>7</v>
      </c>
      <c r="D756" s="19" t="s">
        <v>138</v>
      </c>
      <c r="E756" s="19">
        <v>0</v>
      </c>
      <c r="F756" s="19">
        <v>-1</v>
      </c>
    </row>
    <row r="757" spans="1:6" x14ac:dyDescent="0.25">
      <c r="A757" s="20">
        <v>45418</v>
      </c>
      <c r="B757" s="19" t="s">
        <v>39</v>
      </c>
      <c r="C757" s="19" t="s">
        <v>8</v>
      </c>
      <c r="D757" s="19" t="s">
        <v>138</v>
      </c>
      <c r="E757" s="19">
        <v>0</v>
      </c>
      <c r="F757" s="19">
        <v>-1</v>
      </c>
    </row>
    <row r="758" spans="1:6" x14ac:dyDescent="0.25">
      <c r="A758" s="20">
        <v>45418</v>
      </c>
      <c r="B758" s="19" t="s">
        <v>113</v>
      </c>
      <c r="C758" s="19" t="s">
        <v>6</v>
      </c>
      <c r="D758" s="19" t="s">
        <v>138</v>
      </c>
      <c r="E758" s="19">
        <v>0</v>
      </c>
      <c r="F758" s="19">
        <v>-1</v>
      </c>
    </row>
    <row r="759" spans="1:6" x14ac:dyDescent="0.25">
      <c r="A759" s="20">
        <v>45418</v>
      </c>
      <c r="B759" s="19" t="s">
        <v>113</v>
      </c>
      <c r="C759" s="19" t="s">
        <v>7</v>
      </c>
      <c r="D759" s="19" t="s">
        <v>138</v>
      </c>
      <c r="E759" s="19">
        <v>0</v>
      </c>
      <c r="F759" s="19">
        <v>-1</v>
      </c>
    </row>
    <row r="760" spans="1:6" x14ac:dyDescent="0.25">
      <c r="A760" s="20">
        <v>45418</v>
      </c>
      <c r="B760" s="19" t="s">
        <v>113</v>
      </c>
      <c r="C760" s="19" t="s">
        <v>8</v>
      </c>
      <c r="D760" s="19" t="s">
        <v>138</v>
      </c>
      <c r="E760" s="19">
        <v>0</v>
      </c>
      <c r="F760" s="19">
        <v>-1</v>
      </c>
    </row>
    <row r="761" spans="1:6" x14ac:dyDescent="0.25">
      <c r="A761" s="20">
        <v>45418</v>
      </c>
      <c r="B761" s="19" t="s">
        <v>111</v>
      </c>
      <c r="C761" s="19" t="s">
        <v>6</v>
      </c>
      <c r="D761" s="19" t="s">
        <v>138</v>
      </c>
      <c r="E761" s="19">
        <v>0</v>
      </c>
      <c r="F761" s="19">
        <v>-1</v>
      </c>
    </row>
    <row r="762" spans="1:6" x14ac:dyDescent="0.25">
      <c r="A762" s="20">
        <v>45418</v>
      </c>
      <c r="B762" s="19" t="s">
        <v>111</v>
      </c>
      <c r="C762" s="19" t="s">
        <v>7</v>
      </c>
      <c r="D762" s="19" t="s">
        <v>138</v>
      </c>
      <c r="E762" s="19">
        <v>0</v>
      </c>
      <c r="F762" s="19">
        <v>-1</v>
      </c>
    </row>
    <row r="763" spans="1:6" x14ac:dyDescent="0.25">
      <c r="A763" s="20">
        <v>45418</v>
      </c>
      <c r="B763" s="19" t="s">
        <v>111</v>
      </c>
      <c r="C763" s="19" t="s">
        <v>8</v>
      </c>
      <c r="D763" s="19" t="s">
        <v>138</v>
      </c>
      <c r="E763" s="19">
        <v>0</v>
      </c>
      <c r="F763" s="19">
        <v>-1</v>
      </c>
    </row>
    <row r="764" spans="1:6" x14ac:dyDescent="0.25">
      <c r="A764" s="20">
        <v>45418</v>
      </c>
      <c r="B764" s="19" t="s">
        <v>109</v>
      </c>
      <c r="C764" s="19" t="s">
        <v>6</v>
      </c>
      <c r="D764" s="19" t="s">
        <v>138</v>
      </c>
      <c r="E764" s="19">
        <v>0</v>
      </c>
      <c r="F764" s="19">
        <v>-1</v>
      </c>
    </row>
    <row r="765" spans="1:6" x14ac:dyDescent="0.25">
      <c r="A765" s="20">
        <v>45418</v>
      </c>
      <c r="B765" s="19" t="s">
        <v>109</v>
      </c>
      <c r="C765" s="19" t="s">
        <v>7</v>
      </c>
      <c r="D765" s="19" t="s">
        <v>138</v>
      </c>
      <c r="E765" s="19">
        <v>0</v>
      </c>
      <c r="F765" s="19">
        <v>-1</v>
      </c>
    </row>
    <row r="766" spans="1:6" x14ac:dyDescent="0.25">
      <c r="A766" s="20">
        <v>45418</v>
      </c>
      <c r="B766" s="19" t="s">
        <v>109</v>
      </c>
      <c r="C766" s="19" t="s">
        <v>8</v>
      </c>
      <c r="D766" s="19" t="s">
        <v>138</v>
      </c>
      <c r="E766" s="19">
        <v>0</v>
      </c>
      <c r="F766" s="19">
        <v>-1</v>
      </c>
    </row>
    <row r="767" spans="1:6" x14ac:dyDescent="0.25">
      <c r="A767" s="20">
        <v>45418</v>
      </c>
      <c r="B767" s="19" t="s">
        <v>107</v>
      </c>
      <c r="C767" s="19" t="s">
        <v>6</v>
      </c>
      <c r="D767" s="19" t="s">
        <v>139</v>
      </c>
      <c r="E767" s="19">
        <v>2041</v>
      </c>
      <c r="F767" s="19">
        <v>-1</v>
      </c>
    </row>
    <row r="768" spans="1:6" x14ac:dyDescent="0.25">
      <c r="A768" s="20">
        <v>45418</v>
      </c>
      <c r="B768" s="19" t="s">
        <v>107</v>
      </c>
      <c r="C768" s="19" t="s">
        <v>7</v>
      </c>
      <c r="D768" s="19" t="s">
        <v>139</v>
      </c>
      <c r="E768" s="19">
        <v>2205</v>
      </c>
      <c r="F768" s="19">
        <v>-1</v>
      </c>
    </row>
    <row r="769" spans="1:6" x14ac:dyDescent="0.25">
      <c r="A769" s="20">
        <v>45418</v>
      </c>
      <c r="B769" s="19" t="s">
        <v>107</v>
      </c>
      <c r="C769" s="19" t="s">
        <v>8</v>
      </c>
      <c r="D769" s="19" t="s">
        <v>139</v>
      </c>
      <c r="E769" s="19">
        <v>2088</v>
      </c>
      <c r="F769" s="19">
        <v>-1</v>
      </c>
    </row>
    <row r="770" spans="1:6" x14ac:dyDescent="0.25">
      <c r="A770" s="20">
        <v>45418</v>
      </c>
      <c r="B770" s="19" t="s">
        <v>41</v>
      </c>
      <c r="C770" s="19" t="s">
        <v>6</v>
      </c>
      <c r="D770" s="19" t="s">
        <v>138</v>
      </c>
      <c r="E770" s="19">
        <v>0</v>
      </c>
      <c r="F770" s="19">
        <v>-1</v>
      </c>
    </row>
    <row r="771" spans="1:6" x14ac:dyDescent="0.25">
      <c r="A771" s="20">
        <v>45418</v>
      </c>
      <c r="B771" s="19" t="s">
        <v>41</v>
      </c>
      <c r="C771" s="19" t="s">
        <v>7</v>
      </c>
      <c r="D771" s="19" t="s">
        <v>138</v>
      </c>
      <c r="E771" s="19">
        <v>0</v>
      </c>
      <c r="F771" s="19">
        <v>-1</v>
      </c>
    </row>
    <row r="772" spans="1:6" x14ac:dyDescent="0.25">
      <c r="A772" s="20">
        <v>45418</v>
      </c>
      <c r="B772" s="19" t="s">
        <v>41</v>
      </c>
      <c r="C772" s="19" t="s">
        <v>8</v>
      </c>
      <c r="D772" s="19" t="s">
        <v>138</v>
      </c>
      <c r="E772" s="19">
        <v>0</v>
      </c>
      <c r="F772" s="19">
        <v>-1</v>
      </c>
    </row>
    <row r="773" spans="1:6" x14ac:dyDescent="0.25">
      <c r="A773" s="20">
        <v>45418</v>
      </c>
      <c r="B773" s="19" t="s">
        <v>43</v>
      </c>
      <c r="C773" s="19" t="s">
        <v>6</v>
      </c>
      <c r="D773" s="19" t="s">
        <v>138</v>
      </c>
      <c r="E773" s="19">
        <v>0</v>
      </c>
      <c r="F773" s="19">
        <v>-1</v>
      </c>
    </row>
    <row r="774" spans="1:6" x14ac:dyDescent="0.25">
      <c r="A774" s="20">
        <v>45418</v>
      </c>
      <c r="B774" s="19" t="s">
        <v>43</v>
      </c>
      <c r="C774" s="19" t="s">
        <v>7</v>
      </c>
      <c r="D774" s="19" t="s">
        <v>138</v>
      </c>
      <c r="E774" s="19">
        <v>0</v>
      </c>
      <c r="F774" s="19">
        <v>-1</v>
      </c>
    </row>
    <row r="775" spans="1:6" x14ac:dyDescent="0.25">
      <c r="A775" s="20">
        <v>45418</v>
      </c>
      <c r="B775" s="19" t="s">
        <v>43</v>
      </c>
      <c r="C775" s="19" t="s">
        <v>8</v>
      </c>
      <c r="D775" s="19" t="s">
        <v>138</v>
      </c>
      <c r="E775" s="19">
        <v>0</v>
      </c>
      <c r="F775" s="19">
        <v>-1</v>
      </c>
    </row>
    <row r="776" spans="1:6" x14ac:dyDescent="0.25">
      <c r="A776" s="20">
        <v>45418</v>
      </c>
      <c r="B776" s="19" t="s">
        <v>5</v>
      </c>
      <c r="C776" s="19" t="s">
        <v>6</v>
      </c>
      <c r="D776" s="19" t="s">
        <v>138</v>
      </c>
      <c r="E776" s="19">
        <v>0</v>
      </c>
      <c r="F776" s="19">
        <v>-1</v>
      </c>
    </row>
    <row r="777" spans="1:6" x14ac:dyDescent="0.25">
      <c r="A777" s="20">
        <v>45418</v>
      </c>
      <c r="B777" s="19" t="s">
        <v>5</v>
      </c>
      <c r="C777" s="19" t="s">
        <v>7</v>
      </c>
      <c r="D777" s="19" t="s">
        <v>138</v>
      </c>
      <c r="E777" s="19">
        <v>0</v>
      </c>
      <c r="F777" s="19">
        <v>-1</v>
      </c>
    </row>
    <row r="778" spans="1:6" x14ac:dyDescent="0.25">
      <c r="A778" s="20">
        <v>45418</v>
      </c>
      <c r="B778" s="19" t="s">
        <v>5</v>
      </c>
      <c r="C778" s="19" t="s">
        <v>8</v>
      </c>
      <c r="D778" s="19" t="s">
        <v>138</v>
      </c>
      <c r="E778" s="19">
        <v>0</v>
      </c>
      <c r="F778" s="19">
        <v>-1</v>
      </c>
    </row>
    <row r="779" spans="1:6" x14ac:dyDescent="0.25">
      <c r="A779" s="20">
        <v>45418</v>
      </c>
      <c r="B779" s="19" t="s">
        <v>9</v>
      </c>
      <c r="C779" s="19" t="s">
        <v>6</v>
      </c>
      <c r="D779" s="19" t="s">
        <v>138</v>
      </c>
      <c r="E779" s="19">
        <v>0</v>
      </c>
      <c r="F779" s="19">
        <v>-1</v>
      </c>
    </row>
    <row r="780" spans="1:6" x14ac:dyDescent="0.25">
      <c r="A780" s="20">
        <v>45418</v>
      </c>
      <c r="B780" s="19" t="s">
        <v>9</v>
      </c>
      <c r="C780" s="19" t="s">
        <v>7</v>
      </c>
      <c r="D780" s="19" t="s">
        <v>138</v>
      </c>
      <c r="E780" s="19">
        <v>0</v>
      </c>
      <c r="F780" s="19">
        <v>-1</v>
      </c>
    </row>
    <row r="781" spans="1:6" x14ac:dyDescent="0.25">
      <c r="A781" s="20">
        <v>45418</v>
      </c>
      <c r="B781" s="19" t="s">
        <v>9</v>
      </c>
      <c r="C781" s="19" t="s">
        <v>8</v>
      </c>
      <c r="D781" s="19" t="s">
        <v>138</v>
      </c>
      <c r="E781" s="19">
        <v>0</v>
      </c>
      <c r="F781" s="19">
        <v>-1</v>
      </c>
    </row>
    <row r="782" spans="1:6" x14ac:dyDescent="0.25">
      <c r="A782" s="20">
        <v>45418</v>
      </c>
      <c r="B782" s="19" t="s">
        <v>10</v>
      </c>
      <c r="C782" s="19" t="s">
        <v>6</v>
      </c>
      <c r="D782" s="19" t="s">
        <v>138</v>
      </c>
      <c r="E782" s="19">
        <v>0</v>
      </c>
      <c r="F782" s="19">
        <v>-1</v>
      </c>
    </row>
    <row r="783" spans="1:6" x14ac:dyDescent="0.25">
      <c r="A783" s="20">
        <v>45418</v>
      </c>
      <c r="B783" s="19" t="s">
        <v>10</v>
      </c>
      <c r="C783" s="19" t="s">
        <v>7</v>
      </c>
      <c r="D783" s="19" t="s">
        <v>138</v>
      </c>
      <c r="E783" s="19">
        <v>0</v>
      </c>
      <c r="F783" s="19">
        <v>-1</v>
      </c>
    </row>
    <row r="784" spans="1:6" x14ac:dyDescent="0.25">
      <c r="A784" s="20">
        <v>45418</v>
      </c>
      <c r="B784" s="19" t="s">
        <v>10</v>
      </c>
      <c r="C784" s="19" t="s">
        <v>8</v>
      </c>
      <c r="D784" s="19" t="s">
        <v>138</v>
      </c>
      <c r="E784" s="19">
        <v>0</v>
      </c>
      <c r="F784" s="19">
        <v>-1</v>
      </c>
    </row>
    <row r="785" spans="1:6" x14ac:dyDescent="0.25">
      <c r="A785" s="20">
        <v>45418</v>
      </c>
      <c r="B785" s="19" t="s">
        <v>11</v>
      </c>
      <c r="C785" s="19" t="s">
        <v>6</v>
      </c>
      <c r="D785" s="19" t="s">
        <v>139</v>
      </c>
      <c r="E785" s="19">
        <v>2400</v>
      </c>
      <c r="F785" s="19">
        <v>-1</v>
      </c>
    </row>
    <row r="786" spans="1:6" x14ac:dyDescent="0.25">
      <c r="A786" s="20">
        <v>45418</v>
      </c>
      <c r="B786" s="19" t="s">
        <v>11</v>
      </c>
      <c r="C786" s="19" t="s">
        <v>7</v>
      </c>
      <c r="D786" s="19" t="s">
        <v>139</v>
      </c>
      <c r="E786" s="19">
        <v>2559</v>
      </c>
      <c r="F786" s="19">
        <v>-1</v>
      </c>
    </row>
    <row r="787" spans="1:6" x14ac:dyDescent="0.25">
      <c r="A787" s="20">
        <v>45418</v>
      </c>
      <c r="B787" s="19" t="s">
        <v>11</v>
      </c>
      <c r="C787" s="19" t="s">
        <v>8</v>
      </c>
      <c r="D787" s="19" t="s">
        <v>139</v>
      </c>
      <c r="E787" s="19">
        <v>2551</v>
      </c>
      <c r="F787" s="19">
        <v>-1</v>
      </c>
    </row>
    <row r="788" spans="1:6" x14ac:dyDescent="0.25">
      <c r="A788" s="20">
        <v>45418</v>
      </c>
      <c r="B788" s="19" t="s">
        <v>12</v>
      </c>
      <c r="C788" s="19" t="s">
        <v>6</v>
      </c>
      <c r="D788" s="19" t="s">
        <v>138</v>
      </c>
      <c r="E788" s="19">
        <v>0</v>
      </c>
      <c r="F788" s="19">
        <v>-1</v>
      </c>
    </row>
    <row r="789" spans="1:6" x14ac:dyDescent="0.25">
      <c r="A789" s="20">
        <v>45418</v>
      </c>
      <c r="B789" s="19" t="s">
        <v>12</v>
      </c>
      <c r="C789" s="19" t="s">
        <v>7</v>
      </c>
      <c r="D789" s="19" t="s">
        <v>138</v>
      </c>
      <c r="E789" s="19">
        <v>0</v>
      </c>
      <c r="F789" s="19">
        <v>-1</v>
      </c>
    </row>
    <row r="790" spans="1:6" x14ac:dyDescent="0.25">
      <c r="A790" s="20">
        <v>45418</v>
      </c>
      <c r="B790" s="19" t="s">
        <v>12</v>
      </c>
      <c r="C790" s="19" t="s">
        <v>8</v>
      </c>
      <c r="D790" s="19" t="s">
        <v>138</v>
      </c>
      <c r="E790" s="19">
        <v>0</v>
      </c>
      <c r="F790" s="19">
        <v>-1</v>
      </c>
    </row>
    <row r="791" spans="1:6" x14ac:dyDescent="0.25">
      <c r="A791" s="20">
        <v>45418</v>
      </c>
      <c r="B791" s="19" t="s">
        <v>105</v>
      </c>
      <c r="C791" s="19" t="s">
        <v>6</v>
      </c>
      <c r="D791" s="19" t="s">
        <v>139</v>
      </c>
      <c r="E791" s="19">
        <v>2294</v>
      </c>
      <c r="F791" s="19">
        <v>-1</v>
      </c>
    </row>
    <row r="792" spans="1:6" x14ac:dyDescent="0.25">
      <c r="A792" s="20">
        <v>45418</v>
      </c>
      <c r="B792" s="19" t="s">
        <v>105</v>
      </c>
      <c r="C792" s="19" t="s">
        <v>7</v>
      </c>
      <c r="D792" s="19" t="s">
        <v>139</v>
      </c>
      <c r="E792" s="19">
        <v>2413</v>
      </c>
      <c r="F792" s="19">
        <v>-1</v>
      </c>
    </row>
    <row r="793" spans="1:6" x14ac:dyDescent="0.25">
      <c r="A793" s="20">
        <v>45418</v>
      </c>
      <c r="B793" s="19" t="s">
        <v>105</v>
      </c>
      <c r="C793" s="19" t="s">
        <v>8</v>
      </c>
      <c r="D793" s="19" t="s">
        <v>139</v>
      </c>
      <c r="E793" s="19">
        <v>2415</v>
      </c>
      <c r="F793" s="19">
        <v>-1</v>
      </c>
    </row>
    <row r="794" spans="1:6" x14ac:dyDescent="0.25">
      <c r="A794" s="20">
        <v>45418</v>
      </c>
      <c r="B794" s="19" t="s">
        <v>104</v>
      </c>
      <c r="C794" s="19" t="s">
        <v>6</v>
      </c>
      <c r="D794" s="19" t="s">
        <v>138</v>
      </c>
      <c r="E794" s="19">
        <v>0</v>
      </c>
      <c r="F794" s="19">
        <v>-1</v>
      </c>
    </row>
    <row r="795" spans="1:6" x14ac:dyDescent="0.25">
      <c r="A795" s="20">
        <v>45418</v>
      </c>
      <c r="B795" s="19" t="s">
        <v>104</v>
      </c>
      <c r="C795" s="19" t="s">
        <v>7</v>
      </c>
      <c r="D795" s="19" t="s">
        <v>138</v>
      </c>
      <c r="E795" s="19">
        <v>0</v>
      </c>
      <c r="F795" s="19">
        <v>-1</v>
      </c>
    </row>
    <row r="796" spans="1:6" x14ac:dyDescent="0.25">
      <c r="A796" s="20">
        <v>45418</v>
      </c>
      <c r="B796" s="19" t="s">
        <v>104</v>
      </c>
      <c r="C796" s="19" t="s">
        <v>8</v>
      </c>
      <c r="D796" s="19" t="s">
        <v>138</v>
      </c>
      <c r="E796" s="19">
        <v>0</v>
      </c>
      <c r="F796" s="19">
        <v>-1</v>
      </c>
    </row>
    <row r="797" spans="1:6" x14ac:dyDescent="0.25">
      <c r="A797" s="20">
        <v>45418</v>
      </c>
      <c r="B797" s="19" t="s">
        <v>13</v>
      </c>
      <c r="C797" s="19" t="s">
        <v>6</v>
      </c>
      <c r="D797" s="19" t="s">
        <v>139</v>
      </c>
      <c r="E797" s="19">
        <v>2160</v>
      </c>
      <c r="F797" s="19">
        <v>-1</v>
      </c>
    </row>
    <row r="798" spans="1:6" x14ac:dyDescent="0.25">
      <c r="A798" s="20">
        <v>45418</v>
      </c>
      <c r="B798" s="19" t="s">
        <v>13</v>
      </c>
      <c r="C798" s="19" t="s">
        <v>7</v>
      </c>
      <c r="D798" s="19" t="s">
        <v>139</v>
      </c>
      <c r="E798" s="19">
        <v>2261</v>
      </c>
      <c r="F798" s="19">
        <v>-1</v>
      </c>
    </row>
    <row r="799" spans="1:6" x14ac:dyDescent="0.25">
      <c r="A799" s="20">
        <v>45418</v>
      </c>
      <c r="B799" s="19" t="s">
        <v>13</v>
      </c>
      <c r="C799" s="19" t="s">
        <v>8</v>
      </c>
      <c r="D799" s="19" t="s">
        <v>139</v>
      </c>
      <c r="E799" s="19">
        <v>2266</v>
      </c>
      <c r="F799" s="19">
        <v>-1</v>
      </c>
    </row>
    <row r="800" spans="1:6" x14ac:dyDescent="0.25">
      <c r="A800" s="20">
        <v>45418</v>
      </c>
      <c r="B800" s="19" t="s">
        <v>103</v>
      </c>
      <c r="C800" s="19" t="s">
        <v>6</v>
      </c>
      <c r="D800" s="19" t="s">
        <v>138</v>
      </c>
      <c r="E800" s="19">
        <v>0</v>
      </c>
      <c r="F800" s="19">
        <v>-1</v>
      </c>
    </row>
    <row r="801" spans="1:6" x14ac:dyDescent="0.25">
      <c r="A801" s="20">
        <v>45418</v>
      </c>
      <c r="B801" s="19" t="s">
        <v>103</v>
      </c>
      <c r="C801" s="19" t="s">
        <v>7</v>
      </c>
      <c r="D801" s="19" t="s">
        <v>138</v>
      </c>
      <c r="E801" s="19">
        <v>0</v>
      </c>
      <c r="F801" s="19">
        <v>-1</v>
      </c>
    </row>
    <row r="802" spans="1:6" x14ac:dyDescent="0.25">
      <c r="A802" s="20">
        <v>45418</v>
      </c>
      <c r="B802" s="19" t="s">
        <v>103</v>
      </c>
      <c r="C802" s="19" t="s">
        <v>8</v>
      </c>
      <c r="D802" s="19" t="s">
        <v>138</v>
      </c>
      <c r="E802" s="19">
        <v>0</v>
      </c>
      <c r="F802" s="19">
        <v>-1</v>
      </c>
    </row>
    <row r="803" spans="1:6" x14ac:dyDescent="0.25">
      <c r="A803" s="20">
        <v>45418</v>
      </c>
      <c r="B803" s="19" t="s">
        <v>101</v>
      </c>
      <c r="C803" s="19" t="s">
        <v>6</v>
      </c>
      <c r="D803" s="19" t="s">
        <v>138</v>
      </c>
      <c r="E803" s="19">
        <v>0</v>
      </c>
      <c r="F803" s="19">
        <v>-1</v>
      </c>
    </row>
    <row r="804" spans="1:6" x14ac:dyDescent="0.25">
      <c r="A804" s="20">
        <v>45418</v>
      </c>
      <c r="B804" s="19" t="s">
        <v>101</v>
      </c>
      <c r="C804" s="19" t="s">
        <v>7</v>
      </c>
      <c r="D804" s="19" t="s">
        <v>138</v>
      </c>
      <c r="E804" s="19">
        <v>0</v>
      </c>
      <c r="F804" s="19">
        <v>-1</v>
      </c>
    </row>
    <row r="805" spans="1:6" x14ac:dyDescent="0.25">
      <c r="A805" s="20">
        <v>45418</v>
      </c>
      <c r="B805" s="19" t="s">
        <v>101</v>
      </c>
      <c r="C805" s="19" t="s">
        <v>8</v>
      </c>
      <c r="D805" s="19" t="s">
        <v>138</v>
      </c>
      <c r="E805" s="19">
        <v>0</v>
      </c>
      <c r="F805" s="19">
        <v>-1</v>
      </c>
    </row>
    <row r="806" spans="1:6" x14ac:dyDescent="0.25">
      <c r="A806" s="20">
        <v>45418</v>
      </c>
      <c r="B806" s="19" t="s">
        <v>99</v>
      </c>
      <c r="C806" s="19" t="s">
        <v>6</v>
      </c>
      <c r="D806" s="19" t="s">
        <v>138</v>
      </c>
      <c r="E806" s="19">
        <v>0</v>
      </c>
      <c r="F806" s="19">
        <v>-1</v>
      </c>
    </row>
    <row r="807" spans="1:6" x14ac:dyDescent="0.25">
      <c r="A807" s="20">
        <v>45418</v>
      </c>
      <c r="B807" s="19" t="s">
        <v>99</v>
      </c>
      <c r="C807" s="19" t="s">
        <v>7</v>
      </c>
      <c r="D807" s="19" t="s">
        <v>138</v>
      </c>
      <c r="E807" s="19">
        <v>0</v>
      </c>
      <c r="F807" s="19">
        <v>-1</v>
      </c>
    </row>
    <row r="808" spans="1:6" x14ac:dyDescent="0.25">
      <c r="A808" s="20">
        <v>45418</v>
      </c>
      <c r="B808" s="19" t="s">
        <v>99</v>
      </c>
      <c r="C808" s="19" t="s">
        <v>8</v>
      </c>
      <c r="D808" s="19" t="s">
        <v>138</v>
      </c>
      <c r="E808" s="19">
        <v>0</v>
      </c>
      <c r="F808" s="19">
        <v>-1</v>
      </c>
    </row>
    <row r="809" spans="1:6" x14ac:dyDescent="0.25">
      <c r="A809" s="20">
        <v>45418</v>
      </c>
      <c r="B809" s="19" t="s">
        <v>97</v>
      </c>
      <c r="C809" s="19" t="s">
        <v>6</v>
      </c>
      <c r="D809" s="19" t="s">
        <v>138</v>
      </c>
      <c r="E809" s="19">
        <v>0</v>
      </c>
      <c r="F809" s="19">
        <v>-1</v>
      </c>
    </row>
    <row r="810" spans="1:6" x14ac:dyDescent="0.25">
      <c r="A810" s="20">
        <v>45418</v>
      </c>
      <c r="B810" s="19" t="s">
        <v>97</v>
      </c>
      <c r="C810" s="19" t="s">
        <v>7</v>
      </c>
      <c r="D810" s="19" t="s">
        <v>138</v>
      </c>
      <c r="E810" s="19">
        <v>0</v>
      </c>
      <c r="F810" s="19">
        <v>-1</v>
      </c>
    </row>
    <row r="811" spans="1:6" x14ac:dyDescent="0.25">
      <c r="A811" s="20">
        <v>45418</v>
      </c>
      <c r="B811" s="19" t="s">
        <v>97</v>
      </c>
      <c r="C811" s="19" t="s">
        <v>8</v>
      </c>
      <c r="D811" s="19" t="s">
        <v>138</v>
      </c>
      <c r="E811" s="19">
        <v>0</v>
      </c>
      <c r="F811" s="19">
        <v>-1</v>
      </c>
    </row>
    <row r="812" spans="1:6" x14ac:dyDescent="0.25">
      <c r="A812" s="20">
        <v>45418</v>
      </c>
      <c r="B812" s="19" t="s">
        <v>95</v>
      </c>
      <c r="C812" s="19" t="s">
        <v>6</v>
      </c>
      <c r="D812" s="19" t="s">
        <v>138</v>
      </c>
      <c r="E812" s="19">
        <v>0</v>
      </c>
      <c r="F812" s="19">
        <v>-1</v>
      </c>
    </row>
    <row r="813" spans="1:6" x14ac:dyDescent="0.25">
      <c r="A813" s="20">
        <v>45418</v>
      </c>
      <c r="B813" s="19" t="s">
        <v>95</v>
      </c>
      <c r="C813" s="19" t="s">
        <v>7</v>
      </c>
      <c r="D813" s="19" t="s">
        <v>138</v>
      </c>
      <c r="E813" s="19">
        <v>0</v>
      </c>
      <c r="F813" s="19">
        <v>-1</v>
      </c>
    </row>
    <row r="814" spans="1:6" x14ac:dyDescent="0.25">
      <c r="A814" s="20">
        <v>45418</v>
      </c>
      <c r="B814" s="19" t="s">
        <v>95</v>
      </c>
      <c r="C814" s="19" t="s">
        <v>8</v>
      </c>
      <c r="D814" s="19" t="s">
        <v>138</v>
      </c>
      <c r="E814" s="19">
        <v>0</v>
      </c>
      <c r="F814" s="19">
        <v>-1</v>
      </c>
    </row>
    <row r="815" spans="1:6" x14ac:dyDescent="0.25">
      <c r="A815" s="20">
        <v>45418</v>
      </c>
      <c r="B815" s="19" t="s">
        <v>14</v>
      </c>
      <c r="C815" s="19" t="s">
        <v>6</v>
      </c>
      <c r="D815" s="19" t="s">
        <v>138</v>
      </c>
      <c r="E815" s="19">
        <v>0</v>
      </c>
      <c r="F815" s="19">
        <v>-1</v>
      </c>
    </row>
    <row r="816" spans="1:6" x14ac:dyDescent="0.25">
      <c r="A816" s="20">
        <v>45418</v>
      </c>
      <c r="B816" s="19" t="s">
        <v>14</v>
      </c>
      <c r="C816" s="19" t="s">
        <v>7</v>
      </c>
      <c r="D816" s="19" t="s">
        <v>138</v>
      </c>
      <c r="E816" s="19">
        <v>0</v>
      </c>
      <c r="F816" s="19">
        <v>-1</v>
      </c>
    </row>
    <row r="817" spans="1:6" x14ac:dyDescent="0.25">
      <c r="A817" s="20">
        <v>45418</v>
      </c>
      <c r="B817" s="19" t="s">
        <v>14</v>
      </c>
      <c r="C817" s="19" t="s">
        <v>8</v>
      </c>
      <c r="D817" s="19" t="s">
        <v>138</v>
      </c>
      <c r="E817" s="19">
        <v>0</v>
      </c>
      <c r="F817" s="19">
        <v>-1</v>
      </c>
    </row>
    <row r="818" spans="1:6" x14ac:dyDescent="0.25">
      <c r="A818" s="20">
        <v>45418</v>
      </c>
      <c r="B818" s="19" t="s">
        <v>91</v>
      </c>
      <c r="C818" s="19" t="s">
        <v>6</v>
      </c>
      <c r="D818" s="19" t="s">
        <v>138</v>
      </c>
      <c r="E818" s="19">
        <v>0</v>
      </c>
      <c r="F818" s="19">
        <v>-1</v>
      </c>
    </row>
    <row r="819" spans="1:6" x14ac:dyDescent="0.25">
      <c r="A819" s="20">
        <v>45418</v>
      </c>
      <c r="B819" s="19" t="s">
        <v>91</v>
      </c>
      <c r="C819" s="19" t="s">
        <v>7</v>
      </c>
      <c r="D819" s="19" t="s">
        <v>138</v>
      </c>
      <c r="E819" s="19">
        <v>0</v>
      </c>
      <c r="F819" s="19">
        <v>-1</v>
      </c>
    </row>
    <row r="820" spans="1:6" x14ac:dyDescent="0.25">
      <c r="A820" s="20">
        <v>45418</v>
      </c>
      <c r="B820" s="19" t="s">
        <v>91</v>
      </c>
      <c r="C820" s="19" t="s">
        <v>8</v>
      </c>
      <c r="D820" s="19" t="s">
        <v>138</v>
      </c>
      <c r="E820" s="19">
        <v>0</v>
      </c>
      <c r="F820" s="19">
        <v>-1</v>
      </c>
    </row>
    <row r="821" spans="1:6" x14ac:dyDescent="0.25">
      <c r="A821" s="20">
        <v>45418</v>
      </c>
      <c r="B821" s="19" t="s">
        <v>15</v>
      </c>
      <c r="C821" s="19" t="s">
        <v>6</v>
      </c>
      <c r="D821" s="19" t="s">
        <v>138</v>
      </c>
      <c r="E821" s="19">
        <v>0</v>
      </c>
      <c r="F821" s="19">
        <v>-1</v>
      </c>
    </row>
    <row r="822" spans="1:6" x14ac:dyDescent="0.25">
      <c r="A822" s="20">
        <v>45418</v>
      </c>
      <c r="B822" s="19" t="s">
        <v>15</v>
      </c>
      <c r="C822" s="19" t="s">
        <v>7</v>
      </c>
      <c r="D822" s="19" t="s">
        <v>138</v>
      </c>
      <c r="E822" s="19">
        <v>0</v>
      </c>
      <c r="F822" s="19">
        <v>-1</v>
      </c>
    </row>
    <row r="823" spans="1:6" x14ac:dyDescent="0.25">
      <c r="A823" s="20">
        <v>45418</v>
      </c>
      <c r="B823" s="19" t="s">
        <v>15</v>
      </c>
      <c r="C823" s="19" t="s">
        <v>8</v>
      </c>
      <c r="D823" s="19" t="s">
        <v>138</v>
      </c>
      <c r="E823" s="19">
        <v>0</v>
      </c>
      <c r="F823" s="19">
        <v>-1</v>
      </c>
    </row>
    <row r="824" spans="1:6" x14ac:dyDescent="0.25">
      <c r="A824" s="20">
        <v>45418</v>
      </c>
      <c r="B824" s="19" t="s">
        <v>89</v>
      </c>
      <c r="C824" s="19" t="s">
        <v>6</v>
      </c>
      <c r="D824" s="19" t="s">
        <v>138</v>
      </c>
      <c r="E824" s="19">
        <v>0</v>
      </c>
      <c r="F824" s="19">
        <v>-1</v>
      </c>
    </row>
    <row r="825" spans="1:6" x14ac:dyDescent="0.25">
      <c r="A825" s="20">
        <v>45418</v>
      </c>
      <c r="B825" s="19" t="s">
        <v>89</v>
      </c>
      <c r="C825" s="19" t="s">
        <v>7</v>
      </c>
      <c r="D825" s="19" t="s">
        <v>138</v>
      </c>
      <c r="E825" s="19">
        <v>0</v>
      </c>
      <c r="F825" s="19">
        <v>-1</v>
      </c>
    </row>
    <row r="826" spans="1:6" x14ac:dyDescent="0.25">
      <c r="A826" s="20">
        <v>45418</v>
      </c>
      <c r="B826" s="19" t="s">
        <v>89</v>
      </c>
      <c r="C826" s="19" t="s">
        <v>8</v>
      </c>
      <c r="D826" s="19" t="s">
        <v>138</v>
      </c>
      <c r="E826" s="19">
        <v>0</v>
      </c>
      <c r="F826" s="19">
        <v>-1</v>
      </c>
    </row>
    <row r="827" spans="1:6" x14ac:dyDescent="0.25">
      <c r="A827" s="20">
        <v>45418</v>
      </c>
      <c r="B827" s="19" t="s">
        <v>16</v>
      </c>
      <c r="C827" s="19" t="s">
        <v>6</v>
      </c>
      <c r="D827" s="19" t="s">
        <v>138</v>
      </c>
      <c r="E827" s="19">
        <v>0</v>
      </c>
      <c r="F827" s="19">
        <v>-1</v>
      </c>
    </row>
    <row r="828" spans="1:6" x14ac:dyDescent="0.25">
      <c r="A828" s="20">
        <v>45418</v>
      </c>
      <c r="B828" s="19" t="s">
        <v>16</v>
      </c>
      <c r="C828" s="19" t="s">
        <v>7</v>
      </c>
      <c r="D828" s="19" t="s">
        <v>138</v>
      </c>
      <c r="E828" s="19">
        <v>0</v>
      </c>
      <c r="F828" s="19">
        <v>-1</v>
      </c>
    </row>
    <row r="829" spans="1:6" x14ac:dyDescent="0.25">
      <c r="A829" s="20">
        <v>45418</v>
      </c>
      <c r="B829" s="19" t="s">
        <v>16</v>
      </c>
      <c r="C829" s="19" t="s">
        <v>8</v>
      </c>
      <c r="D829" s="19" t="s">
        <v>138</v>
      </c>
      <c r="E829" s="19">
        <v>0</v>
      </c>
      <c r="F829" s="19">
        <v>-1</v>
      </c>
    </row>
    <row r="830" spans="1:6" x14ac:dyDescent="0.25">
      <c r="A830" s="20">
        <v>45418</v>
      </c>
      <c r="B830" s="19" t="s">
        <v>88</v>
      </c>
      <c r="C830" s="19" t="s">
        <v>6</v>
      </c>
      <c r="D830" s="19" t="s">
        <v>138</v>
      </c>
      <c r="E830" s="19">
        <v>0</v>
      </c>
      <c r="F830" s="19">
        <v>-1</v>
      </c>
    </row>
    <row r="831" spans="1:6" x14ac:dyDescent="0.25">
      <c r="A831" s="20">
        <v>45418</v>
      </c>
      <c r="B831" s="19" t="s">
        <v>88</v>
      </c>
      <c r="C831" s="19" t="s">
        <v>7</v>
      </c>
      <c r="D831" s="19" t="s">
        <v>138</v>
      </c>
      <c r="E831" s="19">
        <v>0</v>
      </c>
      <c r="F831" s="19">
        <v>-1</v>
      </c>
    </row>
    <row r="832" spans="1:6" x14ac:dyDescent="0.25">
      <c r="A832" s="20">
        <v>45418</v>
      </c>
      <c r="B832" s="19" t="s">
        <v>88</v>
      </c>
      <c r="C832" s="19" t="s">
        <v>8</v>
      </c>
      <c r="D832" s="19" t="s">
        <v>138</v>
      </c>
      <c r="E832" s="19">
        <v>0</v>
      </c>
      <c r="F832" s="19">
        <v>-1</v>
      </c>
    </row>
    <row r="833" spans="1:6" x14ac:dyDescent="0.25">
      <c r="A833" s="20">
        <v>45418</v>
      </c>
      <c r="B833" s="19" t="s">
        <v>17</v>
      </c>
      <c r="C833" s="19" t="s">
        <v>6</v>
      </c>
      <c r="D833" s="19" t="s">
        <v>138</v>
      </c>
      <c r="E833" s="19">
        <v>0</v>
      </c>
      <c r="F833" s="19">
        <v>-1</v>
      </c>
    </row>
    <row r="834" spans="1:6" x14ac:dyDescent="0.25">
      <c r="A834" s="20">
        <v>45418</v>
      </c>
      <c r="B834" s="19" t="s">
        <v>17</v>
      </c>
      <c r="C834" s="19" t="s">
        <v>7</v>
      </c>
      <c r="D834" s="19" t="s">
        <v>138</v>
      </c>
      <c r="E834" s="19">
        <v>0</v>
      </c>
      <c r="F834" s="19">
        <v>-1</v>
      </c>
    </row>
    <row r="835" spans="1:6" x14ac:dyDescent="0.25">
      <c r="A835" s="20">
        <v>45418</v>
      </c>
      <c r="B835" s="19" t="s">
        <v>17</v>
      </c>
      <c r="C835" s="19" t="s">
        <v>8</v>
      </c>
      <c r="D835" s="19" t="s">
        <v>138</v>
      </c>
      <c r="E835" s="19">
        <v>0</v>
      </c>
      <c r="F835" s="19">
        <v>-1</v>
      </c>
    </row>
    <row r="836" spans="1:6" x14ac:dyDescent="0.25">
      <c r="A836" s="20">
        <v>45418</v>
      </c>
      <c r="B836" s="19" t="s">
        <v>19</v>
      </c>
      <c r="C836" s="19" t="s">
        <v>6</v>
      </c>
      <c r="D836" s="19" t="s">
        <v>138</v>
      </c>
      <c r="E836" s="19">
        <v>0</v>
      </c>
      <c r="F836" s="19">
        <v>-1</v>
      </c>
    </row>
    <row r="837" spans="1:6" x14ac:dyDescent="0.25">
      <c r="A837" s="20">
        <v>45418</v>
      </c>
      <c r="B837" s="19" t="s">
        <v>19</v>
      </c>
      <c r="C837" s="19" t="s">
        <v>7</v>
      </c>
      <c r="D837" s="19" t="s">
        <v>138</v>
      </c>
      <c r="E837" s="19">
        <v>0</v>
      </c>
      <c r="F837" s="19">
        <v>-1</v>
      </c>
    </row>
    <row r="838" spans="1:6" x14ac:dyDescent="0.25">
      <c r="A838" s="20">
        <v>45418</v>
      </c>
      <c r="B838" s="19" t="s">
        <v>19</v>
      </c>
      <c r="C838" s="19" t="s">
        <v>8</v>
      </c>
      <c r="D838" s="19" t="s">
        <v>138</v>
      </c>
      <c r="E838" s="19">
        <v>0</v>
      </c>
      <c r="F838" s="19">
        <v>-1</v>
      </c>
    </row>
    <row r="839" spans="1:6" x14ac:dyDescent="0.25">
      <c r="A839" s="20">
        <v>45418</v>
      </c>
      <c r="B839" s="19" t="s">
        <v>18</v>
      </c>
      <c r="C839" s="19" t="s">
        <v>6</v>
      </c>
      <c r="D839" s="19" t="s">
        <v>138</v>
      </c>
      <c r="E839" s="19">
        <v>0</v>
      </c>
      <c r="F839" s="19">
        <v>-1</v>
      </c>
    </row>
    <row r="840" spans="1:6" x14ac:dyDescent="0.25">
      <c r="A840" s="20">
        <v>45418</v>
      </c>
      <c r="B840" s="19" t="s">
        <v>18</v>
      </c>
      <c r="C840" s="19" t="s">
        <v>7</v>
      </c>
      <c r="D840" s="19" t="s">
        <v>138</v>
      </c>
      <c r="E840" s="19">
        <v>0</v>
      </c>
      <c r="F840" s="19">
        <v>-1</v>
      </c>
    </row>
    <row r="841" spans="1:6" x14ac:dyDescent="0.25">
      <c r="A841" s="20">
        <v>45418</v>
      </c>
      <c r="B841" s="19" t="s">
        <v>18</v>
      </c>
      <c r="C841" s="19" t="s">
        <v>8</v>
      </c>
      <c r="D841" s="19" t="s">
        <v>138</v>
      </c>
      <c r="E841" s="19">
        <v>0</v>
      </c>
      <c r="F841" s="19">
        <v>-1</v>
      </c>
    </row>
    <row r="842" spans="1:6" x14ac:dyDescent="0.25">
      <c r="A842" s="20">
        <v>45418</v>
      </c>
      <c r="B842" s="19" t="s">
        <v>87</v>
      </c>
      <c r="C842" s="19" t="s">
        <v>6</v>
      </c>
      <c r="D842" s="19" t="s">
        <v>138</v>
      </c>
      <c r="E842" s="19">
        <v>0</v>
      </c>
      <c r="F842" s="19">
        <v>-1</v>
      </c>
    </row>
    <row r="843" spans="1:6" x14ac:dyDescent="0.25">
      <c r="A843" s="20">
        <v>45418</v>
      </c>
      <c r="B843" s="19" t="s">
        <v>87</v>
      </c>
      <c r="C843" s="19" t="s">
        <v>7</v>
      </c>
      <c r="D843" s="19" t="s">
        <v>138</v>
      </c>
      <c r="E843" s="19">
        <v>0</v>
      </c>
      <c r="F843" s="19">
        <v>-1</v>
      </c>
    </row>
    <row r="844" spans="1:6" x14ac:dyDescent="0.25">
      <c r="A844" s="20">
        <v>45418</v>
      </c>
      <c r="B844" s="19" t="s">
        <v>87</v>
      </c>
      <c r="C844" s="19" t="s">
        <v>8</v>
      </c>
      <c r="D844" s="19" t="s">
        <v>138</v>
      </c>
      <c r="E844" s="19">
        <v>0</v>
      </c>
      <c r="F844" s="19">
        <v>-1</v>
      </c>
    </row>
    <row r="845" spans="1:6" x14ac:dyDescent="0.25">
      <c r="A845" s="20">
        <v>45418</v>
      </c>
      <c r="B845" s="19" t="s">
        <v>42</v>
      </c>
      <c r="C845" s="19" t="s">
        <v>6</v>
      </c>
      <c r="D845" s="19" t="s">
        <v>138</v>
      </c>
      <c r="E845" s="19">
        <v>0</v>
      </c>
      <c r="F845" s="19">
        <v>-1</v>
      </c>
    </row>
    <row r="846" spans="1:6" x14ac:dyDescent="0.25">
      <c r="A846" s="20">
        <v>45418</v>
      </c>
      <c r="B846" s="19" t="s">
        <v>42</v>
      </c>
      <c r="C846" s="19" t="s">
        <v>7</v>
      </c>
      <c r="D846" s="19" t="s">
        <v>138</v>
      </c>
      <c r="E846" s="19">
        <v>0</v>
      </c>
      <c r="F846" s="19">
        <v>-1</v>
      </c>
    </row>
    <row r="847" spans="1:6" x14ac:dyDescent="0.25">
      <c r="A847" s="20">
        <v>45418</v>
      </c>
      <c r="B847" s="19" t="s">
        <v>42</v>
      </c>
      <c r="C847" s="19" t="s">
        <v>8</v>
      </c>
      <c r="D847" s="19" t="s">
        <v>138</v>
      </c>
      <c r="E847" s="19">
        <v>0</v>
      </c>
      <c r="F847" s="19">
        <v>-1</v>
      </c>
    </row>
    <row r="848" spans="1:6" x14ac:dyDescent="0.25">
      <c r="A848" s="20">
        <v>45418</v>
      </c>
      <c r="B848" s="19" t="s">
        <v>86</v>
      </c>
      <c r="C848" s="19" t="s">
        <v>6</v>
      </c>
      <c r="D848" s="19" t="s">
        <v>138</v>
      </c>
      <c r="E848" s="19">
        <v>0</v>
      </c>
      <c r="F848" s="19">
        <v>-1</v>
      </c>
    </row>
    <row r="849" spans="1:6" x14ac:dyDescent="0.25">
      <c r="A849" s="20">
        <v>45418</v>
      </c>
      <c r="B849" s="19" t="s">
        <v>86</v>
      </c>
      <c r="C849" s="19" t="s">
        <v>7</v>
      </c>
      <c r="D849" s="19" t="s">
        <v>138</v>
      </c>
      <c r="E849" s="19">
        <v>0</v>
      </c>
      <c r="F849" s="19">
        <v>-1</v>
      </c>
    </row>
    <row r="850" spans="1:6" x14ac:dyDescent="0.25">
      <c r="A850" s="20">
        <v>45418</v>
      </c>
      <c r="B850" s="19" t="s">
        <v>86</v>
      </c>
      <c r="C850" s="19" t="s">
        <v>8</v>
      </c>
      <c r="D850" s="19" t="s">
        <v>138</v>
      </c>
      <c r="E850" s="19">
        <v>0</v>
      </c>
      <c r="F850" s="19">
        <v>-1</v>
      </c>
    </row>
    <row r="851" spans="1:6" x14ac:dyDescent="0.25">
      <c r="A851" s="20">
        <v>45418</v>
      </c>
      <c r="B851" s="19" t="s">
        <v>38</v>
      </c>
      <c r="C851" s="19" t="s">
        <v>6</v>
      </c>
      <c r="D851" s="19" t="s">
        <v>138</v>
      </c>
      <c r="E851" s="19">
        <v>0</v>
      </c>
      <c r="F851" s="19">
        <v>-1</v>
      </c>
    </row>
    <row r="852" spans="1:6" x14ac:dyDescent="0.25">
      <c r="A852" s="20">
        <v>45418</v>
      </c>
      <c r="B852" s="19" t="s">
        <v>38</v>
      </c>
      <c r="C852" s="19" t="s">
        <v>7</v>
      </c>
      <c r="D852" s="19" t="s">
        <v>138</v>
      </c>
      <c r="E852" s="19">
        <v>0</v>
      </c>
      <c r="F852" s="19">
        <v>-1</v>
      </c>
    </row>
    <row r="853" spans="1:6" x14ac:dyDescent="0.25">
      <c r="A853" s="20">
        <v>45418</v>
      </c>
      <c r="B853" s="19" t="s">
        <v>38</v>
      </c>
      <c r="C853" s="19" t="s">
        <v>8</v>
      </c>
      <c r="D853" s="19" t="s">
        <v>138</v>
      </c>
      <c r="E853" s="19">
        <v>0</v>
      </c>
      <c r="F853" s="19">
        <v>-1</v>
      </c>
    </row>
    <row r="854" spans="1:6" x14ac:dyDescent="0.25">
      <c r="A854" s="20">
        <v>45418</v>
      </c>
      <c r="B854" s="19" t="s">
        <v>83</v>
      </c>
      <c r="C854" s="19" t="s">
        <v>6</v>
      </c>
      <c r="D854" s="19" t="s">
        <v>138</v>
      </c>
      <c r="E854" s="19">
        <v>0</v>
      </c>
      <c r="F854" s="19">
        <v>-1</v>
      </c>
    </row>
    <row r="855" spans="1:6" x14ac:dyDescent="0.25">
      <c r="A855" s="20">
        <v>45418</v>
      </c>
      <c r="B855" s="19" t="s">
        <v>83</v>
      </c>
      <c r="C855" s="19" t="s">
        <v>7</v>
      </c>
      <c r="D855" s="19" t="s">
        <v>138</v>
      </c>
      <c r="E855" s="19">
        <v>0</v>
      </c>
      <c r="F855" s="19">
        <v>-1</v>
      </c>
    </row>
    <row r="856" spans="1:6" x14ac:dyDescent="0.25">
      <c r="A856" s="20">
        <v>45418</v>
      </c>
      <c r="B856" s="19" t="s">
        <v>83</v>
      </c>
      <c r="C856" s="19" t="s">
        <v>8</v>
      </c>
      <c r="D856" s="19" t="s">
        <v>138</v>
      </c>
      <c r="E856" s="19">
        <v>0</v>
      </c>
      <c r="F856" s="19">
        <v>-1</v>
      </c>
    </row>
    <row r="857" spans="1:6" x14ac:dyDescent="0.25">
      <c r="A857" s="20">
        <v>45418</v>
      </c>
      <c r="B857" s="19" t="s">
        <v>20</v>
      </c>
      <c r="C857" s="19" t="s">
        <v>6</v>
      </c>
      <c r="D857" s="19" t="s">
        <v>138</v>
      </c>
      <c r="E857" s="19">
        <v>0</v>
      </c>
      <c r="F857" s="19">
        <v>-1</v>
      </c>
    </row>
    <row r="858" spans="1:6" x14ac:dyDescent="0.25">
      <c r="A858" s="20">
        <v>45418</v>
      </c>
      <c r="B858" s="19" t="s">
        <v>20</v>
      </c>
      <c r="C858" s="19" t="s">
        <v>7</v>
      </c>
      <c r="D858" s="19" t="s">
        <v>138</v>
      </c>
      <c r="E858" s="19">
        <v>0</v>
      </c>
      <c r="F858" s="19">
        <v>-1</v>
      </c>
    </row>
    <row r="859" spans="1:6" x14ac:dyDescent="0.25">
      <c r="A859" s="20">
        <v>45418</v>
      </c>
      <c r="B859" s="19" t="s">
        <v>20</v>
      </c>
      <c r="C859" s="19" t="s">
        <v>8</v>
      </c>
      <c r="D859" s="19" t="s">
        <v>138</v>
      </c>
      <c r="E859" s="19">
        <v>0</v>
      </c>
      <c r="F859" s="19">
        <v>-1</v>
      </c>
    </row>
    <row r="860" spans="1:6" x14ac:dyDescent="0.25">
      <c r="A860" s="20">
        <v>45418</v>
      </c>
      <c r="B860" s="19" t="s">
        <v>21</v>
      </c>
      <c r="C860" s="19" t="s">
        <v>6</v>
      </c>
      <c r="D860" s="19" t="s">
        <v>138</v>
      </c>
      <c r="E860" s="19">
        <v>0</v>
      </c>
      <c r="F860" s="19">
        <v>-1</v>
      </c>
    </row>
    <row r="861" spans="1:6" x14ac:dyDescent="0.25">
      <c r="A861" s="20">
        <v>45418</v>
      </c>
      <c r="B861" s="19" t="s">
        <v>21</v>
      </c>
      <c r="C861" s="19" t="s">
        <v>7</v>
      </c>
      <c r="D861" s="19" t="s">
        <v>138</v>
      </c>
      <c r="E861" s="19">
        <v>0</v>
      </c>
      <c r="F861" s="19">
        <v>-1</v>
      </c>
    </row>
    <row r="862" spans="1:6" x14ac:dyDescent="0.25">
      <c r="A862" s="20">
        <v>45418</v>
      </c>
      <c r="B862" s="19" t="s">
        <v>21</v>
      </c>
      <c r="C862" s="19" t="s">
        <v>8</v>
      </c>
      <c r="D862" s="19" t="s">
        <v>138</v>
      </c>
      <c r="E862" s="19">
        <v>0</v>
      </c>
      <c r="F862" s="19">
        <v>-1</v>
      </c>
    </row>
    <row r="863" spans="1:6" x14ac:dyDescent="0.25">
      <c r="A863" s="20">
        <v>45418</v>
      </c>
      <c r="B863" s="19" t="s">
        <v>22</v>
      </c>
      <c r="C863" s="19" t="s">
        <v>6</v>
      </c>
      <c r="D863" s="19" t="s">
        <v>138</v>
      </c>
      <c r="E863" s="19">
        <v>0</v>
      </c>
      <c r="F863" s="19">
        <v>-1</v>
      </c>
    </row>
    <row r="864" spans="1:6" x14ac:dyDescent="0.25">
      <c r="A864" s="20">
        <v>45418</v>
      </c>
      <c r="B864" s="19" t="s">
        <v>22</v>
      </c>
      <c r="C864" s="19" t="s">
        <v>7</v>
      </c>
      <c r="D864" s="19" t="s">
        <v>138</v>
      </c>
      <c r="E864" s="19">
        <v>0</v>
      </c>
      <c r="F864" s="19">
        <v>-1</v>
      </c>
    </row>
    <row r="865" spans="1:6" x14ac:dyDescent="0.25">
      <c r="A865" s="20">
        <v>45418</v>
      </c>
      <c r="B865" s="19" t="s">
        <v>22</v>
      </c>
      <c r="C865" s="19" t="s">
        <v>8</v>
      </c>
      <c r="D865" s="19" t="s">
        <v>138</v>
      </c>
      <c r="E865" s="19">
        <v>0</v>
      </c>
      <c r="F865" s="19">
        <v>-1</v>
      </c>
    </row>
    <row r="866" spans="1:6" x14ac:dyDescent="0.25">
      <c r="A866" s="20">
        <v>45418</v>
      </c>
      <c r="B866" s="19" t="s">
        <v>77</v>
      </c>
      <c r="C866" s="19" t="s">
        <v>6</v>
      </c>
      <c r="D866" s="19" t="s">
        <v>138</v>
      </c>
      <c r="E866" s="19">
        <v>0</v>
      </c>
      <c r="F866" s="19">
        <v>-1</v>
      </c>
    </row>
    <row r="867" spans="1:6" x14ac:dyDescent="0.25">
      <c r="A867" s="20">
        <v>45418</v>
      </c>
      <c r="B867" s="19" t="s">
        <v>77</v>
      </c>
      <c r="C867" s="19" t="s">
        <v>7</v>
      </c>
      <c r="D867" s="19" t="s">
        <v>138</v>
      </c>
      <c r="E867" s="19">
        <v>0</v>
      </c>
      <c r="F867" s="19">
        <v>-1</v>
      </c>
    </row>
    <row r="868" spans="1:6" x14ac:dyDescent="0.25">
      <c r="A868" s="20">
        <v>45418</v>
      </c>
      <c r="B868" s="19" t="s">
        <v>77</v>
      </c>
      <c r="C868" s="19" t="s">
        <v>8</v>
      </c>
      <c r="D868" s="19" t="s">
        <v>138</v>
      </c>
      <c r="E868" s="19">
        <v>0</v>
      </c>
      <c r="F868" s="19">
        <v>-1</v>
      </c>
    </row>
    <row r="869" spans="1:6" x14ac:dyDescent="0.25">
      <c r="A869" s="20">
        <v>45418</v>
      </c>
      <c r="B869" s="19" t="s">
        <v>23</v>
      </c>
      <c r="C869" s="19" t="s">
        <v>6</v>
      </c>
      <c r="D869" s="19" t="s">
        <v>138</v>
      </c>
      <c r="E869" s="19">
        <v>0</v>
      </c>
      <c r="F869" s="19">
        <v>-1</v>
      </c>
    </row>
    <row r="870" spans="1:6" x14ac:dyDescent="0.25">
      <c r="A870" s="20">
        <v>45418</v>
      </c>
      <c r="B870" s="19" t="s">
        <v>23</v>
      </c>
      <c r="C870" s="19" t="s">
        <v>7</v>
      </c>
      <c r="D870" s="19" t="s">
        <v>138</v>
      </c>
      <c r="E870" s="19">
        <v>0</v>
      </c>
      <c r="F870" s="19">
        <v>-1</v>
      </c>
    </row>
    <row r="871" spans="1:6" x14ac:dyDescent="0.25">
      <c r="A871" s="20">
        <v>45418</v>
      </c>
      <c r="B871" s="19" t="s">
        <v>23</v>
      </c>
      <c r="C871" s="19" t="s">
        <v>8</v>
      </c>
      <c r="D871" s="19" t="s">
        <v>138</v>
      </c>
      <c r="E871" s="19">
        <v>0</v>
      </c>
      <c r="F871" s="19">
        <v>-1</v>
      </c>
    </row>
    <row r="872" spans="1:6" x14ac:dyDescent="0.25">
      <c r="A872" s="20">
        <v>45418</v>
      </c>
      <c r="B872" s="19" t="s">
        <v>24</v>
      </c>
      <c r="C872" s="19" t="s">
        <v>6</v>
      </c>
      <c r="D872" s="19" t="s">
        <v>138</v>
      </c>
      <c r="E872" s="19">
        <v>0</v>
      </c>
      <c r="F872" s="19">
        <v>-1</v>
      </c>
    </row>
    <row r="873" spans="1:6" x14ac:dyDescent="0.25">
      <c r="A873" s="20">
        <v>45418</v>
      </c>
      <c r="B873" s="19" t="s">
        <v>24</v>
      </c>
      <c r="C873" s="19" t="s">
        <v>7</v>
      </c>
      <c r="D873" s="19" t="s">
        <v>138</v>
      </c>
      <c r="E873" s="19">
        <v>0</v>
      </c>
      <c r="F873" s="19">
        <v>-1</v>
      </c>
    </row>
    <row r="874" spans="1:6" x14ac:dyDescent="0.25">
      <c r="A874" s="20">
        <v>45418</v>
      </c>
      <c r="B874" s="19" t="s">
        <v>24</v>
      </c>
      <c r="C874" s="19" t="s">
        <v>8</v>
      </c>
      <c r="D874" s="19" t="s">
        <v>138</v>
      </c>
      <c r="E874" s="19">
        <v>0</v>
      </c>
      <c r="F874" s="19">
        <v>-1</v>
      </c>
    </row>
    <row r="875" spans="1:6" x14ac:dyDescent="0.25">
      <c r="A875" s="20">
        <v>45418</v>
      </c>
      <c r="B875" s="19" t="s">
        <v>75</v>
      </c>
      <c r="C875" s="19" t="s">
        <v>6</v>
      </c>
      <c r="D875" s="19" t="s">
        <v>138</v>
      </c>
      <c r="E875" s="19">
        <v>0</v>
      </c>
      <c r="F875" s="19">
        <v>-1</v>
      </c>
    </row>
    <row r="876" spans="1:6" x14ac:dyDescent="0.25">
      <c r="A876" s="20">
        <v>45418</v>
      </c>
      <c r="B876" s="19" t="s">
        <v>75</v>
      </c>
      <c r="C876" s="19" t="s">
        <v>7</v>
      </c>
      <c r="D876" s="19" t="s">
        <v>138</v>
      </c>
      <c r="E876" s="19">
        <v>0</v>
      </c>
      <c r="F876" s="19">
        <v>-1</v>
      </c>
    </row>
    <row r="877" spans="1:6" x14ac:dyDescent="0.25">
      <c r="A877" s="20">
        <v>45418</v>
      </c>
      <c r="B877" s="19" t="s">
        <v>75</v>
      </c>
      <c r="C877" s="19" t="s">
        <v>8</v>
      </c>
      <c r="D877" s="19" t="s">
        <v>138</v>
      </c>
      <c r="E877" s="19">
        <v>0</v>
      </c>
      <c r="F877" s="19">
        <v>-1</v>
      </c>
    </row>
    <row r="878" spans="1:6" x14ac:dyDescent="0.25">
      <c r="A878" s="20">
        <v>45418</v>
      </c>
      <c r="B878" s="19" t="s">
        <v>25</v>
      </c>
      <c r="C878" s="19" t="s">
        <v>6</v>
      </c>
      <c r="D878" s="19" t="s">
        <v>138</v>
      </c>
      <c r="E878" s="19">
        <v>0</v>
      </c>
      <c r="F878" s="19">
        <v>-1</v>
      </c>
    </row>
    <row r="879" spans="1:6" x14ac:dyDescent="0.25">
      <c r="A879" s="20">
        <v>45418</v>
      </c>
      <c r="B879" s="19" t="s">
        <v>25</v>
      </c>
      <c r="C879" s="19" t="s">
        <v>7</v>
      </c>
      <c r="D879" s="19" t="s">
        <v>138</v>
      </c>
      <c r="E879" s="19">
        <v>0</v>
      </c>
      <c r="F879" s="19">
        <v>-1</v>
      </c>
    </row>
    <row r="880" spans="1:6" x14ac:dyDescent="0.25">
      <c r="A880" s="20">
        <v>45418</v>
      </c>
      <c r="B880" s="19" t="s">
        <v>25</v>
      </c>
      <c r="C880" s="19" t="s">
        <v>8</v>
      </c>
      <c r="D880" s="19" t="s">
        <v>138</v>
      </c>
      <c r="E880" s="19">
        <v>0</v>
      </c>
      <c r="F880" s="19">
        <v>-1</v>
      </c>
    </row>
    <row r="881" spans="1:6" x14ac:dyDescent="0.25">
      <c r="A881" s="20">
        <v>45418</v>
      </c>
      <c r="B881" s="19" t="s">
        <v>74</v>
      </c>
      <c r="C881" s="19" t="s">
        <v>6</v>
      </c>
      <c r="D881" s="19" t="s">
        <v>138</v>
      </c>
      <c r="E881" s="19">
        <v>0</v>
      </c>
      <c r="F881" s="19">
        <v>-1</v>
      </c>
    </row>
    <row r="882" spans="1:6" x14ac:dyDescent="0.25">
      <c r="A882" s="20">
        <v>45418</v>
      </c>
      <c r="B882" s="19" t="s">
        <v>74</v>
      </c>
      <c r="C882" s="19" t="s">
        <v>7</v>
      </c>
      <c r="D882" s="19" t="s">
        <v>138</v>
      </c>
      <c r="E882" s="19">
        <v>0</v>
      </c>
      <c r="F882" s="19">
        <v>-1</v>
      </c>
    </row>
    <row r="883" spans="1:6" x14ac:dyDescent="0.25">
      <c r="A883" s="20">
        <v>45418</v>
      </c>
      <c r="B883" s="19" t="s">
        <v>74</v>
      </c>
      <c r="C883" s="19" t="s">
        <v>8</v>
      </c>
      <c r="D883" s="19" t="s">
        <v>138</v>
      </c>
      <c r="E883" s="19">
        <v>0</v>
      </c>
      <c r="F883" s="19">
        <v>-1</v>
      </c>
    </row>
    <row r="884" spans="1:6" x14ac:dyDescent="0.25">
      <c r="A884" s="20">
        <v>45418</v>
      </c>
      <c r="B884" s="19" t="s">
        <v>26</v>
      </c>
      <c r="C884" s="19" t="s">
        <v>6</v>
      </c>
      <c r="D884" s="19" t="s">
        <v>138</v>
      </c>
      <c r="E884" s="19">
        <v>0</v>
      </c>
      <c r="F884" s="19">
        <v>-1</v>
      </c>
    </row>
    <row r="885" spans="1:6" x14ac:dyDescent="0.25">
      <c r="A885" s="20">
        <v>45418</v>
      </c>
      <c r="B885" s="19" t="s">
        <v>26</v>
      </c>
      <c r="C885" s="19" t="s">
        <v>7</v>
      </c>
      <c r="D885" s="19" t="s">
        <v>138</v>
      </c>
      <c r="E885" s="19">
        <v>0</v>
      </c>
      <c r="F885" s="19">
        <v>-1</v>
      </c>
    </row>
    <row r="886" spans="1:6" x14ac:dyDescent="0.25">
      <c r="A886" s="20">
        <v>45418</v>
      </c>
      <c r="B886" s="19" t="s">
        <v>26</v>
      </c>
      <c r="C886" s="19" t="s">
        <v>8</v>
      </c>
      <c r="D886" s="19" t="s">
        <v>138</v>
      </c>
      <c r="E886" s="19">
        <v>0</v>
      </c>
      <c r="F886" s="19">
        <v>-1</v>
      </c>
    </row>
    <row r="887" spans="1:6" x14ac:dyDescent="0.25">
      <c r="A887" s="20">
        <v>45418</v>
      </c>
      <c r="B887" s="19" t="s">
        <v>27</v>
      </c>
      <c r="C887" s="19" t="s">
        <v>6</v>
      </c>
      <c r="D887" s="19" t="s">
        <v>139</v>
      </c>
      <c r="E887" s="19">
        <v>1970</v>
      </c>
      <c r="F887" s="19">
        <v>-1</v>
      </c>
    </row>
    <row r="888" spans="1:6" x14ac:dyDescent="0.25">
      <c r="A888" s="20">
        <v>45418</v>
      </c>
      <c r="B888" s="19" t="s">
        <v>27</v>
      </c>
      <c r="C888" s="19" t="s">
        <v>7</v>
      </c>
      <c r="D888" s="19" t="s">
        <v>139</v>
      </c>
      <c r="E888" s="19">
        <v>2198</v>
      </c>
      <c r="F888" s="19">
        <v>-1</v>
      </c>
    </row>
    <row r="889" spans="1:6" x14ac:dyDescent="0.25">
      <c r="A889" s="20">
        <v>45418</v>
      </c>
      <c r="B889" s="19" t="s">
        <v>27</v>
      </c>
      <c r="C889" s="19" t="s">
        <v>8</v>
      </c>
      <c r="D889" s="19" t="s">
        <v>139</v>
      </c>
      <c r="E889" s="19">
        <v>1995</v>
      </c>
      <c r="F889" s="19">
        <v>-1</v>
      </c>
    </row>
    <row r="890" spans="1:6" x14ac:dyDescent="0.25">
      <c r="A890" s="20">
        <v>45418</v>
      </c>
      <c r="B890" s="19" t="s">
        <v>28</v>
      </c>
      <c r="C890" s="19" t="s">
        <v>6</v>
      </c>
      <c r="D890" s="19" t="s">
        <v>139</v>
      </c>
      <c r="E890" s="19">
        <v>2030</v>
      </c>
      <c r="F890" s="19">
        <v>-1</v>
      </c>
    </row>
    <row r="891" spans="1:6" x14ac:dyDescent="0.25">
      <c r="A891" s="20">
        <v>45418</v>
      </c>
      <c r="B891" s="19" t="s">
        <v>28</v>
      </c>
      <c r="C891" s="19" t="s">
        <v>7</v>
      </c>
      <c r="D891" s="19" t="s">
        <v>139</v>
      </c>
      <c r="E891" s="19">
        <v>2217</v>
      </c>
      <c r="F891" s="19">
        <v>-1</v>
      </c>
    </row>
    <row r="892" spans="1:6" x14ac:dyDescent="0.25">
      <c r="A892" s="20">
        <v>45418</v>
      </c>
      <c r="B892" s="19" t="s">
        <v>28</v>
      </c>
      <c r="C892" s="19" t="s">
        <v>8</v>
      </c>
      <c r="D892" s="19" t="s">
        <v>139</v>
      </c>
      <c r="E892" s="19">
        <v>2068</v>
      </c>
      <c r="F892" s="19">
        <v>-1</v>
      </c>
    </row>
    <row r="893" spans="1:6" x14ac:dyDescent="0.25">
      <c r="A893" s="20">
        <v>45418</v>
      </c>
      <c r="B893" s="19" t="s">
        <v>72</v>
      </c>
      <c r="C893" s="19" t="s">
        <v>6</v>
      </c>
      <c r="D893" s="19" t="s">
        <v>138</v>
      </c>
      <c r="E893" s="19">
        <v>0</v>
      </c>
      <c r="F893" s="19">
        <v>-1</v>
      </c>
    </row>
    <row r="894" spans="1:6" x14ac:dyDescent="0.25">
      <c r="A894" s="20">
        <v>45418</v>
      </c>
      <c r="B894" s="19" t="s">
        <v>72</v>
      </c>
      <c r="C894" s="19" t="s">
        <v>7</v>
      </c>
      <c r="D894" s="19" t="s">
        <v>138</v>
      </c>
      <c r="E894" s="19">
        <v>0</v>
      </c>
      <c r="F894" s="19">
        <v>-1</v>
      </c>
    </row>
    <row r="895" spans="1:6" x14ac:dyDescent="0.25">
      <c r="A895" s="20">
        <v>45418</v>
      </c>
      <c r="B895" s="19" t="s">
        <v>72</v>
      </c>
      <c r="C895" s="19" t="s">
        <v>8</v>
      </c>
      <c r="D895" s="19" t="s">
        <v>138</v>
      </c>
      <c r="E895" s="19">
        <v>0</v>
      </c>
      <c r="F895" s="19">
        <v>-1</v>
      </c>
    </row>
    <row r="896" spans="1:6" x14ac:dyDescent="0.25">
      <c r="A896" s="20">
        <v>45418</v>
      </c>
      <c r="B896" s="19" t="s">
        <v>29</v>
      </c>
      <c r="C896" s="19" t="s">
        <v>6</v>
      </c>
      <c r="D896" s="19" t="s">
        <v>139</v>
      </c>
      <c r="E896" s="19">
        <v>1118</v>
      </c>
      <c r="F896" s="19">
        <v>-1</v>
      </c>
    </row>
    <row r="897" spans="1:6" x14ac:dyDescent="0.25">
      <c r="A897" s="20">
        <v>45418</v>
      </c>
      <c r="B897" s="19" t="s">
        <v>29</v>
      </c>
      <c r="C897" s="19" t="s">
        <v>7</v>
      </c>
      <c r="D897" s="19" t="s">
        <v>139</v>
      </c>
      <c r="E897" s="19">
        <v>1626</v>
      </c>
      <c r="F897" s="19">
        <v>-1</v>
      </c>
    </row>
    <row r="898" spans="1:6" x14ac:dyDescent="0.25">
      <c r="A898" s="20">
        <v>45418</v>
      </c>
      <c r="B898" s="19" t="s">
        <v>29</v>
      </c>
      <c r="C898" s="19" t="s">
        <v>8</v>
      </c>
      <c r="D898" s="19" t="s">
        <v>138</v>
      </c>
      <c r="E898" s="19">
        <v>0</v>
      </c>
      <c r="F898" s="19">
        <v>-1</v>
      </c>
    </row>
    <row r="899" spans="1:6" x14ac:dyDescent="0.25">
      <c r="A899" s="20">
        <v>45418</v>
      </c>
      <c r="B899" s="19" t="s">
        <v>30</v>
      </c>
      <c r="C899" s="19" t="s">
        <v>6</v>
      </c>
      <c r="D899" s="19" t="s">
        <v>138</v>
      </c>
      <c r="E899" s="19">
        <v>0</v>
      </c>
      <c r="F899" s="19">
        <v>-1</v>
      </c>
    </row>
    <row r="900" spans="1:6" x14ac:dyDescent="0.25">
      <c r="A900" s="20">
        <v>45418</v>
      </c>
      <c r="B900" s="19" t="s">
        <v>30</v>
      </c>
      <c r="C900" s="19" t="s">
        <v>7</v>
      </c>
      <c r="D900" s="19" t="s">
        <v>138</v>
      </c>
      <c r="E900" s="19">
        <v>0</v>
      </c>
      <c r="F900" s="19">
        <v>-1</v>
      </c>
    </row>
    <row r="901" spans="1:6" x14ac:dyDescent="0.25">
      <c r="A901" s="20">
        <v>45418</v>
      </c>
      <c r="B901" s="19" t="s">
        <v>30</v>
      </c>
      <c r="C901" s="19" t="s">
        <v>8</v>
      </c>
      <c r="D901" s="19" t="s">
        <v>138</v>
      </c>
      <c r="E901" s="19">
        <v>0</v>
      </c>
      <c r="F901" s="19">
        <v>-1</v>
      </c>
    </row>
    <row r="902" spans="1:6" x14ac:dyDescent="0.25">
      <c r="A902" s="20">
        <v>45418</v>
      </c>
      <c r="B902" s="19" t="s">
        <v>31</v>
      </c>
      <c r="C902" s="19" t="s">
        <v>6</v>
      </c>
      <c r="D902" s="19" t="s">
        <v>138</v>
      </c>
      <c r="E902" s="19">
        <v>0</v>
      </c>
      <c r="F902" s="19">
        <v>-1</v>
      </c>
    </row>
    <row r="903" spans="1:6" x14ac:dyDescent="0.25">
      <c r="A903" s="20">
        <v>45418</v>
      </c>
      <c r="B903" s="19" t="s">
        <v>31</v>
      </c>
      <c r="C903" s="19" t="s">
        <v>7</v>
      </c>
      <c r="D903" s="19" t="s">
        <v>138</v>
      </c>
      <c r="E903" s="19">
        <v>0</v>
      </c>
      <c r="F903" s="19">
        <v>-1</v>
      </c>
    </row>
    <row r="904" spans="1:6" x14ac:dyDescent="0.25">
      <c r="A904" s="20">
        <v>45418</v>
      </c>
      <c r="B904" s="19" t="s">
        <v>31</v>
      </c>
      <c r="C904" s="19" t="s">
        <v>8</v>
      </c>
      <c r="D904" s="19" t="s">
        <v>138</v>
      </c>
      <c r="E904" s="19">
        <v>0</v>
      </c>
      <c r="F904" s="19">
        <v>-1</v>
      </c>
    </row>
    <row r="905" spans="1:6" x14ac:dyDescent="0.25">
      <c r="A905" s="20">
        <v>45418</v>
      </c>
      <c r="B905" s="19" t="s">
        <v>32</v>
      </c>
      <c r="C905" s="19" t="s">
        <v>6</v>
      </c>
      <c r="D905" s="19" t="s">
        <v>138</v>
      </c>
      <c r="E905" s="19">
        <v>0</v>
      </c>
      <c r="F905" s="19">
        <v>-1</v>
      </c>
    </row>
    <row r="906" spans="1:6" x14ac:dyDescent="0.25">
      <c r="A906" s="20">
        <v>45418</v>
      </c>
      <c r="B906" s="19" t="s">
        <v>32</v>
      </c>
      <c r="C906" s="19" t="s">
        <v>7</v>
      </c>
      <c r="D906" s="19" t="s">
        <v>138</v>
      </c>
      <c r="E906" s="19">
        <v>0</v>
      </c>
      <c r="F906" s="19">
        <v>-1</v>
      </c>
    </row>
    <row r="907" spans="1:6" x14ac:dyDescent="0.25">
      <c r="A907" s="20">
        <v>45418</v>
      </c>
      <c r="B907" s="19" t="s">
        <v>32</v>
      </c>
      <c r="C907" s="19" t="s">
        <v>8</v>
      </c>
      <c r="D907" s="19" t="s">
        <v>138</v>
      </c>
      <c r="E907" s="19">
        <v>0</v>
      </c>
      <c r="F907" s="19">
        <v>-1</v>
      </c>
    </row>
    <row r="908" spans="1:6" x14ac:dyDescent="0.25">
      <c r="A908" s="20">
        <v>45418</v>
      </c>
      <c r="B908" s="19" t="s">
        <v>67</v>
      </c>
      <c r="C908" s="19" t="s">
        <v>6</v>
      </c>
      <c r="D908" s="19" t="s">
        <v>139</v>
      </c>
      <c r="E908" s="19">
        <v>2001</v>
      </c>
      <c r="F908" s="19">
        <v>-1</v>
      </c>
    </row>
    <row r="909" spans="1:6" x14ac:dyDescent="0.25">
      <c r="A909" s="20">
        <v>45418</v>
      </c>
      <c r="B909" s="19" t="s">
        <v>67</v>
      </c>
      <c r="C909" s="19" t="s">
        <v>7</v>
      </c>
      <c r="D909" s="19" t="s">
        <v>139</v>
      </c>
      <c r="E909" s="19">
        <v>2174</v>
      </c>
      <c r="F909" s="19">
        <v>-1</v>
      </c>
    </row>
    <row r="910" spans="1:6" x14ac:dyDescent="0.25">
      <c r="A910" s="20">
        <v>45418</v>
      </c>
      <c r="B910" s="19" t="s">
        <v>67</v>
      </c>
      <c r="C910" s="19" t="s">
        <v>8</v>
      </c>
      <c r="D910" s="19" t="s">
        <v>139</v>
      </c>
      <c r="E910" s="19">
        <v>1934</v>
      </c>
      <c r="F910" s="19">
        <v>-1</v>
      </c>
    </row>
    <row r="911" spans="1:6" x14ac:dyDescent="0.25">
      <c r="A911" s="20">
        <v>45418</v>
      </c>
      <c r="B911" s="19" t="s">
        <v>33</v>
      </c>
      <c r="C911" s="19" t="s">
        <v>6</v>
      </c>
      <c r="D911" s="19" t="s">
        <v>138</v>
      </c>
      <c r="E911" s="19">
        <v>0</v>
      </c>
      <c r="F911" s="19">
        <v>-1</v>
      </c>
    </row>
    <row r="912" spans="1:6" x14ac:dyDescent="0.25">
      <c r="A912" s="20">
        <v>45418</v>
      </c>
      <c r="B912" s="19" t="s">
        <v>33</v>
      </c>
      <c r="C912" s="19" t="s">
        <v>7</v>
      </c>
      <c r="D912" s="19" t="s">
        <v>138</v>
      </c>
      <c r="E912" s="19">
        <v>0</v>
      </c>
      <c r="F912" s="19">
        <v>-1</v>
      </c>
    </row>
    <row r="913" spans="1:6" x14ac:dyDescent="0.25">
      <c r="A913" s="20">
        <v>45418</v>
      </c>
      <c r="B913" s="19" t="s">
        <v>33</v>
      </c>
      <c r="C913" s="19" t="s">
        <v>8</v>
      </c>
      <c r="D913" s="19" t="s">
        <v>138</v>
      </c>
      <c r="E913" s="19">
        <v>0</v>
      </c>
      <c r="F913" s="19">
        <v>-1</v>
      </c>
    </row>
    <row r="914" spans="1:6" x14ac:dyDescent="0.25">
      <c r="A914" s="20">
        <v>45418</v>
      </c>
      <c r="B914" s="19" t="s">
        <v>34</v>
      </c>
      <c r="C914" s="19" t="s">
        <v>6</v>
      </c>
      <c r="D914" s="19" t="s">
        <v>138</v>
      </c>
      <c r="E914" s="19">
        <v>0</v>
      </c>
      <c r="F914" s="19">
        <v>-1</v>
      </c>
    </row>
    <row r="915" spans="1:6" x14ac:dyDescent="0.25">
      <c r="A915" s="20">
        <v>45418</v>
      </c>
      <c r="B915" s="19" t="s">
        <v>34</v>
      </c>
      <c r="C915" s="19" t="s">
        <v>7</v>
      </c>
      <c r="D915" s="19" t="s">
        <v>138</v>
      </c>
      <c r="E915" s="19">
        <v>0</v>
      </c>
      <c r="F915" s="19">
        <v>-1</v>
      </c>
    </row>
    <row r="916" spans="1:6" x14ac:dyDescent="0.25">
      <c r="A916" s="20">
        <v>45418</v>
      </c>
      <c r="B916" s="19" t="s">
        <v>34</v>
      </c>
      <c r="C916" s="19" t="s">
        <v>8</v>
      </c>
      <c r="D916" s="19" t="s">
        <v>138</v>
      </c>
      <c r="E916" s="19">
        <v>0</v>
      </c>
      <c r="F916" s="19">
        <v>-1</v>
      </c>
    </row>
    <row r="917" spans="1:6" x14ac:dyDescent="0.25">
      <c r="A917" s="20">
        <v>45418</v>
      </c>
      <c r="B917" s="19" t="s">
        <v>35</v>
      </c>
      <c r="C917" s="19" t="s">
        <v>6</v>
      </c>
      <c r="D917" s="19" t="s">
        <v>138</v>
      </c>
      <c r="E917" s="19">
        <v>0</v>
      </c>
      <c r="F917" s="19">
        <v>-1</v>
      </c>
    </row>
    <row r="918" spans="1:6" x14ac:dyDescent="0.25">
      <c r="A918" s="20">
        <v>45418</v>
      </c>
      <c r="B918" s="19" t="s">
        <v>35</v>
      </c>
      <c r="C918" s="19" t="s">
        <v>7</v>
      </c>
      <c r="D918" s="19" t="s">
        <v>138</v>
      </c>
      <c r="E918" s="19">
        <v>0</v>
      </c>
      <c r="F918" s="19">
        <v>-1</v>
      </c>
    </row>
    <row r="919" spans="1:6" x14ac:dyDescent="0.25">
      <c r="A919" s="20">
        <v>45418</v>
      </c>
      <c r="B919" s="19" t="s">
        <v>35</v>
      </c>
      <c r="C919" s="19" t="s">
        <v>8</v>
      </c>
      <c r="D919" s="19" t="s">
        <v>138</v>
      </c>
      <c r="E919" s="19">
        <v>0</v>
      </c>
      <c r="F919" s="19">
        <v>-1</v>
      </c>
    </row>
    <row r="920" spans="1:6" x14ac:dyDescent="0.25">
      <c r="A920" s="20">
        <v>45418</v>
      </c>
      <c r="B920" s="19" t="s">
        <v>63</v>
      </c>
      <c r="C920" s="19" t="s">
        <v>6</v>
      </c>
      <c r="D920" s="19" t="s">
        <v>138</v>
      </c>
      <c r="E920" s="19">
        <v>0</v>
      </c>
      <c r="F920" s="19">
        <v>-1</v>
      </c>
    </row>
    <row r="921" spans="1:6" x14ac:dyDescent="0.25">
      <c r="A921" s="20">
        <v>45418</v>
      </c>
      <c r="B921" s="19" t="s">
        <v>63</v>
      </c>
      <c r="C921" s="19" t="s">
        <v>7</v>
      </c>
      <c r="D921" s="19" t="s">
        <v>138</v>
      </c>
      <c r="E921" s="19">
        <v>0</v>
      </c>
      <c r="F921" s="19">
        <v>-1</v>
      </c>
    </row>
    <row r="922" spans="1:6" x14ac:dyDescent="0.25">
      <c r="A922" s="20">
        <v>45418</v>
      </c>
      <c r="B922" s="19" t="s">
        <v>63</v>
      </c>
      <c r="C922" s="19" t="s">
        <v>8</v>
      </c>
      <c r="D922" s="19" t="s">
        <v>138</v>
      </c>
      <c r="E922" s="19">
        <v>0</v>
      </c>
      <c r="F922" s="19">
        <v>-1</v>
      </c>
    </row>
    <row r="923" spans="1:6" x14ac:dyDescent="0.25">
      <c r="A923" s="20">
        <v>45418</v>
      </c>
      <c r="B923" s="19" t="s">
        <v>36</v>
      </c>
      <c r="C923" s="19" t="s">
        <v>6</v>
      </c>
      <c r="D923" s="19" t="s">
        <v>138</v>
      </c>
      <c r="E923" s="19">
        <v>0</v>
      </c>
      <c r="F923" s="19">
        <v>-1</v>
      </c>
    </row>
    <row r="924" spans="1:6" x14ac:dyDescent="0.25">
      <c r="A924" s="20">
        <v>45418</v>
      </c>
      <c r="B924" s="19" t="s">
        <v>36</v>
      </c>
      <c r="C924" s="19" t="s">
        <v>7</v>
      </c>
      <c r="D924" s="19" t="s">
        <v>138</v>
      </c>
      <c r="E924" s="19">
        <v>0</v>
      </c>
      <c r="F924" s="19">
        <v>-1</v>
      </c>
    </row>
    <row r="925" spans="1:6" x14ac:dyDescent="0.25">
      <c r="A925" s="20">
        <v>45418</v>
      </c>
      <c r="B925" s="19" t="s">
        <v>36</v>
      </c>
      <c r="C925" s="19" t="s">
        <v>8</v>
      </c>
      <c r="D925" s="19" t="s">
        <v>138</v>
      </c>
      <c r="E925" s="19">
        <v>0</v>
      </c>
      <c r="F925" s="19">
        <v>-1</v>
      </c>
    </row>
    <row r="926" spans="1:6" x14ac:dyDescent="0.25">
      <c r="A926" s="20">
        <v>45418</v>
      </c>
      <c r="B926" s="19" t="s">
        <v>256</v>
      </c>
      <c r="C926" s="19" t="s">
        <v>6</v>
      </c>
      <c r="D926" s="19" t="s">
        <v>138</v>
      </c>
      <c r="E926" s="19">
        <v>0</v>
      </c>
      <c r="F926" s="19">
        <v>-1</v>
      </c>
    </row>
    <row r="927" spans="1:6" x14ac:dyDescent="0.25">
      <c r="A927" s="20">
        <v>45418</v>
      </c>
      <c r="B927" s="19" t="s">
        <v>256</v>
      </c>
      <c r="C927" s="19" t="s">
        <v>7</v>
      </c>
      <c r="D927" s="19" t="s">
        <v>138</v>
      </c>
      <c r="E927" s="19">
        <v>0</v>
      </c>
      <c r="F927" s="19">
        <v>-1</v>
      </c>
    </row>
    <row r="928" spans="1:6" x14ac:dyDescent="0.25">
      <c r="A928" s="20">
        <v>45418</v>
      </c>
      <c r="B928" s="19" t="s">
        <v>256</v>
      </c>
      <c r="C928" s="19" t="s">
        <v>8</v>
      </c>
      <c r="D928" s="19" t="s">
        <v>138</v>
      </c>
      <c r="E928" s="19">
        <v>0</v>
      </c>
      <c r="F928" s="19">
        <v>-1</v>
      </c>
    </row>
    <row r="929" spans="1:6" x14ac:dyDescent="0.25">
      <c r="A929" s="20">
        <v>45418</v>
      </c>
      <c r="B929" s="19" t="s">
        <v>257</v>
      </c>
      <c r="C929" s="19" t="s">
        <v>6</v>
      </c>
      <c r="D929" s="19" t="s">
        <v>138</v>
      </c>
      <c r="E929" s="19">
        <v>0</v>
      </c>
      <c r="F929" s="19">
        <v>-1</v>
      </c>
    </row>
    <row r="930" spans="1:6" x14ac:dyDescent="0.25">
      <c r="A930" s="20">
        <v>45418</v>
      </c>
      <c r="B930" s="19" t="s">
        <v>257</v>
      </c>
      <c r="C930" s="19" t="s">
        <v>7</v>
      </c>
      <c r="D930" s="19" t="s">
        <v>138</v>
      </c>
      <c r="E930" s="19">
        <v>0</v>
      </c>
      <c r="F930" s="19">
        <v>-1</v>
      </c>
    </row>
    <row r="931" spans="1:6" x14ac:dyDescent="0.25">
      <c r="A931" s="20">
        <v>45418</v>
      </c>
      <c r="B931" s="19" t="s">
        <v>257</v>
      </c>
      <c r="C931" s="19" t="s">
        <v>8</v>
      </c>
      <c r="D931" s="19" t="s">
        <v>138</v>
      </c>
      <c r="E931" s="19">
        <v>0</v>
      </c>
      <c r="F931" s="19">
        <v>-1</v>
      </c>
    </row>
    <row r="932" spans="1:6" x14ac:dyDescent="0.25">
      <c r="A932" s="20">
        <v>45418</v>
      </c>
      <c r="B932" s="19" t="s">
        <v>37</v>
      </c>
      <c r="C932" s="19" t="s">
        <v>6</v>
      </c>
      <c r="D932" s="19" t="s">
        <v>138</v>
      </c>
      <c r="E932" s="19">
        <v>0</v>
      </c>
      <c r="F932" s="19">
        <v>-1</v>
      </c>
    </row>
    <row r="933" spans="1:6" x14ac:dyDescent="0.25">
      <c r="A933" s="20">
        <v>45418</v>
      </c>
      <c r="B933" s="19" t="s">
        <v>37</v>
      </c>
      <c r="C933" s="19" t="s">
        <v>7</v>
      </c>
      <c r="D933" s="19" t="s">
        <v>138</v>
      </c>
      <c r="E933" s="19">
        <v>0</v>
      </c>
      <c r="F933" s="19">
        <v>-1</v>
      </c>
    </row>
    <row r="934" spans="1:6" x14ac:dyDescent="0.25">
      <c r="A934" s="20">
        <v>45418</v>
      </c>
      <c r="B934" s="19" t="s">
        <v>37</v>
      </c>
      <c r="C934" s="19" t="s">
        <v>8</v>
      </c>
      <c r="D934" s="19" t="s">
        <v>138</v>
      </c>
      <c r="E934" s="19">
        <v>0</v>
      </c>
      <c r="F934" s="19">
        <v>-1</v>
      </c>
    </row>
    <row r="935" spans="1:6" x14ac:dyDescent="0.25">
      <c r="A935" s="20">
        <v>45418</v>
      </c>
      <c r="B935" s="19" t="s">
        <v>258</v>
      </c>
      <c r="C935" s="19" t="s">
        <v>6</v>
      </c>
      <c r="D935" s="19" t="s">
        <v>138</v>
      </c>
      <c r="E935" s="19">
        <v>0</v>
      </c>
      <c r="F935" s="19">
        <v>-1</v>
      </c>
    </row>
    <row r="936" spans="1:6" x14ac:dyDescent="0.25">
      <c r="A936" s="20">
        <v>45418</v>
      </c>
      <c r="B936" s="19" t="s">
        <v>258</v>
      </c>
      <c r="C936" s="19" t="s">
        <v>7</v>
      </c>
      <c r="D936" s="19" t="s">
        <v>138</v>
      </c>
      <c r="E936" s="19">
        <v>0</v>
      </c>
      <c r="F936" s="19">
        <v>-1</v>
      </c>
    </row>
    <row r="937" spans="1:6" x14ac:dyDescent="0.25">
      <c r="A937" s="20">
        <v>45418</v>
      </c>
      <c r="B937" s="19" t="s">
        <v>258</v>
      </c>
      <c r="C937" s="19" t="s">
        <v>8</v>
      </c>
      <c r="D937" s="19" t="s">
        <v>138</v>
      </c>
      <c r="E937" s="19">
        <v>0</v>
      </c>
      <c r="F937" s="19">
        <v>-1</v>
      </c>
    </row>
    <row r="938" spans="1:6" x14ac:dyDescent="0.25">
      <c r="A938" s="20">
        <v>45418</v>
      </c>
      <c r="B938" s="19" t="s">
        <v>259</v>
      </c>
      <c r="C938" s="19" t="s">
        <v>6</v>
      </c>
      <c r="D938" s="19" t="s">
        <v>138</v>
      </c>
      <c r="E938" s="19">
        <v>0</v>
      </c>
      <c r="F938" s="19">
        <v>-1</v>
      </c>
    </row>
    <row r="939" spans="1:6" x14ac:dyDescent="0.25">
      <c r="A939" s="20">
        <v>45418</v>
      </c>
      <c r="B939" s="19" t="s">
        <v>259</v>
      </c>
      <c r="C939" s="19" t="s">
        <v>7</v>
      </c>
      <c r="D939" s="19" t="s">
        <v>138</v>
      </c>
      <c r="E939" s="19">
        <v>0</v>
      </c>
      <c r="F939" s="19">
        <v>-1</v>
      </c>
    </row>
    <row r="940" spans="1:6" x14ac:dyDescent="0.25">
      <c r="A940" s="20">
        <v>45418</v>
      </c>
      <c r="B940" s="19" t="s">
        <v>259</v>
      </c>
      <c r="C940" s="19" t="s">
        <v>8</v>
      </c>
      <c r="D940" s="19" t="s">
        <v>138</v>
      </c>
      <c r="E940" s="19">
        <v>0</v>
      </c>
      <c r="F940" s="19">
        <v>-1</v>
      </c>
    </row>
    <row r="941" spans="1:6" x14ac:dyDescent="0.25">
      <c r="A941" s="20">
        <v>45418</v>
      </c>
      <c r="B941" s="19" t="s">
        <v>260</v>
      </c>
      <c r="C941" s="19" t="s">
        <v>6</v>
      </c>
      <c r="D941" s="19" t="s">
        <v>138</v>
      </c>
      <c r="E941" s="19">
        <v>0</v>
      </c>
      <c r="F941" s="19">
        <v>-1</v>
      </c>
    </row>
    <row r="942" spans="1:6" x14ac:dyDescent="0.25">
      <c r="A942" s="20">
        <v>45418</v>
      </c>
      <c r="B942" s="19" t="s">
        <v>260</v>
      </c>
      <c r="C942" s="19" t="s">
        <v>7</v>
      </c>
      <c r="D942" s="19" t="s">
        <v>138</v>
      </c>
      <c r="E942" s="19">
        <v>0</v>
      </c>
      <c r="F942" s="19">
        <v>-1</v>
      </c>
    </row>
    <row r="943" spans="1:6" x14ac:dyDescent="0.25">
      <c r="A943" s="20">
        <v>45418</v>
      </c>
      <c r="B943" s="19" t="s">
        <v>260</v>
      </c>
      <c r="C943" s="19" t="s">
        <v>8</v>
      </c>
      <c r="D943" s="19" t="s">
        <v>138</v>
      </c>
      <c r="E943" s="19">
        <v>0</v>
      </c>
      <c r="F943" s="19">
        <v>-1</v>
      </c>
    </row>
    <row r="944" spans="1:6" x14ac:dyDescent="0.25">
      <c r="A944" s="20">
        <v>45418</v>
      </c>
      <c r="B944" s="19" t="s">
        <v>261</v>
      </c>
      <c r="C944" s="19" t="s">
        <v>6</v>
      </c>
      <c r="D944" s="19" t="s">
        <v>138</v>
      </c>
      <c r="E944" s="19">
        <v>0</v>
      </c>
      <c r="F944" s="19">
        <v>-1</v>
      </c>
    </row>
    <row r="945" spans="1:6" x14ac:dyDescent="0.25">
      <c r="A945" s="20">
        <v>45418</v>
      </c>
      <c r="B945" s="19" t="s">
        <v>261</v>
      </c>
      <c r="C945" s="19" t="s">
        <v>7</v>
      </c>
      <c r="D945" s="19" t="s">
        <v>138</v>
      </c>
      <c r="E945" s="19">
        <v>0</v>
      </c>
      <c r="F945" s="19">
        <v>-1</v>
      </c>
    </row>
    <row r="946" spans="1:6" x14ac:dyDescent="0.25">
      <c r="A946" s="20">
        <v>45418</v>
      </c>
      <c r="B946" s="19" t="s">
        <v>261</v>
      </c>
      <c r="C946" s="19" t="s">
        <v>8</v>
      </c>
      <c r="D946" s="19" t="s">
        <v>138</v>
      </c>
      <c r="E946" s="19">
        <v>0</v>
      </c>
      <c r="F946" s="19">
        <v>-1</v>
      </c>
    </row>
    <row r="947" spans="1:6" x14ac:dyDescent="0.25">
      <c r="A947" s="20">
        <v>45418</v>
      </c>
      <c r="B947" s="19" t="s">
        <v>54</v>
      </c>
      <c r="C947" s="19" t="s">
        <v>6</v>
      </c>
      <c r="D947" s="19" t="s">
        <v>138</v>
      </c>
      <c r="E947" s="19">
        <v>0</v>
      </c>
      <c r="F947" s="19">
        <v>-1</v>
      </c>
    </row>
    <row r="948" spans="1:6" x14ac:dyDescent="0.25">
      <c r="A948" s="20">
        <v>45418</v>
      </c>
      <c r="B948" s="19" t="s">
        <v>54</v>
      </c>
      <c r="C948" s="19" t="s">
        <v>7</v>
      </c>
      <c r="D948" s="19" t="s">
        <v>138</v>
      </c>
      <c r="E948" s="19">
        <v>0</v>
      </c>
      <c r="F948" s="19">
        <v>-1</v>
      </c>
    </row>
    <row r="949" spans="1:6" x14ac:dyDescent="0.25">
      <c r="A949" s="20">
        <v>45418</v>
      </c>
      <c r="B949" s="19" t="s">
        <v>54</v>
      </c>
      <c r="C949" s="19" t="s">
        <v>8</v>
      </c>
      <c r="D949" s="19" t="s">
        <v>138</v>
      </c>
      <c r="E949" s="19">
        <v>0</v>
      </c>
      <c r="F949" s="19">
        <v>-1</v>
      </c>
    </row>
    <row r="950" spans="1:6" x14ac:dyDescent="0.25">
      <c r="A950" s="20">
        <v>45419</v>
      </c>
      <c r="B950" s="19" t="s">
        <v>136</v>
      </c>
      <c r="C950" s="19" t="s">
        <v>6</v>
      </c>
      <c r="D950" s="19" t="s">
        <v>138</v>
      </c>
      <c r="E950" s="19">
        <v>0</v>
      </c>
      <c r="F950" s="19">
        <v>-1</v>
      </c>
    </row>
    <row r="951" spans="1:6" x14ac:dyDescent="0.25">
      <c r="A951" s="20">
        <v>45419</v>
      </c>
      <c r="B951" s="19" t="s">
        <v>136</v>
      </c>
      <c r="C951" s="19" t="s">
        <v>7</v>
      </c>
      <c r="D951" s="19" t="s">
        <v>138</v>
      </c>
      <c r="E951" s="19">
        <v>0</v>
      </c>
      <c r="F951" s="19">
        <v>-1</v>
      </c>
    </row>
    <row r="952" spans="1:6" x14ac:dyDescent="0.25">
      <c r="A952" s="20">
        <v>45419</v>
      </c>
      <c r="B952" s="19" t="s">
        <v>136</v>
      </c>
      <c r="C952" s="19" t="s">
        <v>8</v>
      </c>
      <c r="D952" s="19" t="s">
        <v>138</v>
      </c>
      <c r="E952" s="19">
        <v>0</v>
      </c>
      <c r="F952" s="19">
        <v>-1</v>
      </c>
    </row>
    <row r="953" spans="1:6" x14ac:dyDescent="0.25">
      <c r="A953" s="20">
        <v>45419</v>
      </c>
      <c r="B953" s="19" t="s">
        <v>135</v>
      </c>
      <c r="C953" s="19" t="s">
        <v>6</v>
      </c>
      <c r="D953" s="19" t="s">
        <v>138</v>
      </c>
      <c r="E953" s="19">
        <v>0</v>
      </c>
      <c r="F953" s="19">
        <v>-1</v>
      </c>
    </row>
    <row r="954" spans="1:6" x14ac:dyDescent="0.25">
      <c r="A954" s="20">
        <v>45419</v>
      </c>
      <c r="B954" s="19" t="s">
        <v>135</v>
      </c>
      <c r="C954" s="19" t="s">
        <v>7</v>
      </c>
      <c r="D954" s="19" t="s">
        <v>138</v>
      </c>
      <c r="E954" s="19">
        <v>0</v>
      </c>
      <c r="F954" s="19">
        <v>-1</v>
      </c>
    </row>
    <row r="955" spans="1:6" x14ac:dyDescent="0.25">
      <c r="A955" s="20">
        <v>45419</v>
      </c>
      <c r="B955" s="19" t="s">
        <v>135</v>
      </c>
      <c r="C955" s="19" t="s">
        <v>8</v>
      </c>
      <c r="D955" s="19" t="s">
        <v>138</v>
      </c>
      <c r="E955" s="19">
        <v>0</v>
      </c>
      <c r="F955" s="19">
        <v>-1</v>
      </c>
    </row>
    <row r="956" spans="1:6" x14ac:dyDescent="0.25">
      <c r="A956" s="20">
        <v>45419</v>
      </c>
      <c r="B956" s="19" t="s">
        <v>134</v>
      </c>
      <c r="C956" s="19" t="s">
        <v>6</v>
      </c>
      <c r="D956" s="19" t="s">
        <v>138</v>
      </c>
      <c r="E956" s="19">
        <v>0</v>
      </c>
      <c r="F956" s="19">
        <v>-1</v>
      </c>
    </row>
    <row r="957" spans="1:6" x14ac:dyDescent="0.25">
      <c r="A957" s="20">
        <v>45419</v>
      </c>
      <c r="B957" s="19" t="s">
        <v>134</v>
      </c>
      <c r="C957" s="19" t="s">
        <v>7</v>
      </c>
      <c r="D957" s="19" t="s">
        <v>138</v>
      </c>
      <c r="E957" s="19">
        <v>0</v>
      </c>
      <c r="F957" s="19">
        <v>-1</v>
      </c>
    </row>
    <row r="958" spans="1:6" x14ac:dyDescent="0.25">
      <c r="A958" s="20">
        <v>45419</v>
      </c>
      <c r="B958" s="19" t="s">
        <v>134</v>
      </c>
      <c r="C958" s="19" t="s">
        <v>8</v>
      </c>
      <c r="D958" s="19" t="s">
        <v>138</v>
      </c>
      <c r="E958" s="19">
        <v>0</v>
      </c>
      <c r="F958" s="19">
        <v>-1</v>
      </c>
    </row>
    <row r="959" spans="1:6" x14ac:dyDescent="0.25">
      <c r="A959" s="20">
        <v>45419</v>
      </c>
      <c r="B959" s="19" t="s">
        <v>132</v>
      </c>
      <c r="C959" s="19" t="s">
        <v>6</v>
      </c>
      <c r="D959" s="19" t="s">
        <v>138</v>
      </c>
      <c r="E959" s="19">
        <v>0</v>
      </c>
      <c r="F959" s="19">
        <v>-1</v>
      </c>
    </row>
    <row r="960" spans="1:6" x14ac:dyDescent="0.25">
      <c r="A960" s="20">
        <v>45419</v>
      </c>
      <c r="B960" s="19" t="s">
        <v>132</v>
      </c>
      <c r="C960" s="19" t="s">
        <v>7</v>
      </c>
      <c r="D960" s="19" t="s">
        <v>138</v>
      </c>
      <c r="E960" s="19">
        <v>0</v>
      </c>
      <c r="F960" s="19">
        <v>-1</v>
      </c>
    </row>
    <row r="961" spans="1:6" x14ac:dyDescent="0.25">
      <c r="A961" s="20">
        <v>45419</v>
      </c>
      <c r="B961" s="19" t="s">
        <v>132</v>
      </c>
      <c r="C961" s="19" t="s">
        <v>8</v>
      </c>
      <c r="D961" s="19" t="s">
        <v>138</v>
      </c>
      <c r="E961" s="19">
        <v>0</v>
      </c>
      <c r="F961" s="19">
        <v>-1</v>
      </c>
    </row>
    <row r="962" spans="1:6" x14ac:dyDescent="0.25">
      <c r="A962" s="20">
        <v>45419</v>
      </c>
      <c r="B962" s="19" t="s">
        <v>131</v>
      </c>
      <c r="C962" s="19" t="s">
        <v>6</v>
      </c>
      <c r="D962" s="19" t="s">
        <v>138</v>
      </c>
      <c r="E962" s="19">
        <v>0</v>
      </c>
      <c r="F962" s="19">
        <v>-1</v>
      </c>
    </row>
    <row r="963" spans="1:6" x14ac:dyDescent="0.25">
      <c r="A963" s="20">
        <v>45419</v>
      </c>
      <c r="B963" s="19" t="s">
        <v>131</v>
      </c>
      <c r="C963" s="19" t="s">
        <v>7</v>
      </c>
      <c r="D963" s="19" t="s">
        <v>138</v>
      </c>
      <c r="E963" s="19">
        <v>0</v>
      </c>
      <c r="F963" s="19">
        <v>-1</v>
      </c>
    </row>
    <row r="964" spans="1:6" x14ac:dyDescent="0.25">
      <c r="A964" s="20">
        <v>45419</v>
      </c>
      <c r="B964" s="19" t="s">
        <v>131</v>
      </c>
      <c r="C964" s="19" t="s">
        <v>8</v>
      </c>
      <c r="D964" s="19" t="s">
        <v>138</v>
      </c>
      <c r="E964" s="19">
        <v>0</v>
      </c>
      <c r="F964" s="19">
        <v>-1</v>
      </c>
    </row>
    <row r="965" spans="1:6" x14ac:dyDescent="0.25">
      <c r="A965" s="20">
        <v>45419</v>
      </c>
      <c r="B965" s="19" t="s">
        <v>130</v>
      </c>
      <c r="C965" s="19" t="s">
        <v>6</v>
      </c>
      <c r="D965" s="19" t="s">
        <v>138</v>
      </c>
      <c r="E965" s="19">
        <v>0</v>
      </c>
      <c r="F965" s="19">
        <v>-1</v>
      </c>
    </row>
    <row r="966" spans="1:6" x14ac:dyDescent="0.25">
      <c r="A966" s="20">
        <v>45419</v>
      </c>
      <c r="B966" s="19" t="s">
        <v>130</v>
      </c>
      <c r="C966" s="19" t="s">
        <v>7</v>
      </c>
      <c r="D966" s="19" t="s">
        <v>138</v>
      </c>
      <c r="E966" s="19">
        <v>0</v>
      </c>
      <c r="F966" s="19">
        <v>-1</v>
      </c>
    </row>
    <row r="967" spans="1:6" x14ac:dyDescent="0.25">
      <c r="A967" s="20">
        <v>45419</v>
      </c>
      <c r="B967" s="19" t="s">
        <v>130</v>
      </c>
      <c r="C967" s="19" t="s">
        <v>8</v>
      </c>
      <c r="D967" s="19" t="s">
        <v>138</v>
      </c>
      <c r="E967" s="19">
        <v>0</v>
      </c>
      <c r="F967" s="19">
        <v>-1</v>
      </c>
    </row>
    <row r="968" spans="1:6" x14ac:dyDescent="0.25">
      <c r="A968" s="20">
        <v>45419</v>
      </c>
      <c r="B968" s="19" t="s">
        <v>128</v>
      </c>
      <c r="C968" s="19" t="s">
        <v>6</v>
      </c>
      <c r="D968" s="19" t="s">
        <v>138</v>
      </c>
      <c r="E968" s="19">
        <v>0</v>
      </c>
      <c r="F968" s="19">
        <v>-1</v>
      </c>
    </row>
    <row r="969" spans="1:6" x14ac:dyDescent="0.25">
      <c r="A969" s="20">
        <v>45419</v>
      </c>
      <c r="B969" s="19" t="s">
        <v>128</v>
      </c>
      <c r="C969" s="19" t="s">
        <v>7</v>
      </c>
      <c r="D969" s="19" t="s">
        <v>138</v>
      </c>
      <c r="E969" s="19">
        <v>0</v>
      </c>
      <c r="F969" s="19">
        <v>-1</v>
      </c>
    </row>
    <row r="970" spans="1:6" x14ac:dyDescent="0.25">
      <c r="A970" s="20">
        <v>45419</v>
      </c>
      <c r="B970" s="19" t="s">
        <v>128</v>
      </c>
      <c r="C970" s="19" t="s">
        <v>8</v>
      </c>
      <c r="D970" s="19" t="s">
        <v>138</v>
      </c>
      <c r="E970" s="19">
        <v>0</v>
      </c>
      <c r="F970" s="19">
        <v>-1</v>
      </c>
    </row>
    <row r="971" spans="1:6" x14ac:dyDescent="0.25">
      <c r="A971" s="20">
        <v>45419</v>
      </c>
      <c r="B971" s="19" t="s">
        <v>40</v>
      </c>
      <c r="C971" s="19" t="s">
        <v>6</v>
      </c>
      <c r="D971" s="19" t="s">
        <v>138</v>
      </c>
      <c r="E971" s="19">
        <v>0</v>
      </c>
      <c r="F971" s="19">
        <v>-1</v>
      </c>
    </row>
    <row r="972" spans="1:6" x14ac:dyDescent="0.25">
      <c r="A972" s="20">
        <v>45419</v>
      </c>
      <c r="B972" s="19" t="s">
        <v>40</v>
      </c>
      <c r="C972" s="19" t="s">
        <v>7</v>
      </c>
      <c r="D972" s="19" t="s">
        <v>138</v>
      </c>
      <c r="E972" s="19">
        <v>0</v>
      </c>
      <c r="F972" s="19">
        <v>-1</v>
      </c>
    </row>
    <row r="973" spans="1:6" x14ac:dyDescent="0.25">
      <c r="A973" s="20">
        <v>45419</v>
      </c>
      <c r="B973" s="19" t="s">
        <v>40</v>
      </c>
      <c r="C973" s="19" t="s">
        <v>8</v>
      </c>
      <c r="D973" s="19" t="s">
        <v>138</v>
      </c>
      <c r="E973" s="19">
        <v>0</v>
      </c>
      <c r="F973" s="19">
        <v>-1</v>
      </c>
    </row>
    <row r="974" spans="1:6" x14ac:dyDescent="0.25">
      <c r="A974" s="20">
        <v>45419</v>
      </c>
      <c r="B974" s="19" t="s">
        <v>127</v>
      </c>
      <c r="C974" s="19" t="s">
        <v>6</v>
      </c>
      <c r="D974" s="19" t="s">
        <v>138</v>
      </c>
      <c r="E974" s="19">
        <v>0</v>
      </c>
      <c r="F974" s="19">
        <v>-1</v>
      </c>
    </row>
    <row r="975" spans="1:6" x14ac:dyDescent="0.25">
      <c r="A975" s="20">
        <v>45419</v>
      </c>
      <c r="B975" s="19" t="s">
        <v>127</v>
      </c>
      <c r="C975" s="19" t="s">
        <v>7</v>
      </c>
      <c r="D975" s="19" t="s">
        <v>138</v>
      </c>
      <c r="E975" s="19">
        <v>0</v>
      </c>
      <c r="F975" s="19">
        <v>-1</v>
      </c>
    </row>
    <row r="976" spans="1:6" x14ac:dyDescent="0.25">
      <c r="A976" s="20">
        <v>45419</v>
      </c>
      <c r="B976" s="19" t="s">
        <v>127</v>
      </c>
      <c r="C976" s="19" t="s">
        <v>8</v>
      </c>
      <c r="D976" s="19" t="s">
        <v>138</v>
      </c>
      <c r="E976" s="19">
        <v>0</v>
      </c>
      <c r="F976" s="19">
        <v>-1</v>
      </c>
    </row>
    <row r="977" spans="1:6" x14ac:dyDescent="0.25">
      <c r="A977" s="20">
        <v>45419</v>
      </c>
      <c r="B977" s="19" t="s">
        <v>124</v>
      </c>
      <c r="C977" s="19" t="s">
        <v>6</v>
      </c>
      <c r="D977" s="19" t="s">
        <v>138</v>
      </c>
      <c r="E977" s="19">
        <v>0</v>
      </c>
      <c r="F977" s="19">
        <v>-1</v>
      </c>
    </row>
    <row r="978" spans="1:6" x14ac:dyDescent="0.25">
      <c r="A978" s="20">
        <v>45419</v>
      </c>
      <c r="B978" s="19" t="s">
        <v>124</v>
      </c>
      <c r="C978" s="19" t="s">
        <v>7</v>
      </c>
      <c r="D978" s="19" t="s">
        <v>138</v>
      </c>
      <c r="E978" s="19">
        <v>0</v>
      </c>
      <c r="F978" s="19">
        <v>-1</v>
      </c>
    </row>
    <row r="979" spans="1:6" x14ac:dyDescent="0.25">
      <c r="A979" s="20">
        <v>45419</v>
      </c>
      <c r="B979" s="19" t="s">
        <v>124</v>
      </c>
      <c r="C979" s="19" t="s">
        <v>8</v>
      </c>
      <c r="D979" s="19" t="s">
        <v>138</v>
      </c>
      <c r="E979" s="19">
        <v>0</v>
      </c>
      <c r="F979" s="19">
        <v>-1</v>
      </c>
    </row>
    <row r="980" spans="1:6" x14ac:dyDescent="0.25">
      <c r="A980" s="20">
        <v>45419</v>
      </c>
      <c r="B980" s="19" t="s">
        <v>122</v>
      </c>
      <c r="C980" s="19" t="s">
        <v>6</v>
      </c>
      <c r="D980" s="19" t="s">
        <v>138</v>
      </c>
      <c r="E980" s="19">
        <v>0</v>
      </c>
      <c r="F980" s="19">
        <v>-1</v>
      </c>
    </row>
    <row r="981" spans="1:6" x14ac:dyDescent="0.25">
      <c r="A981" s="20">
        <v>45419</v>
      </c>
      <c r="B981" s="19" t="s">
        <v>122</v>
      </c>
      <c r="C981" s="19" t="s">
        <v>7</v>
      </c>
      <c r="D981" s="19" t="s">
        <v>138</v>
      </c>
      <c r="E981" s="19">
        <v>0</v>
      </c>
      <c r="F981" s="19">
        <v>-1</v>
      </c>
    </row>
    <row r="982" spans="1:6" x14ac:dyDescent="0.25">
      <c r="A982" s="20">
        <v>45419</v>
      </c>
      <c r="B982" s="19" t="s">
        <v>122</v>
      </c>
      <c r="C982" s="19" t="s">
        <v>8</v>
      </c>
      <c r="D982" s="19" t="s">
        <v>138</v>
      </c>
      <c r="E982" s="19">
        <v>0</v>
      </c>
      <c r="F982" s="19">
        <v>-1</v>
      </c>
    </row>
    <row r="983" spans="1:6" x14ac:dyDescent="0.25">
      <c r="A983" s="20">
        <v>45419</v>
      </c>
      <c r="B983" s="19" t="s">
        <v>120</v>
      </c>
      <c r="C983" s="19" t="s">
        <v>6</v>
      </c>
      <c r="D983" s="19" t="s">
        <v>138</v>
      </c>
      <c r="E983" s="19">
        <v>0</v>
      </c>
      <c r="F983" s="19">
        <v>-1</v>
      </c>
    </row>
    <row r="984" spans="1:6" x14ac:dyDescent="0.25">
      <c r="A984" s="20">
        <v>45419</v>
      </c>
      <c r="B984" s="19" t="s">
        <v>120</v>
      </c>
      <c r="C984" s="19" t="s">
        <v>7</v>
      </c>
      <c r="D984" s="19" t="s">
        <v>138</v>
      </c>
      <c r="E984" s="19">
        <v>0</v>
      </c>
      <c r="F984" s="19">
        <v>-1</v>
      </c>
    </row>
    <row r="985" spans="1:6" x14ac:dyDescent="0.25">
      <c r="A985" s="20">
        <v>45419</v>
      </c>
      <c r="B985" s="19" t="s">
        <v>120</v>
      </c>
      <c r="C985" s="19" t="s">
        <v>8</v>
      </c>
      <c r="D985" s="19" t="s">
        <v>138</v>
      </c>
      <c r="E985" s="19">
        <v>0</v>
      </c>
      <c r="F985" s="19">
        <v>-1</v>
      </c>
    </row>
    <row r="986" spans="1:6" x14ac:dyDescent="0.25">
      <c r="A986" s="20">
        <v>45419</v>
      </c>
      <c r="B986" s="19" t="s">
        <v>119</v>
      </c>
      <c r="C986" s="19" t="s">
        <v>6</v>
      </c>
      <c r="D986" s="19" t="s">
        <v>138</v>
      </c>
      <c r="E986" s="19">
        <v>0</v>
      </c>
      <c r="F986" s="19">
        <v>-1</v>
      </c>
    </row>
    <row r="987" spans="1:6" x14ac:dyDescent="0.25">
      <c r="A987" s="20">
        <v>45419</v>
      </c>
      <c r="B987" s="19" t="s">
        <v>119</v>
      </c>
      <c r="C987" s="19" t="s">
        <v>7</v>
      </c>
      <c r="D987" s="19" t="s">
        <v>138</v>
      </c>
      <c r="E987" s="19">
        <v>0</v>
      </c>
      <c r="F987" s="19">
        <v>-1</v>
      </c>
    </row>
    <row r="988" spans="1:6" x14ac:dyDescent="0.25">
      <c r="A988" s="20">
        <v>45419</v>
      </c>
      <c r="B988" s="19" t="s">
        <v>119</v>
      </c>
      <c r="C988" s="19" t="s">
        <v>8</v>
      </c>
      <c r="D988" s="19" t="s">
        <v>138</v>
      </c>
      <c r="E988" s="19">
        <v>0</v>
      </c>
      <c r="F988" s="19">
        <v>-1</v>
      </c>
    </row>
    <row r="989" spans="1:6" x14ac:dyDescent="0.25">
      <c r="A989" s="20">
        <v>45419</v>
      </c>
      <c r="B989" s="19" t="s">
        <v>117</v>
      </c>
      <c r="C989" s="19" t="s">
        <v>6</v>
      </c>
      <c r="D989" s="19" t="s">
        <v>138</v>
      </c>
      <c r="E989" s="19">
        <v>0</v>
      </c>
      <c r="F989" s="19">
        <v>-1</v>
      </c>
    </row>
    <row r="990" spans="1:6" x14ac:dyDescent="0.25">
      <c r="A990" s="20">
        <v>45419</v>
      </c>
      <c r="B990" s="19" t="s">
        <v>117</v>
      </c>
      <c r="C990" s="19" t="s">
        <v>7</v>
      </c>
      <c r="D990" s="19" t="s">
        <v>138</v>
      </c>
      <c r="E990" s="19">
        <v>0</v>
      </c>
      <c r="F990" s="19">
        <v>-1</v>
      </c>
    </row>
    <row r="991" spans="1:6" x14ac:dyDescent="0.25">
      <c r="A991" s="20">
        <v>45419</v>
      </c>
      <c r="B991" s="19" t="s">
        <v>117</v>
      </c>
      <c r="C991" s="19" t="s">
        <v>8</v>
      </c>
      <c r="D991" s="19" t="s">
        <v>138</v>
      </c>
      <c r="E991" s="19">
        <v>0</v>
      </c>
      <c r="F991" s="19">
        <v>-1</v>
      </c>
    </row>
    <row r="992" spans="1:6" x14ac:dyDescent="0.25">
      <c r="A992" s="20">
        <v>45419</v>
      </c>
      <c r="B992" s="19" t="s">
        <v>39</v>
      </c>
      <c r="C992" s="19" t="s">
        <v>6</v>
      </c>
      <c r="D992" s="19" t="s">
        <v>138</v>
      </c>
      <c r="E992" s="19">
        <v>0</v>
      </c>
      <c r="F992" s="19">
        <v>-1</v>
      </c>
    </row>
    <row r="993" spans="1:6" x14ac:dyDescent="0.25">
      <c r="A993" s="20">
        <v>45419</v>
      </c>
      <c r="B993" s="19" t="s">
        <v>39</v>
      </c>
      <c r="C993" s="19" t="s">
        <v>7</v>
      </c>
      <c r="D993" s="19" t="s">
        <v>138</v>
      </c>
      <c r="E993" s="19">
        <v>0</v>
      </c>
      <c r="F993" s="19">
        <v>-1</v>
      </c>
    </row>
    <row r="994" spans="1:6" x14ac:dyDescent="0.25">
      <c r="A994" s="20">
        <v>45419</v>
      </c>
      <c r="B994" s="19" t="s">
        <v>39</v>
      </c>
      <c r="C994" s="19" t="s">
        <v>8</v>
      </c>
      <c r="D994" s="19" t="s">
        <v>138</v>
      </c>
      <c r="E994" s="19">
        <v>0</v>
      </c>
      <c r="F994" s="19">
        <v>-1</v>
      </c>
    </row>
    <row r="995" spans="1:6" x14ac:dyDescent="0.25">
      <c r="A995" s="20">
        <v>45419</v>
      </c>
      <c r="B995" s="19" t="s">
        <v>113</v>
      </c>
      <c r="C995" s="19" t="s">
        <v>6</v>
      </c>
      <c r="D995" s="19" t="s">
        <v>138</v>
      </c>
      <c r="E995" s="19">
        <v>0</v>
      </c>
      <c r="F995" s="19">
        <v>-1</v>
      </c>
    </row>
    <row r="996" spans="1:6" x14ac:dyDescent="0.25">
      <c r="A996" s="20">
        <v>45419</v>
      </c>
      <c r="B996" s="19" t="s">
        <v>113</v>
      </c>
      <c r="C996" s="19" t="s">
        <v>7</v>
      </c>
      <c r="D996" s="19" t="s">
        <v>138</v>
      </c>
      <c r="E996" s="19">
        <v>0</v>
      </c>
      <c r="F996" s="19">
        <v>-1</v>
      </c>
    </row>
    <row r="997" spans="1:6" x14ac:dyDescent="0.25">
      <c r="A997" s="20">
        <v>45419</v>
      </c>
      <c r="B997" s="19" t="s">
        <v>113</v>
      </c>
      <c r="C997" s="19" t="s">
        <v>8</v>
      </c>
      <c r="D997" s="19" t="s">
        <v>138</v>
      </c>
      <c r="E997" s="19">
        <v>0</v>
      </c>
      <c r="F997" s="19">
        <v>-1</v>
      </c>
    </row>
    <row r="998" spans="1:6" x14ac:dyDescent="0.25">
      <c r="A998" s="20">
        <v>45419</v>
      </c>
      <c r="B998" s="19" t="s">
        <v>111</v>
      </c>
      <c r="C998" s="19" t="s">
        <v>6</v>
      </c>
      <c r="D998" s="19" t="s">
        <v>138</v>
      </c>
      <c r="E998" s="19">
        <v>0</v>
      </c>
      <c r="F998" s="19">
        <v>-1</v>
      </c>
    </row>
    <row r="999" spans="1:6" x14ac:dyDescent="0.25">
      <c r="A999" s="20">
        <v>45419</v>
      </c>
      <c r="B999" s="19" t="s">
        <v>111</v>
      </c>
      <c r="C999" s="19" t="s">
        <v>7</v>
      </c>
      <c r="D999" s="19" t="s">
        <v>138</v>
      </c>
      <c r="E999" s="19">
        <v>0</v>
      </c>
      <c r="F999" s="19">
        <v>-1</v>
      </c>
    </row>
    <row r="1000" spans="1:6" x14ac:dyDescent="0.25">
      <c r="A1000" s="20">
        <v>45419</v>
      </c>
      <c r="B1000" s="19" t="s">
        <v>111</v>
      </c>
      <c r="C1000" s="19" t="s">
        <v>8</v>
      </c>
      <c r="D1000" s="19" t="s">
        <v>138</v>
      </c>
      <c r="E1000" s="19">
        <v>0</v>
      </c>
      <c r="F1000" s="19">
        <v>-1</v>
      </c>
    </row>
    <row r="1001" spans="1:6" x14ac:dyDescent="0.25">
      <c r="A1001" s="20">
        <v>45419</v>
      </c>
      <c r="B1001" s="19" t="s">
        <v>109</v>
      </c>
      <c r="C1001" s="19" t="s">
        <v>6</v>
      </c>
      <c r="D1001" s="19" t="s">
        <v>138</v>
      </c>
      <c r="E1001" s="19">
        <v>0</v>
      </c>
      <c r="F1001" s="19">
        <v>-1</v>
      </c>
    </row>
    <row r="1002" spans="1:6" x14ac:dyDescent="0.25">
      <c r="A1002" s="20">
        <v>45419</v>
      </c>
      <c r="B1002" s="19" t="s">
        <v>109</v>
      </c>
      <c r="C1002" s="19" t="s">
        <v>7</v>
      </c>
      <c r="D1002" s="19" t="s">
        <v>138</v>
      </c>
      <c r="E1002" s="19">
        <v>0</v>
      </c>
      <c r="F1002" s="19">
        <v>-1</v>
      </c>
    </row>
    <row r="1003" spans="1:6" x14ac:dyDescent="0.25">
      <c r="A1003" s="20">
        <v>45419</v>
      </c>
      <c r="B1003" s="19" t="s">
        <v>109</v>
      </c>
      <c r="C1003" s="19" t="s">
        <v>8</v>
      </c>
      <c r="D1003" s="19" t="s">
        <v>138</v>
      </c>
      <c r="E1003" s="19">
        <v>0</v>
      </c>
      <c r="F1003" s="19">
        <v>-1</v>
      </c>
    </row>
    <row r="1004" spans="1:6" x14ac:dyDescent="0.25">
      <c r="A1004" s="20">
        <v>45419</v>
      </c>
      <c r="B1004" s="19" t="s">
        <v>107</v>
      </c>
      <c r="C1004" s="19" t="s">
        <v>6</v>
      </c>
      <c r="D1004" s="19" t="s">
        <v>139</v>
      </c>
      <c r="E1004" s="19">
        <v>2192</v>
      </c>
      <c r="F1004" s="19">
        <v>-1</v>
      </c>
    </row>
    <row r="1005" spans="1:6" x14ac:dyDescent="0.25">
      <c r="A1005" s="20">
        <v>45419</v>
      </c>
      <c r="B1005" s="19" t="s">
        <v>107</v>
      </c>
      <c r="C1005" s="19" t="s">
        <v>7</v>
      </c>
      <c r="D1005" s="19" t="s">
        <v>139</v>
      </c>
      <c r="E1005" s="19">
        <v>2148</v>
      </c>
      <c r="F1005" s="19">
        <v>-1</v>
      </c>
    </row>
    <row r="1006" spans="1:6" x14ac:dyDescent="0.25">
      <c r="A1006" s="20">
        <v>45419</v>
      </c>
      <c r="B1006" s="19" t="s">
        <v>107</v>
      </c>
      <c r="C1006" s="19" t="s">
        <v>8</v>
      </c>
      <c r="D1006" s="19" t="s">
        <v>139</v>
      </c>
      <c r="E1006" s="19">
        <v>2203</v>
      </c>
      <c r="F1006" s="19">
        <v>-1</v>
      </c>
    </row>
    <row r="1007" spans="1:6" x14ac:dyDescent="0.25">
      <c r="A1007" s="20">
        <v>45419</v>
      </c>
      <c r="B1007" s="19" t="s">
        <v>41</v>
      </c>
      <c r="C1007" s="19" t="s">
        <v>6</v>
      </c>
      <c r="D1007" s="19" t="s">
        <v>138</v>
      </c>
      <c r="E1007" s="19">
        <v>0</v>
      </c>
      <c r="F1007" s="19">
        <v>-1</v>
      </c>
    </row>
    <row r="1008" spans="1:6" x14ac:dyDescent="0.25">
      <c r="A1008" s="20">
        <v>45419</v>
      </c>
      <c r="B1008" s="19" t="s">
        <v>41</v>
      </c>
      <c r="C1008" s="19" t="s">
        <v>7</v>
      </c>
      <c r="D1008" s="19" t="s">
        <v>138</v>
      </c>
      <c r="E1008" s="19">
        <v>0</v>
      </c>
      <c r="F1008" s="19">
        <v>-1</v>
      </c>
    </row>
    <row r="1009" spans="1:6" x14ac:dyDescent="0.25">
      <c r="A1009" s="20">
        <v>45419</v>
      </c>
      <c r="B1009" s="19" t="s">
        <v>41</v>
      </c>
      <c r="C1009" s="19" t="s">
        <v>8</v>
      </c>
      <c r="D1009" s="19" t="s">
        <v>138</v>
      </c>
      <c r="E1009" s="19">
        <v>0</v>
      </c>
      <c r="F1009" s="19">
        <v>-1</v>
      </c>
    </row>
    <row r="1010" spans="1:6" x14ac:dyDescent="0.25">
      <c r="A1010" s="20">
        <v>45419</v>
      </c>
      <c r="B1010" s="19" t="s">
        <v>43</v>
      </c>
      <c r="C1010" s="19" t="s">
        <v>6</v>
      </c>
      <c r="D1010" s="19" t="s">
        <v>138</v>
      </c>
      <c r="E1010" s="19">
        <v>0</v>
      </c>
      <c r="F1010" s="19">
        <v>-1</v>
      </c>
    </row>
    <row r="1011" spans="1:6" x14ac:dyDescent="0.25">
      <c r="A1011" s="20">
        <v>45419</v>
      </c>
      <c r="B1011" s="19" t="s">
        <v>43</v>
      </c>
      <c r="C1011" s="19" t="s">
        <v>7</v>
      </c>
      <c r="D1011" s="19" t="s">
        <v>138</v>
      </c>
      <c r="E1011" s="19">
        <v>0</v>
      </c>
      <c r="F1011" s="19">
        <v>-1</v>
      </c>
    </row>
    <row r="1012" spans="1:6" x14ac:dyDescent="0.25">
      <c r="A1012" s="20">
        <v>45419</v>
      </c>
      <c r="B1012" s="19" t="s">
        <v>43</v>
      </c>
      <c r="C1012" s="19" t="s">
        <v>8</v>
      </c>
      <c r="D1012" s="19" t="s">
        <v>138</v>
      </c>
      <c r="E1012" s="19">
        <v>0</v>
      </c>
      <c r="F1012" s="19">
        <v>-1</v>
      </c>
    </row>
    <row r="1013" spans="1:6" x14ac:dyDescent="0.25">
      <c r="A1013" s="20">
        <v>45419</v>
      </c>
      <c r="B1013" s="19" t="s">
        <v>5</v>
      </c>
      <c r="C1013" s="19" t="s">
        <v>6</v>
      </c>
      <c r="D1013" s="19" t="s">
        <v>138</v>
      </c>
      <c r="E1013" s="19">
        <v>0</v>
      </c>
      <c r="F1013" s="19">
        <v>-1</v>
      </c>
    </row>
    <row r="1014" spans="1:6" x14ac:dyDescent="0.25">
      <c r="A1014" s="20">
        <v>45419</v>
      </c>
      <c r="B1014" s="19" t="s">
        <v>5</v>
      </c>
      <c r="C1014" s="19" t="s">
        <v>7</v>
      </c>
      <c r="D1014" s="19" t="s">
        <v>138</v>
      </c>
      <c r="E1014" s="19">
        <v>0</v>
      </c>
      <c r="F1014" s="19">
        <v>-1</v>
      </c>
    </row>
    <row r="1015" spans="1:6" x14ac:dyDescent="0.25">
      <c r="A1015" s="20">
        <v>45419</v>
      </c>
      <c r="B1015" s="19" t="s">
        <v>5</v>
      </c>
      <c r="C1015" s="19" t="s">
        <v>8</v>
      </c>
      <c r="D1015" s="19" t="s">
        <v>138</v>
      </c>
      <c r="E1015" s="19">
        <v>0</v>
      </c>
      <c r="F1015" s="19">
        <v>-1</v>
      </c>
    </row>
    <row r="1016" spans="1:6" x14ac:dyDescent="0.25">
      <c r="A1016" s="20">
        <v>45419</v>
      </c>
      <c r="B1016" s="19" t="s">
        <v>9</v>
      </c>
      <c r="C1016" s="19" t="s">
        <v>6</v>
      </c>
      <c r="D1016" s="19" t="s">
        <v>138</v>
      </c>
      <c r="E1016" s="19">
        <v>0</v>
      </c>
      <c r="F1016" s="19">
        <v>-1</v>
      </c>
    </row>
    <row r="1017" spans="1:6" x14ac:dyDescent="0.25">
      <c r="A1017" s="20">
        <v>45419</v>
      </c>
      <c r="B1017" s="19" t="s">
        <v>9</v>
      </c>
      <c r="C1017" s="19" t="s">
        <v>7</v>
      </c>
      <c r="D1017" s="19" t="s">
        <v>138</v>
      </c>
      <c r="E1017" s="19">
        <v>0</v>
      </c>
      <c r="F1017" s="19">
        <v>-1</v>
      </c>
    </row>
    <row r="1018" spans="1:6" x14ac:dyDescent="0.25">
      <c r="A1018" s="20">
        <v>45419</v>
      </c>
      <c r="B1018" s="19" t="s">
        <v>9</v>
      </c>
      <c r="C1018" s="19" t="s">
        <v>8</v>
      </c>
      <c r="D1018" s="19" t="s">
        <v>138</v>
      </c>
      <c r="E1018" s="19">
        <v>0</v>
      </c>
      <c r="F1018" s="19">
        <v>-1</v>
      </c>
    </row>
    <row r="1019" spans="1:6" x14ac:dyDescent="0.25">
      <c r="A1019" s="20">
        <v>45419</v>
      </c>
      <c r="B1019" s="19" t="s">
        <v>10</v>
      </c>
      <c r="C1019" s="19" t="s">
        <v>6</v>
      </c>
      <c r="D1019" s="19" t="s">
        <v>138</v>
      </c>
      <c r="E1019" s="19">
        <v>0</v>
      </c>
      <c r="F1019" s="19">
        <v>-1</v>
      </c>
    </row>
    <row r="1020" spans="1:6" x14ac:dyDescent="0.25">
      <c r="A1020" s="20">
        <v>45419</v>
      </c>
      <c r="B1020" s="19" t="s">
        <v>10</v>
      </c>
      <c r="C1020" s="19" t="s">
        <v>7</v>
      </c>
      <c r="D1020" s="19" t="s">
        <v>138</v>
      </c>
      <c r="E1020" s="19">
        <v>0</v>
      </c>
      <c r="F1020" s="19">
        <v>-1</v>
      </c>
    </row>
    <row r="1021" spans="1:6" x14ac:dyDescent="0.25">
      <c r="A1021" s="20">
        <v>45419</v>
      </c>
      <c r="B1021" s="19" t="s">
        <v>10</v>
      </c>
      <c r="C1021" s="19" t="s">
        <v>8</v>
      </c>
      <c r="D1021" s="19" t="s">
        <v>138</v>
      </c>
      <c r="E1021" s="19">
        <v>0</v>
      </c>
      <c r="F1021" s="19">
        <v>-1</v>
      </c>
    </row>
    <row r="1022" spans="1:6" x14ac:dyDescent="0.25">
      <c r="A1022" s="20">
        <v>45419</v>
      </c>
      <c r="B1022" s="19" t="s">
        <v>11</v>
      </c>
      <c r="C1022" s="19" t="s">
        <v>6</v>
      </c>
      <c r="D1022" s="19" t="s">
        <v>139</v>
      </c>
      <c r="E1022" s="19">
        <v>2520</v>
      </c>
      <c r="F1022" s="19">
        <v>-1</v>
      </c>
    </row>
    <row r="1023" spans="1:6" x14ac:dyDescent="0.25">
      <c r="A1023" s="20">
        <v>45419</v>
      </c>
      <c r="B1023" s="19" t="s">
        <v>11</v>
      </c>
      <c r="C1023" s="19" t="s">
        <v>7</v>
      </c>
      <c r="D1023" s="19" t="s">
        <v>139</v>
      </c>
      <c r="E1023" s="19">
        <v>2552</v>
      </c>
      <c r="F1023" s="19">
        <v>-1</v>
      </c>
    </row>
    <row r="1024" spans="1:6" x14ac:dyDescent="0.25">
      <c r="A1024" s="20">
        <v>45419</v>
      </c>
      <c r="B1024" s="19" t="s">
        <v>11</v>
      </c>
      <c r="C1024" s="19" t="s">
        <v>8</v>
      </c>
      <c r="D1024" s="19" t="s">
        <v>139</v>
      </c>
      <c r="E1024" s="19">
        <v>2531</v>
      </c>
      <c r="F1024" s="19">
        <v>-1</v>
      </c>
    </row>
    <row r="1025" spans="1:6" x14ac:dyDescent="0.25">
      <c r="A1025" s="20">
        <v>45419</v>
      </c>
      <c r="B1025" s="19" t="s">
        <v>12</v>
      </c>
      <c r="C1025" s="19" t="s">
        <v>6</v>
      </c>
      <c r="D1025" s="19" t="s">
        <v>138</v>
      </c>
      <c r="E1025" s="19">
        <v>0</v>
      </c>
      <c r="F1025" s="19">
        <v>-1</v>
      </c>
    </row>
    <row r="1026" spans="1:6" x14ac:dyDescent="0.25">
      <c r="A1026" s="20">
        <v>45419</v>
      </c>
      <c r="B1026" s="19" t="s">
        <v>12</v>
      </c>
      <c r="C1026" s="19" t="s">
        <v>7</v>
      </c>
      <c r="D1026" s="19" t="s">
        <v>138</v>
      </c>
      <c r="E1026" s="19">
        <v>0</v>
      </c>
      <c r="F1026" s="19">
        <v>-1</v>
      </c>
    </row>
    <row r="1027" spans="1:6" x14ac:dyDescent="0.25">
      <c r="A1027" s="20">
        <v>45419</v>
      </c>
      <c r="B1027" s="19" t="s">
        <v>12</v>
      </c>
      <c r="C1027" s="19" t="s">
        <v>8</v>
      </c>
      <c r="D1027" s="19" t="s">
        <v>138</v>
      </c>
      <c r="E1027" s="19">
        <v>0</v>
      </c>
      <c r="F1027" s="19">
        <v>-1</v>
      </c>
    </row>
    <row r="1028" spans="1:6" x14ac:dyDescent="0.25">
      <c r="A1028" s="20">
        <v>45419</v>
      </c>
      <c r="B1028" s="19" t="s">
        <v>105</v>
      </c>
      <c r="C1028" s="19" t="s">
        <v>6</v>
      </c>
      <c r="D1028" s="19" t="s">
        <v>139</v>
      </c>
      <c r="E1028" s="19">
        <v>2380</v>
      </c>
      <c r="F1028" s="19">
        <v>-1</v>
      </c>
    </row>
    <row r="1029" spans="1:6" x14ac:dyDescent="0.25">
      <c r="A1029" s="20">
        <v>45419</v>
      </c>
      <c r="B1029" s="19" t="s">
        <v>105</v>
      </c>
      <c r="C1029" s="19" t="s">
        <v>7</v>
      </c>
      <c r="D1029" s="19" t="s">
        <v>139</v>
      </c>
      <c r="E1029" s="19">
        <v>2422</v>
      </c>
      <c r="F1029" s="19">
        <v>-1</v>
      </c>
    </row>
    <row r="1030" spans="1:6" x14ac:dyDescent="0.25">
      <c r="A1030" s="20">
        <v>45419</v>
      </c>
      <c r="B1030" s="19" t="s">
        <v>105</v>
      </c>
      <c r="C1030" s="19" t="s">
        <v>8</v>
      </c>
      <c r="D1030" s="19" t="s">
        <v>139</v>
      </c>
      <c r="E1030" s="19">
        <v>2387</v>
      </c>
      <c r="F1030" s="19">
        <v>-1</v>
      </c>
    </row>
    <row r="1031" spans="1:6" x14ac:dyDescent="0.25">
      <c r="A1031" s="20">
        <v>45419</v>
      </c>
      <c r="B1031" s="19" t="s">
        <v>104</v>
      </c>
      <c r="C1031" s="19" t="s">
        <v>6</v>
      </c>
      <c r="D1031" s="19" t="s">
        <v>138</v>
      </c>
      <c r="E1031" s="19">
        <v>0</v>
      </c>
      <c r="F1031" s="19">
        <v>-1</v>
      </c>
    </row>
    <row r="1032" spans="1:6" x14ac:dyDescent="0.25">
      <c r="A1032" s="20">
        <v>45419</v>
      </c>
      <c r="B1032" s="19" t="s">
        <v>104</v>
      </c>
      <c r="C1032" s="19" t="s">
        <v>7</v>
      </c>
      <c r="D1032" s="19" t="s">
        <v>138</v>
      </c>
      <c r="E1032" s="19">
        <v>0</v>
      </c>
      <c r="F1032" s="19">
        <v>-1</v>
      </c>
    </row>
    <row r="1033" spans="1:6" x14ac:dyDescent="0.25">
      <c r="A1033" s="20">
        <v>45419</v>
      </c>
      <c r="B1033" s="19" t="s">
        <v>104</v>
      </c>
      <c r="C1033" s="19" t="s">
        <v>8</v>
      </c>
      <c r="D1033" s="19" t="s">
        <v>138</v>
      </c>
      <c r="E1033" s="19">
        <v>0</v>
      </c>
      <c r="F1033" s="19">
        <v>-1</v>
      </c>
    </row>
    <row r="1034" spans="1:6" x14ac:dyDescent="0.25">
      <c r="A1034" s="20">
        <v>45419</v>
      </c>
      <c r="B1034" s="19" t="s">
        <v>13</v>
      </c>
      <c r="C1034" s="19" t="s">
        <v>6</v>
      </c>
      <c r="D1034" s="19" t="s">
        <v>139</v>
      </c>
      <c r="E1034" s="19">
        <v>2230</v>
      </c>
      <c r="F1034" s="19">
        <v>-1</v>
      </c>
    </row>
    <row r="1035" spans="1:6" x14ac:dyDescent="0.25">
      <c r="A1035" s="20">
        <v>45419</v>
      </c>
      <c r="B1035" s="19" t="s">
        <v>13</v>
      </c>
      <c r="C1035" s="19" t="s">
        <v>7</v>
      </c>
      <c r="D1035" s="19" t="s">
        <v>139</v>
      </c>
      <c r="E1035" s="19">
        <v>2286</v>
      </c>
      <c r="F1035" s="19">
        <v>-1</v>
      </c>
    </row>
    <row r="1036" spans="1:6" x14ac:dyDescent="0.25">
      <c r="A1036" s="20">
        <v>45419</v>
      </c>
      <c r="B1036" s="19" t="s">
        <v>13</v>
      </c>
      <c r="C1036" s="19" t="s">
        <v>8</v>
      </c>
      <c r="D1036" s="19" t="s">
        <v>139</v>
      </c>
      <c r="E1036" s="19">
        <v>2241</v>
      </c>
      <c r="F1036" s="19">
        <v>-1</v>
      </c>
    </row>
    <row r="1037" spans="1:6" x14ac:dyDescent="0.25">
      <c r="A1037" s="20">
        <v>45419</v>
      </c>
      <c r="B1037" s="19" t="s">
        <v>103</v>
      </c>
      <c r="C1037" s="19" t="s">
        <v>6</v>
      </c>
      <c r="D1037" s="19" t="s">
        <v>138</v>
      </c>
      <c r="E1037" s="19">
        <v>0</v>
      </c>
      <c r="F1037" s="19">
        <v>-1</v>
      </c>
    </row>
    <row r="1038" spans="1:6" x14ac:dyDescent="0.25">
      <c r="A1038" s="20">
        <v>45419</v>
      </c>
      <c r="B1038" s="19" t="s">
        <v>103</v>
      </c>
      <c r="C1038" s="19" t="s">
        <v>7</v>
      </c>
      <c r="D1038" s="19" t="s">
        <v>138</v>
      </c>
      <c r="E1038" s="19">
        <v>0</v>
      </c>
      <c r="F1038" s="19">
        <v>-1</v>
      </c>
    </row>
    <row r="1039" spans="1:6" x14ac:dyDescent="0.25">
      <c r="A1039" s="20">
        <v>45419</v>
      </c>
      <c r="B1039" s="19" t="s">
        <v>103</v>
      </c>
      <c r="C1039" s="19" t="s">
        <v>8</v>
      </c>
      <c r="D1039" s="19" t="s">
        <v>138</v>
      </c>
      <c r="E1039" s="19">
        <v>0</v>
      </c>
      <c r="F1039" s="19">
        <v>-1</v>
      </c>
    </row>
    <row r="1040" spans="1:6" x14ac:dyDescent="0.25">
      <c r="A1040" s="20">
        <v>45419</v>
      </c>
      <c r="B1040" s="19" t="s">
        <v>101</v>
      </c>
      <c r="C1040" s="19" t="s">
        <v>6</v>
      </c>
      <c r="D1040" s="19" t="s">
        <v>138</v>
      </c>
      <c r="E1040" s="19">
        <v>0</v>
      </c>
      <c r="F1040" s="19">
        <v>-1</v>
      </c>
    </row>
    <row r="1041" spans="1:6" x14ac:dyDescent="0.25">
      <c r="A1041" s="20">
        <v>45419</v>
      </c>
      <c r="B1041" s="19" t="s">
        <v>101</v>
      </c>
      <c r="C1041" s="19" t="s">
        <v>7</v>
      </c>
      <c r="D1041" s="19" t="s">
        <v>138</v>
      </c>
      <c r="E1041" s="19">
        <v>0</v>
      </c>
      <c r="F1041" s="19">
        <v>-1</v>
      </c>
    </row>
    <row r="1042" spans="1:6" x14ac:dyDescent="0.25">
      <c r="A1042" s="20">
        <v>45419</v>
      </c>
      <c r="B1042" s="19" t="s">
        <v>101</v>
      </c>
      <c r="C1042" s="19" t="s">
        <v>8</v>
      </c>
      <c r="D1042" s="19" t="s">
        <v>138</v>
      </c>
      <c r="E1042" s="19">
        <v>0</v>
      </c>
      <c r="F1042" s="19">
        <v>-1</v>
      </c>
    </row>
    <row r="1043" spans="1:6" x14ac:dyDescent="0.25">
      <c r="A1043" s="20">
        <v>45419</v>
      </c>
      <c r="B1043" s="19" t="s">
        <v>99</v>
      </c>
      <c r="C1043" s="19" t="s">
        <v>6</v>
      </c>
      <c r="D1043" s="19" t="s">
        <v>138</v>
      </c>
      <c r="E1043" s="19">
        <v>0</v>
      </c>
      <c r="F1043" s="19">
        <v>-1</v>
      </c>
    </row>
    <row r="1044" spans="1:6" x14ac:dyDescent="0.25">
      <c r="A1044" s="20">
        <v>45419</v>
      </c>
      <c r="B1044" s="19" t="s">
        <v>99</v>
      </c>
      <c r="C1044" s="19" t="s">
        <v>7</v>
      </c>
      <c r="D1044" s="19" t="s">
        <v>138</v>
      </c>
      <c r="E1044" s="19">
        <v>0</v>
      </c>
      <c r="F1044" s="19">
        <v>-1</v>
      </c>
    </row>
    <row r="1045" spans="1:6" x14ac:dyDescent="0.25">
      <c r="A1045" s="20">
        <v>45419</v>
      </c>
      <c r="B1045" s="19" t="s">
        <v>99</v>
      </c>
      <c r="C1045" s="19" t="s">
        <v>8</v>
      </c>
      <c r="D1045" s="19" t="s">
        <v>138</v>
      </c>
      <c r="E1045" s="19">
        <v>0</v>
      </c>
      <c r="F1045" s="19">
        <v>-1</v>
      </c>
    </row>
    <row r="1046" spans="1:6" x14ac:dyDescent="0.25">
      <c r="A1046" s="20">
        <v>45419</v>
      </c>
      <c r="B1046" s="19" t="s">
        <v>97</v>
      </c>
      <c r="C1046" s="19" t="s">
        <v>6</v>
      </c>
      <c r="D1046" s="19" t="s">
        <v>138</v>
      </c>
      <c r="E1046" s="19">
        <v>0</v>
      </c>
      <c r="F1046" s="19">
        <v>-1</v>
      </c>
    </row>
    <row r="1047" spans="1:6" x14ac:dyDescent="0.25">
      <c r="A1047" s="20">
        <v>45419</v>
      </c>
      <c r="B1047" s="19" t="s">
        <v>97</v>
      </c>
      <c r="C1047" s="19" t="s">
        <v>7</v>
      </c>
      <c r="D1047" s="19" t="s">
        <v>138</v>
      </c>
      <c r="E1047" s="19">
        <v>0</v>
      </c>
      <c r="F1047" s="19">
        <v>-1</v>
      </c>
    </row>
    <row r="1048" spans="1:6" x14ac:dyDescent="0.25">
      <c r="A1048" s="20">
        <v>45419</v>
      </c>
      <c r="B1048" s="19" t="s">
        <v>97</v>
      </c>
      <c r="C1048" s="19" t="s">
        <v>8</v>
      </c>
      <c r="D1048" s="19" t="s">
        <v>138</v>
      </c>
      <c r="E1048" s="19">
        <v>0</v>
      </c>
      <c r="F1048" s="19">
        <v>-1</v>
      </c>
    </row>
    <row r="1049" spans="1:6" x14ac:dyDescent="0.25">
      <c r="A1049" s="20">
        <v>45419</v>
      </c>
      <c r="B1049" s="19" t="s">
        <v>95</v>
      </c>
      <c r="C1049" s="19" t="s">
        <v>6</v>
      </c>
      <c r="D1049" s="19" t="s">
        <v>138</v>
      </c>
      <c r="E1049" s="19">
        <v>0</v>
      </c>
      <c r="F1049" s="19">
        <v>-1</v>
      </c>
    </row>
    <row r="1050" spans="1:6" x14ac:dyDescent="0.25">
      <c r="A1050" s="20">
        <v>45419</v>
      </c>
      <c r="B1050" s="19" t="s">
        <v>95</v>
      </c>
      <c r="C1050" s="19" t="s">
        <v>7</v>
      </c>
      <c r="D1050" s="19" t="s">
        <v>138</v>
      </c>
      <c r="E1050" s="19">
        <v>0</v>
      </c>
      <c r="F1050" s="19">
        <v>-1</v>
      </c>
    </row>
    <row r="1051" spans="1:6" x14ac:dyDescent="0.25">
      <c r="A1051" s="20">
        <v>45419</v>
      </c>
      <c r="B1051" s="19" t="s">
        <v>95</v>
      </c>
      <c r="C1051" s="19" t="s">
        <v>8</v>
      </c>
      <c r="D1051" s="19" t="s">
        <v>138</v>
      </c>
      <c r="E1051" s="19">
        <v>0</v>
      </c>
      <c r="F1051" s="19">
        <v>-1</v>
      </c>
    </row>
    <row r="1052" spans="1:6" x14ac:dyDescent="0.25">
      <c r="A1052" s="20">
        <v>45419</v>
      </c>
      <c r="B1052" s="19" t="s">
        <v>14</v>
      </c>
      <c r="C1052" s="19" t="s">
        <v>6</v>
      </c>
      <c r="D1052" s="19" t="s">
        <v>138</v>
      </c>
      <c r="E1052" s="19">
        <v>0</v>
      </c>
      <c r="F1052" s="19">
        <v>-1</v>
      </c>
    </row>
    <row r="1053" spans="1:6" x14ac:dyDescent="0.25">
      <c r="A1053" s="20">
        <v>45419</v>
      </c>
      <c r="B1053" s="19" t="s">
        <v>14</v>
      </c>
      <c r="C1053" s="19" t="s">
        <v>7</v>
      </c>
      <c r="D1053" s="19" t="s">
        <v>138</v>
      </c>
      <c r="E1053" s="19">
        <v>0</v>
      </c>
      <c r="F1053" s="19">
        <v>-1</v>
      </c>
    </row>
    <row r="1054" spans="1:6" x14ac:dyDescent="0.25">
      <c r="A1054" s="20">
        <v>45419</v>
      </c>
      <c r="B1054" s="19" t="s">
        <v>14</v>
      </c>
      <c r="C1054" s="19" t="s">
        <v>8</v>
      </c>
      <c r="D1054" s="19" t="s">
        <v>138</v>
      </c>
      <c r="E1054" s="19">
        <v>0</v>
      </c>
      <c r="F1054" s="19">
        <v>-1</v>
      </c>
    </row>
    <row r="1055" spans="1:6" x14ac:dyDescent="0.25">
      <c r="A1055" s="20">
        <v>45419</v>
      </c>
      <c r="B1055" s="19" t="s">
        <v>91</v>
      </c>
      <c r="C1055" s="19" t="s">
        <v>6</v>
      </c>
      <c r="D1055" s="19" t="s">
        <v>138</v>
      </c>
      <c r="E1055" s="19">
        <v>0</v>
      </c>
      <c r="F1055" s="19">
        <v>-1</v>
      </c>
    </row>
    <row r="1056" spans="1:6" x14ac:dyDescent="0.25">
      <c r="A1056" s="20">
        <v>45419</v>
      </c>
      <c r="B1056" s="19" t="s">
        <v>91</v>
      </c>
      <c r="C1056" s="19" t="s">
        <v>7</v>
      </c>
      <c r="D1056" s="19" t="s">
        <v>138</v>
      </c>
      <c r="E1056" s="19">
        <v>0</v>
      </c>
      <c r="F1056" s="19">
        <v>-1</v>
      </c>
    </row>
    <row r="1057" spans="1:6" x14ac:dyDescent="0.25">
      <c r="A1057" s="20">
        <v>45419</v>
      </c>
      <c r="B1057" s="19" t="s">
        <v>91</v>
      </c>
      <c r="C1057" s="19" t="s">
        <v>8</v>
      </c>
      <c r="D1057" s="19" t="s">
        <v>138</v>
      </c>
      <c r="E1057" s="19">
        <v>0</v>
      </c>
      <c r="F1057" s="19">
        <v>-1</v>
      </c>
    </row>
    <row r="1058" spans="1:6" x14ac:dyDescent="0.25">
      <c r="A1058" s="20">
        <v>45419</v>
      </c>
      <c r="B1058" s="19" t="s">
        <v>15</v>
      </c>
      <c r="C1058" s="19" t="s">
        <v>6</v>
      </c>
      <c r="D1058" s="19" t="s">
        <v>138</v>
      </c>
      <c r="E1058" s="19">
        <v>0</v>
      </c>
      <c r="F1058" s="19">
        <v>-1</v>
      </c>
    </row>
    <row r="1059" spans="1:6" x14ac:dyDescent="0.25">
      <c r="A1059" s="20">
        <v>45419</v>
      </c>
      <c r="B1059" s="19" t="s">
        <v>15</v>
      </c>
      <c r="C1059" s="19" t="s">
        <v>7</v>
      </c>
      <c r="D1059" s="19" t="s">
        <v>138</v>
      </c>
      <c r="E1059" s="19">
        <v>0</v>
      </c>
      <c r="F1059" s="19">
        <v>-1</v>
      </c>
    </row>
    <row r="1060" spans="1:6" x14ac:dyDescent="0.25">
      <c r="A1060" s="20">
        <v>45419</v>
      </c>
      <c r="B1060" s="19" t="s">
        <v>15</v>
      </c>
      <c r="C1060" s="19" t="s">
        <v>8</v>
      </c>
      <c r="D1060" s="19" t="s">
        <v>138</v>
      </c>
      <c r="E1060" s="19">
        <v>0</v>
      </c>
      <c r="F1060" s="19">
        <v>-1</v>
      </c>
    </row>
    <row r="1061" spans="1:6" x14ac:dyDescent="0.25">
      <c r="A1061" s="20">
        <v>45419</v>
      </c>
      <c r="B1061" s="19" t="s">
        <v>89</v>
      </c>
      <c r="C1061" s="19" t="s">
        <v>6</v>
      </c>
      <c r="D1061" s="19" t="s">
        <v>138</v>
      </c>
      <c r="E1061" s="19">
        <v>0</v>
      </c>
      <c r="F1061" s="19">
        <v>-1</v>
      </c>
    </row>
    <row r="1062" spans="1:6" x14ac:dyDescent="0.25">
      <c r="A1062" s="20">
        <v>45419</v>
      </c>
      <c r="B1062" s="19" t="s">
        <v>89</v>
      </c>
      <c r="C1062" s="19" t="s">
        <v>7</v>
      </c>
      <c r="D1062" s="19" t="s">
        <v>138</v>
      </c>
      <c r="E1062" s="19">
        <v>0</v>
      </c>
      <c r="F1062" s="19">
        <v>-1</v>
      </c>
    </row>
    <row r="1063" spans="1:6" x14ac:dyDescent="0.25">
      <c r="A1063" s="20">
        <v>45419</v>
      </c>
      <c r="B1063" s="19" t="s">
        <v>89</v>
      </c>
      <c r="C1063" s="19" t="s">
        <v>8</v>
      </c>
      <c r="D1063" s="19" t="s">
        <v>138</v>
      </c>
      <c r="E1063" s="19">
        <v>0</v>
      </c>
      <c r="F1063" s="19">
        <v>-1</v>
      </c>
    </row>
    <row r="1064" spans="1:6" x14ac:dyDescent="0.25">
      <c r="A1064" s="20">
        <v>45419</v>
      </c>
      <c r="B1064" s="19" t="s">
        <v>16</v>
      </c>
      <c r="C1064" s="19" t="s">
        <v>6</v>
      </c>
      <c r="D1064" s="19" t="s">
        <v>138</v>
      </c>
      <c r="E1064" s="19">
        <v>0</v>
      </c>
      <c r="F1064" s="19">
        <v>-1</v>
      </c>
    </row>
    <row r="1065" spans="1:6" x14ac:dyDescent="0.25">
      <c r="A1065" s="20">
        <v>45419</v>
      </c>
      <c r="B1065" s="19" t="s">
        <v>16</v>
      </c>
      <c r="C1065" s="19" t="s">
        <v>7</v>
      </c>
      <c r="D1065" s="19" t="s">
        <v>138</v>
      </c>
      <c r="E1065" s="19">
        <v>0</v>
      </c>
      <c r="F1065" s="19">
        <v>-1</v>
      </c>
    </row>
    <row r="1066" spans="1:6" x14ac:dyDescent="0.25">
      <c r="A1066" s="20">
        <v>45419</v>
      </c>
      <c r="B1066" s="19" t="s">
        <v>16</v>
      </c>
      <c r="C1066" s="19" t="s">
        <v>8</v>
      </c>
      <c r="D1066" s="19" t="s">
        <v>138</v>
      </c>
      <c r="E1066" s="19">
        <v>0</v>
      </c>
      <c r="F1066" s="19">
        <v>-1</v>
      </c>
    </row>
    <row r="1067" spans="1:6" x14ac:dyDescent="0.25">
      <c r="A1067" s="20">
        <v>45419</v>
      </c>
      <c r="B1067" s="19" t="s">
        <v>88</v>
      </c>
      <c r="C1067" s="19" t="s">
        <v>6</v>
      </c>
      <c r="D1067" s="19" t="s">
        <v>138</v>
      </c>
      <c r="E1067" s="19">
        <v>0</v>
      </c>
      <c r="F1067" s="19">
        <v>-1</v>
      </c>
    </row>
    <row r="1068" spans="1:6" x14ac:dyDescent="0.25">
      <c r="A1068" s="20">
        <v>45419</v>
      </c>
      <c r="B1068" s="19" t="s">
        <v>88</v>
      </c>
      <c r="C1068" s="19" t="s">
        <v>7</v>
      </c>
      <c r="D1068" s="19" t="s">
        <v>138</v>
      </c>
      <c r="E1068" s="19">
        <v>0</v>
      </c>
      <c r="F1068" s="19">
        <v>-1</v>
      </c>
    </row>
    <row r="1069" spans="1:6" x14ac:dyDescent="0.25">
      <c r="A1069" s="20">
        <v>45419</v>
      </c>
      <c r="B1069" s="19" t="s">
        <v>88</v>
      </c>
      <c r="C1069" s="19" t="s">
        <v>8</v>
      </c>
      <c r="D1069" s="19" t="s">
        <v>138</v>
      </c>
      <c r="E1069" s="19">
        <v>0</v>
      </c>
      <c r="F1069" s="19">
        <v>-1</v>
      </c>
    </row>
    <row r="1070" spans="1:6" x14ac:dyDescent="0.25">
      <c r="A1070" s="20">
        <v>45419</v>
      </c>
      <c r="B1070" s="19" t="s">
        <v>17</v>
      </c>
      <c r="C1070" s="19" t="s">
        <v>6</v>
      </c>
      <c r="D1070" s="19" t="s">
        <v>138</v>
      </c>
      <c r="E1070" s="19">
        <v>0</v>
      </c>
      <c r="F1070" s="19">
        <v>-1</v>
      </c>
    </row>
    <row r="1071" spans="1:6" x14ac:dyDescent="0.25">
      <c r="A1071" s="20">
        <v>45419</v>
      </c>
      <c r="B1071" s="19" t="s">
        <v>17</v>
      </c>
      <c r="C1071" s="19" t="s">
        <v>7</v>
      </c>
      <c r="D1071" s="19" t="s">
        <v>138</v>
      </c>
      <c r="E1071" s="19">
        <v>0</v>
      </c>
      <c r="F1071" s="19">
        <v>-1</v>
      </c>
    </row>
    <row r="1072" spans="1:6" x14ac:dyDescent="0.25">
      <c r="A1072" s="20">
        <v>45419</v>
      </c>
      <c r="B1072" s="19" t="s">
        <v>17</v>
      </c>
      <c r="C1072" s="19" t="s">
        <v>8</v>
      </c>
      <c r="D1072" s="19" t="s">
        <v>138</v>
      </c>
      <c r="E1072" s="19">
        <v>0</v>
      </c>
      <c r="F1072" s="19">
        <v>-1</v>
      </c>
    </row>
    <row r="1073" spans="1:6" x14ac:dyDescent="0.25">
      <c r="A1073" s="20">
        <v>45419</v>
      </c>
      <c r="B1073" s="19" t="s">
        <v>19</v>
      </c>
      <c r="C1073" s="19" t="s">
        <v>6</v>
      </c>
      <c r="D1073" s="19" t="s">
        <v>138</v>
      </c>
      <c r="E1073" s="19">
        <v>0</v>
      </c>
      <c r="F1073" s="19">
        <v>-1</v>
      </c>
    </row>
    <row r="1074" spans="1:6" x14ac:dyDescent="0.25">
      <c r="A1074" s="20">
        <v>45419</v>
      </c>
      <c r="B1074" s="19" t="s">
        <v>19</v>
      </c>
      <c r="C1074" s="19" t="s">
        <v>7</v>
      </c>
      <c r="D1074" s="19" t="s">
        <v>138</v>
      </c>
      <c r="E1074" s="19">
        <v>0</v>
      </c>
      <c r="F1074" s="19">
        <v>-1</v>
      </c>
    </row>
    <row r="1075" spans="1:6" x14ac:dyDescent="0.25">
      <c r="A1075" s="20">
        <v>45419</v>
      </c>
      <c r="B1075" s="19" t="s">
        <v>19</v>
      </c>
      <c r="C1075" s="19" t="s">
        <v>8</v>
      </c>
      <c r="D1075" s="19" t="s">
        <v>138</v>
      </c>
      <c r="E1075" s="19">
        <v>0</v>
      </c>
      <c r="F1075" s="19">
        <v>-1</v>
      </c>
    </row>
    <row r="1076" spans="1:6" x14ac:dyDescent="0.25">
      <c r="A1076" s="20">
        <v>45419</v>
      </c>
      <c r="B1076" s="19" t="s">
        <v>18</v>
      </c>
      <c r="C1076" s="19" t="s">
        <v>6</v>
      </c>
      <c r="D1076" s="19" t="s">
        <v>138</v>
      </c>
      <c r="E1076" s="19">
        <v>0</v>
      </c>
      <c r="F1076" s="19">
        <v>-1</v>
      </c>
    </row>
    <row r="1077" spans="1:6" x14ac:dyDescent="0.25">
      <c r="A1077" s="20">
        <v>45419</v>
      </c>
      <c r="B1077" s="19" t="s">
        <v>18</v>
      </c>
      <c r="C1077" s="19" t="s">
        <v>7</v>
      </c>
      <c r="D1077" s="19" t="s">
        <v>138</v>
      </c>
      <c r="E1077" s="19">
        <v>0</v>
      </c>
      <c r="F1077" s="19">
        <v>-1</v>
      </c>
    </row>
    <row r="1078" spans="1:6" x14ac:dyDescent="0.25">
      <c r="A1078" s="20">
        <v>45419</v>
      </c>
      <c r="B1078" s="19" t="s">
        <v>18</v>
      </c>
      <c r="C1078" s="19" t="s">
        <v>8</v>
      </c>
      <c r="D1078" s="19" t="s">
        <v>138</v>
      </c>
      <c r="E1078" s="19">
        <v>0</v>
      </c>
      <c r="F1078" s="19">
        <v>-1</v>
      </c>
    </row>
    <row r="1079" spans="1:6" x14ac:dyDescent="0.25">
      <c r="A1079" s="20">
        <v>45419</v>
      </c>
      <c r="B1079" s="19" t="s">
        <v>87</v>
      </c>
      <c r="C1079" s="19" t="s">
        <v>6</v>
      </c>
      <c r="D1079" s="19" t="s">
        <v>138</v>
      </c>
      <c r="E1079" s="19">
        <v>0</v>
      </c>
      <c r="F1079" s="19">
        <v>-1</v>
      </c>
    </row>
    <row r="1080" spans="1:6" x14ac:dyDescent="0.25">
      <c r="A1080" s="20">
        <v>45419</v>
      </c>
      <c r="B1080" s="19" t="s">
        <v>87</v>
      </c>
      <c r="C1080" s="19" t="s">
        <v>7</v>
      </c>
      <c r="D1080" s="19" t="s">
        <v>138</v>
      </c>
      <c r="E1080" s="19">
        <v>0</v>
      </c>
      <c r="F1080" s="19">
        <v>-1</v>
      </c>
    </row>
    <row r="1081" spans="1:6" x14ac:dyDescent="0.25">
      <c r="A1081" s="20">
        <v>45419</v>
      </c>
      <c r="B1081" s="19" t="s">
        <v>87</v>
      </c>
      <c r="C1081" s="19" t="s">
        <v>8</v>
      </c>
      <c r="D1081" s="19" t="s">
        <v>138</v>
      </c>
      <c r="E1081" s="19">
        <v>0</v>
      </c>
      <c r="F1081" s="19">
        <v>-1</v>
      </c>
    </row>
    <row r="1082" spans="1:6" x14ac:dyDescent="0.25">
      <c r="A1082" s="20">
        <v>45419</v>
      </c>
      <c r="B1082" s="19" t="s">
        <v>42</v>
      </c>
      <c r="C1082" s="19" t="s">
        <v>6</v>
      </c>
      <c r="D1082" s="19" t="s">
        <v>138</v>
      </c>
      <c r="E1082" s="19">
        <v>0</v>
      </c>
      <c r="F1082" s="19">
        <v>-1</v>
      </c>
    </row>
    <row r="1083" spans="1:6" x14ac:dyDescent="0.25">
      <c r="A1083" s="20">
        <v>45419</v>
      </c>
      <c r="B1083" s="19" t="s">
        <v>42</v>
      </c>
      <c r="C1083" s="19" t="s">
        <v>7</v>
      </c>
      <c r="D1083" s="19" t="s">
        <v>138</v>
      </c>
      <c r="E1083" s="19">
        <v>0</v>
      </c>
      <c r="F1083" s="19">
        <v>-1</v>
      </c>
    </row>
    <row r="1084" spans="1:6" x14ac:dyDescent="0.25">
      <c r="A1084" s="20">
        <v>45419</v>
      </c>
      <c r="B1084" s="19" t="s">
        <v>42</v>
      </c>
      <c r="C1084" s="19" t="s">
        <v>8</v>
      </c>
      <c r="D1084" s="19" t="s">
        <v>138</v>
      </c>
      <c r="E1084" s="19">
        <v>0</v>
      </c>
      <c r="F1084" s="19">
        <v>-1</v>
      </c>
    </row>
    <row r="1085" spans="1:6" x14ac:dyDescent="0.25">
      <c r="A1085" s="20">
        <v>45419</v>
      </c>
      <c r="B1085" s="19" t="s">
        <v>86</v>
      </c>
      <c r="C1085" s="19" t="s">
        <v>6</v>
      </c>
      <c r="D1085" s="19" t="s">
        <v>138</v>
      </c>
      <c r="E1085" s="19">
        <v>0</v>
      </c>
      <c r="F1085" s="19">
        <v>-1</v>
      </c>
    </row>
    <row r="1086" spans="1:6" x14ac:dyDescent="0.25">
      <c r="A1086" s="20">
        <v>45419</v>
      </c>
      <c r="B1086" s="19" t="s">
        <v>86</v>
      </c>
      <c r="C1086" s="19" t="s">
        <v>7</v>
      </c>
      <c r="D1086" s="19" t="s">
        <v>138</v>
      </c>
      <c r="E1086" s="19">
        <v>0</v>
      </c>
      <c r="F1086" s="19">
        <v>-1</v>
      </c>
    </row>
    <row r="1087" spans="1:6" x14ac:dyDescent="0.25">
      <c r="A1087" s="20">
        <v>45419</v>
      </c>
      <c r="B1087" s="19" t="s">
        <v>86</v>
      </c>
      <c r="C1087" s="19" t="s">
        <v>8</v>
      </c>
      <c r="D1087" s="19" t="s">
        <v>138</v>
      </c>
      <c r="E1087" s="19">
        <v>0</v>
      </c>
      <c r="F1087" s="19">
        <v>-1</v>
      </c>
    </row>
    <row r="1088" spans="1:6" x14ac:dyDescent="0.25">
      <c r="A1088" s="20">
        <v>45419</v>
      </c>
      <c r="B1088" s="19" t="s">
        <v>38</v>
      </c>
      <c r="C1088" s="19" t="s">
        <v>6</v>
      </c>
      <c r="D1088" s="19" t="s">
        <v>138</v>
      </c>
      <c r="E1088" s="19">
        <v>0</v>
      </c>
      <c r="F1088" s="19">
        <v>-1</v>
      </c>
    </row>
    <row r="1089" spans="1:6" x14ac:dyDescent="0.25">
      <c r="A1089" s="20">
        <v>45419</v>
      </c>
      <c r="B1089" s="19" t="s">
        <v>38</v>
      </c>
      <c r="C1089" s="19" t="s">
        <v>7</v>
      </c>
      <c r="D1089" s="19" t="s">
        <v>138</v>
      </c>
      <c r="E1089" s="19">
        <v>0</v>
      </c>
      <c r="F1089" s="19">
        <v>-1</v>
      </c>
    </row>
    <row r="1090" spans="1:6" x14ac:dyDescent="0.25">
      <c r="A1090" s="20">
        <v>45419</v>
      </c>
      <c r="B1090" s="19" t="s">
        <v>38</v>
      </c>
      <c r="C1090" s="19" t="s">
        <v>8</v>
      </c>
      <c r="D1090" s="19" t="s">
        <v>138</v>
      </c>
      <c r="E1090" s="19">
        <v>0</v>
      </c>
      <c r="F1090" s="19">
        <v>-1</v>
      </c>
    </row>
    <row r="1091" spans="1:6" x14ac:dyDescent="0.25">
      <c r="A1091" s="20">
        <v>45419</v>
      </c>
      <c r="B1091" s="19" t="s">
        <v>83</v>
      </c>
      <c r="C1091" s="19" t="s">
        <v>6</v>
      </c>
      <c r="D1091" s="19" t="s">
        <v>138</v>
      </c>
      <c r="E1091" s="19">
        <v>0</v>
      </c>
      <c r="F1091" s="19">
        <v>-1</v>
      </c>
    </row>
    <row r="1092" spans="1:6" x14ac:dyDescent="0.25">
      <c r="A1092" s="20">
        <v>45419</v>
      </c>
      <c r="B1092" s="19" t="s">
        <v>83</v>
      </c>
      <c r="C1092" s="19" t="s">
        <v>7</v>
      </c>
      <c r="D1092" s="19" t="s">
        <v>138</v>
      </c>
      <c r="E1092" s="19">
        <v>0</v>
      </c>
      <c r="F1092" s="19">
        <v>-1</v>
      </c>
    </row>
    <row r="1093" spans="1:6" x14ac:dyDescent="0.25">
      <c r="A1093" s="20">
        <v>45419</v>
      </c>
      <c r="B1093" s="19" t="s">
        <v>83</v>
      </c>
      <c r="C1093" s="19" t="s">
        <v>8</v>
      </c>
      <c r="D1093" s="19" t="s">
        <v>138</v>
      </c>
      <c r="E1093" s="19">
        <v>0</v>
      </c>
      <c r="F1093" s="19">
        <v>-1</v>
      </c>
    </row>
    <row r="1094" spans="1:6" x14ac:dyDescent="0.25">
      <c r="A1094" s="20">
        <v>45419</v>
      </c>
      <c r="B1094" s="19" t="s">
        <v>20</v>
      </c>
      <c r="C1094" s="19" t="s">
        <v>6</v>
      </c>
      <c r="D1094" s="19" t="s">
        <v>138</v>
      </c>
      <c r="E1094" s="19">
        <v>0</v>
      </c>
      <c r="F1094" s="19">
        <v>-1</v>
      </c>
    </row>
    <row r="1095" spans="1:6" x14ac:dyDescent="0.25">
      <c r="A1095" s="20">
        <v>45419</v>
      </c>
      <c r="B1095" s="19" t="s">
        <v>20</v>
      </c>
      <c r="C1095" s="19" t="s">
        <v>7</v>
      </c>
      <c r="D1095" s="19" t="s">
        <v>138</v>
      </c>
      <c r="E1095" s="19">
        <v>0</v>
      </c>
      <c r="F1095" s="19">
        <v>-1</v>
      </c>
    </row>
    <row r="1096" spans="1:6" x14ac:dyDescent="0.25">
      <c r="A1096" s="20">
        <v>45419</v>
      </c>
      <c r="B1096" s="19" t="s">
        <v>20</v>
      </c>
      <c r="C1096" s="19" t="s">
        <v>8</v>
      </c>
      <c r="D1096" s="19" t="s">
        <v>138</v>
      </c>
      <c r="E1096" s="19">
        <v>0</v>
      </c>
      <c r="F1096" s="19">
        <v>-1</v>
      </c>
    </row>
    <row r="1097" spans="1:6" x14ac:dyDescent="0.25">
      <c r="A1097" s="20">
        <v>45419</v>
      </c>
      <c r="B1097" s="19" t="s">
        <v>21</v>
      </c>
      <c r="C1097" s="19" t="s">
        <v>6</v>
      </c>
      <c r="D1097" s="19" t="s">
        <v>138</v>
      </c>
      <c r="E1097" s="19">
        <v>0</v>
      </c>
      <c r="F1097" s="19">
        <v>-1</v>
      </c>
    </row>
    <row r="1098" spans="1:6" x14ac:dyDescent="0.25">
      <c r="A1098" s="20">
        <v>45419</v>
      </c>
      <c r="B1098" s="19" t="s">
        <v>21</v>
      </c>
      <c r="C1098" s="19" t="s">
        <v>7</v>
      </c>
      <c r="D1098" s="19" t="s">
        <v>138</v>
      </c>
      <c r="E1098" s="19">
        <v>0</v>
      </c>
      <c r="F1098" s="19">
        <v>-1</v>
      </c>
    </row>
    <row r="1099" spans="1:6" x14ac:dyDescent="0.25">
      <c r="A1099" s="20">
        <v>45419</v>
      </c>
      <c r="B1099" s="19" t="s">
        <v>21</v>
      </c>
      <c r="C1099" s="19" t="s">
        <v>8</v>
      </c>
      <c r="D1099" s="19" t="s">
        <v>138</v>
      </c>
      <c r="E1099" s="19">
        <v>0</v>
      </c>
      <c r="F1099" s="19">
        <v>-1</v>
      </c>
    </row>
    <row r="1100" spans="1:6" x14ac:dyDescent="0.25">
      <c r="A1100" s="20">
        <v>45419</v>
      </c>
      <c r="B1100" s="19" t="s">
        <v>22</v>
      </c>
      <c r="C1100" s="19" t="s">
        <v>6</v>
      </c>
      <c r="D1100" s="19" t="s">
        <v>138</v>
      </c>
      <c r="E1100" s="19">
        <v>0</v>
      </c>
      <c r="F1100" s="19">
        <v>-1</v>
      </c>
    </row>
    <row r="1101" spans="1:6" x14ac:dyDescent="0.25">
      <c r="A1101" s="20">
        <v>45419</v>
      </c>
      <c r="B1101" s="19" t="s">
        <v>22</v>
      </c>
      <c r="C1101" s="19" t="s">
        <v>7</v>
      </c>
      <c r="D1101" s="19" t="s">
        <v>138</v>
      </c>
      <c r="E1101" s="19">
        <v>0</v>
      </c>
      <c r="F1101" s="19">
        <v>-1</v>
      </c>
    </row>
    <row r="1102" spans="1:6" x14ac:dyDescent="0.25">
      <c r="A1102" s="20">
        <v>45419</v>
      </c>
      <c r="B1102" s="19" t="s">
        <v>22</v>
      </c>
      <c r="C1102" s="19" t="s">
        <v>8</v>
      </c>
      <c r="D1102" s="19" t="s">
        <v>138</v>
      </c>
      <c r="E1102" s="19">
        <v>0</v>
      </c>
      <c r="F1102" s="19">
        <v>-1</v>
      </c>
    </row>
    <row r="1103" spans="1:6" x14ac:dyDescent="0.25">
      <c r="A1103" s="20">
        <v>45419</v>
      </c>
      <c r="B1103" s="19" t="s">
        <v>77</v>
      </c>
      <c r="C1103" s="19" t="s">
        <v>6</v>
      </c>
      <c r="D1103" s="19" t="s">
        <v>138</v>
      </c>
      <c r="E1103" s="19">
        <v>0</v>
      </c>
      <c r="F1103" s="19">
        <v>-1</v>
      </c>
    </row>
    <row r="1104" spans="1:6" x14ac:dyDescent="0.25">
      <c r="A1104" s="20">
        <v>45419</v>
      </c>
      <c r="B1104" s="19" t="s">
        <v>77</v>
      </c>
      <c r="C1104" s="19" t="s">
        <v>7</v>
      </c>
      <c r="D1104" s="19" t="s">
        <v>138</v>
      </c>
      <c r="E1104" s="19">
        <v>0</v>
      </c>
      <c r="F1104" s="19">
        <v>-1</v>
      </c>
    </row>
    <row r="1105" spans="1:6" x14ac:dyDescent="0.25">
      <c r="A1105" s="20">
        <v>45419</v>
      </c>
      <c r="B1105" s="19" t="s">
        <v>77</v>
      </c>
      <c r="C1105" s="19" t="s">
        <v>8</v>
      </c>
      <c r="D1105" s="19" t="s">
        <v>138</v>
      </c>
      <c r="E1105" s="19">
        <v>0</v>
      </c>
      <c r="F1105" s="19">
        <v>-1</v>
      </c>
    </row>
    <row r="1106" spans="1:6" x14ac:dyDescent="0.25">
      <c r="A1106" s="20">
        <v>45419</v>
      </c>
      <c r="B1106" s="19" t="s">
        <v>23</v>
      </c>
      <c r="C1106" s="19" t="s">
        <v>6</v>
      </c>
      <c r="D1106" s="19" t="s">
        <v>138</v>
      </c>
      <c r="E1106" s="19">
        <v>0</v>
      </c>
      <c r="F1106" s="19">
        <v>-1</v>
      </c>
    </row>
    <row r="1107" spans="1:6" x14ac:dyDescent="0.25">
      <c r="A1107" s="20">
        <v>45419</v>
      </c>
      <c r="B1107" s="19" t="s">
        <v>23</v>
      </c>
      <c r="C1107" s="19" t="s">
        <v>7</v>
      </c>
      <c r="D1107" s="19" t="s">
        <v>138</v>
      </c>
      <c r="E1107" s="19">
        <v>0</v>
      </c>
      <c r="F1107" s="19">
        <v>-1</v>
      </c>
    </row>
    <row r="1108" spans="1:6" x14ac:dyDescent="0.25">
      <c r="A1108" s="20">
        <v>45419</v>
      </c>
      <c r="B1108" s="19" t="s">
        <v>23</v>
      </c>
      <c r="C1108" s="19" t="s">
        <v>8</v>
      </c>
      <c r="D1108" s="19" t="s">
        <v>138</v>
      </c>
      <c r="E1108" s="19">
        <v>0</v>
      </c>
      <c r="F1108" s="19">
        <v>-1</v>
      </c>
    </row>
    <row r="1109" spans="1:6" x14ac:dyDescent="0.25">
      <c r="A1109" s="20">
        <v>45419</v>
      </c>
      <c r="B1109" s="19" t="s">
        <v>24</v>
      </c>
      <c r="C1109" s="19" t="s">
        <v>6</v>
      </c>
      <c r="D1109" s="19" t="s">
        <v>138</v>
      </c>
      <c r="E1109" s="19">
        <v>0</v>
      </c>
      <c r="F1109" s="19">
        <v>-1</v>
      </c>
    </row>
    <row r="1110" spans="1:6" x14ac:dyDescent="0.25">
      <c r="A1110" s="20">
        <v>45419</v>
      </c>
      <c r="B1110" s="19" t="s">
        <v>24</v>
      </c>
      <c r="C1110" s="19" t="s">
        <v>7</v>
      </c>
      <c r="D1110" s="19" t="s">
        <v>138</v>
      </c>
      <c r="E1110" s="19">
        <v>0</v>
      </c>
      <c r="F1110" s="19">
        <v>-1</v>
      </c>
    </row>
    <row r="1111" spans="1:6" x14ac:dyDescent="0.25">
      <c r="A1111" s="20">
        <v>45419</v>
      </c>
      <c r="B1111" s="19" t="s">
        <v>24</v>
      </c>
      <c r="C1111" s="19" t="s">
        <v>8</v>
      </c>
      <c r="D1111" s="19" t="s">
        <v>138</v>
      </c>
      <c r="E1111" s="19">
        <v>0</v>
      </c>
      <c r="F1111" s="19">
        <v>-1</v>
      </c>
    </row>
    <row r="1112" spans="1:6" x14ac:dyDescent="0.25">
      <c r="A1112" s="20">
        <v>45419</v>
      </c>
      <c r="B1112" s="19" t="s">
        <v>75</v>
      </c>
      <c r="C1112" s="19" t="s">
        <v>6</v>
      </c>
      <c r="D1112" s="19" t="s">
        <v>138</v>
      </c>
      <c r="E1112" s="19">
        <v>0</v>
      </c>
      <c r="F1112" s="19">
        <v>-1</v>
      </c>
    </row>
    <row r="1113" spans="1:6" x14ac:dyDescent="0.25">
      <c r="A1113" s="20">
        <v>45419</v>
      </c>
      <c r="B1113" s="19" t="s">
        <v>75</v>
      </c>
      <c r="C1113" s="19" t="s">
        <v>7</v>
      </c>
      <c r="D1113" s="19" t="s">
        <v>138</v>
      </c>
      <c r="E1113" s="19">
        <v>0</v>
      </c>
      <c r="F1113" s="19">
        <v>-1</v>
      </c>
    </row>
    <row r="1114" spans="1:6" x14ac:dyDescent="0.25">
      <c r="A1114" s="20">
        <v>45419</v>
      </c>
      <c r="B1114" s="19" t="s">
        <v>75</v>
      </c>
      <c r="C1114" s="19" t="s">
        <v>8</v>
      </c>
      <c r="D1114" s="19" t="s">
        <v>138</v>
      </c>
      <c r="E1114" s="19">
        <v>0</v>
      </c>
      <c r="F1114" s="19">
        <v>-1</v>
      </c>
    </row>
    <row r="1115" spans="1:6" x14ac:dyDescent="0.25">
      <c r="A1115" s="20">
        <v>45419</v>
      </c>
      <c r="B1115" s="19" t="s">
        <v>25</v>
      </c>
      <c r="C1115" s="19" t="s">
        <v>6</v>
      </c>
      <c r="D1115" s="19" t="s">
        <v>138</v>
      </c>
      <c r="E1115" s="19">
        <v>0</v>
      </c>
      <c r="F1115" s="19">
        <v>-1</v>
      </c>
    </row>
    <row r="1116" spans="1:6" x14ac:dyDescent="0.25">
      <c r="A1116" s="20">
        <v>45419</v>
      </c>
      <c r="B1116" s="19" t="s">
        <v>25</v>
      </c>
      <c r="C1116" s="19" t="s">
        <v>7</v>
      </c>
      <c r="D1116" s="19" t="s">
        <v>138</v>
      </c>
      <c r="E1116" s="19">
        <v>0</v>
      </c>
      <c r="F1116" s="19">
        <v>-1</v>
      </c>
    </row>
    <row r="1117" spans="1:6" x14ac:dyDescent="0.25">
      <c r="A1117" s="20">
        <v>45419</v>
      </c>
      <c r="B1117" s="19" t="s">
        <v>25</v>
      </c>
      <c r="C1117" s="19" t="s">
        <v>8</v>
      </c>
      <c r="D1117" s="19" t="s">
        <v>138</v>
      </c>
      <c r="E1117" s="19">
        <v>0</v>
      </c>
      <c r="F1117" s="19">
        <v>-1</v>
      </c>
    </row>
    <row r="1118" spans="1:6" x14ac:dyDescent="0.25">
      <c r="A1118" s="20">
        <v>45419</v>
      </c>
      <c r="B1118" s="19" t="s">
        <v>74</v>
      </c>
      <c r="C1118" s="19" t="s">
        <v>6</v>
      </c>
      <c r="D1118" s="19" t="s">
        <v>138</v>
      </c>
      <c r="E1118" s="19">
        <v>0</v>
      </c>
      <c r="F1118" s="19">
        <v>-1</v>
      </c>
    </row>
    <row r="1119" spans="1:6" x14ac:dyDescent="0.25">
      <c r="A1119" s="20">
        <v>45419</v>
      </c>
      <c r="B1119" s="19" t="s">
        <v>74</v>
      </c>
      <c r="C1119" s="19" t="s">
        <v>7</v>
      </c>
      <c r="D1119" s="19" t="s">
        <v>138</v>
      </c>
      <c r="E1119" s="19">
        <v>0</v>
      </c>
      <c r="F1119" s="19">
        <v>-1</v>
      </c>
    </row>
    <row r="1120" spans="1:6" x14ac:dyDescent="0.25">
      <c r="A1120" s="20">
        <v>45419</v>
      </c>
      <c r="B1120" s="19" t="s">
        <v>74</v>
      </c>
      <c r="C1120" s="19" t="s">
        <v>8</v>
      </c>
      <c r="D1120" s="19" t="s">
        <v>138</v>
      </c>
      <c r="E1120" s="19">
        <v>0</v>
      </c>
      <c r="F1120" s="19">
        <v>-1</v>
      </c>
    </row>
    <row r="1121" spans="1:6" x14ac:dyDescent="0.25">
      <c r="A1121" s="20">
        <v>45419</v>
      </c>
      <c r="B1121" s="19" t="s">
        <v>26</v>
      </c>
      <c r="C1121" s="19" t="s">
        <v>6</v>
      </c>
      <c r="D1121" s="19" t="s">
        <v>138</v>
      </c>
      <c r="E1121" s="19">
        <v>0</v>
      </c>
      <c r="F1121" s="19">
        <v>-1</v>
      </c>
    </row>
    <row r="1122" spans="1:6" x14ac:dyDescent="0.25">
      <c r="A1122" s="20">
        <v>45419</v>
      </c>
      <c r="B1122" s="19" t="s">
        <v>26</v>
      </c>
      <c r="C1122" s="19" t="s">
        <v>7</v>
      </c>
      <c r="D1122" s="19" t="s">
        <v>138</v>
      </c>
      <c r="E1122" s="19">
        <v>0</v>
      </c>
      <c r="F1122" s="19">
        <v>-1</v>
      </c>
    </row>
    <row r="1123" spans="1:6" x14ac:dyDescent="0.25">
      <c r="A1123" s="20">
        <v>45419</v>
      </c>
      <c r="B1123" s="19" t="s">
        <v>26</v>
      </c>
      <c r="C1123" s="19" t="s">
        <v>8</v>
      </c>
      <c r="D1123" s="19" t="s">
        <v>138</v>
      </c>
      <c r="E1123" s="19">
        <v>0</v>
      </c>
      <c r="F1123" s="19">
        <v>-1</v>
      </c>
    </row>
    <row r="1124" spans="1:6" x14ac:dyDescent="0.25">
      <c r="A1124" s="20">
        <v>45419</v>
      </c>
      <c r="B1124" s="19" t="s">
        <v>27</v>
      </c>
      <c r="C1124" s="19" t="s">
        <v>6</v>
      </c>
      <c r="D1124" s="19" t="s">
        <v>139</v>
      </c>
      <c r="E1124" s="19">
        <v>1981</v>
      </c>
      <c r="F1124" s="19">
        <v>-1</v>
      </c>
    </row>
    <row r="1125" spans="1:6" x14ac:dyDescent="0.25">
      <c r="A1125" s="20">
        <v>45419</v>
      </c>
      <c r="B1125" s="19" t="s">
        <v>27</v>
      </c>
      <c r="C1125" s="19" t="s">
        <v>7</v>
      </c>
      <c r="D1125" s="19" t="s">
        <v>139</v>
      </c>
      <c r="E1125" s="19">
        <v>2153</v>
      </c>
      <c r="F1125" s="19">
        <v>-1</v>
      </c>
    </row>
    <row r="1126" spans="1:6" x14ac:dyDescent="0.25">
      <c r="A1126" s="20">
        <v>45419</v>
      </c>
      <c r="B1126" s="19" t="s">
        <v>27</v>
      </c>
      <c r="C1126" s="19" t="s">
        <v>8</v>
      </c>
      <c r="D1126" s="19" t="s">
        <v>139</v>
      </c>
      <c r="E1126" s="19">
        <v>2015</v>
      </c>
      <c r="F1126" s="19">
        <v>-1</v>
      </c>
    </row>
    <row r="1127" spans="1:6" x14ac:dyDescent="0.25">
      <c r="A1127" s="20">
        <v>45419</v>
      </c>
      <c r="B1127" s="19" t="s">
        <v>28</v>
      </c>
      <c r="C1127" s="19" t="s">
        <v>6</v>
      </c>
      <c r="D1127" s="19" t="s">
        <v>139</v>
      </c>
      <c r="E1127" s="19">
        <v>2003</v>
      </c>
      <c r="F1127" s="19">
        <v>-1</v>
      </c>
    </row>
    <row r="1128" spans="1:6" x14ac:dyDescent="0.25">
      <c r="A1128" s="20">
        <v>45419</v>
      </c>
      <c r="B1128" s="19" t="s">
        <v>28</v>
      </c>
      <c r="C1128" s="19" t="s">
        <v>7</v>
      </c>
      <c r="D1128" s="19" t="s">
        <v>139</v>
      </c>
      <c r="E1128" s="19">
        <v>2194</v>
      </c>
      <c r="F1128" s="19">
        <v>-1</v>
      </c>
    </row>
    <row r="1129" spans="1:6" x14ac:dyDescent="0.25">
      <c r="A1129" s="20">
        <v>45419</v>
      </c>
      <c r="B1129" s="19" t="s">
        <v>28</v>
      </c>
      <c r="C1129" s="19" t="s">
        <v>8</v>
      </c>
      <c r="D1129" s="19" t="s">
        <v>139</v>
      </c>
      <c r="E1129" s="19">
        <v>2035</v>
      </c>
      <c r="F1129" s="19">
        <v>-1</v>
      </c>
    </row>
    <row r="1130" spans="1:6" x14ac:dyDescent="0.25">
      <c r="A1130" s="20">
        <v>45419</v>
      </c>
      <c r="B1130" s="19" t="s">
        <v>72</v>
      </c>
      <c r="C1130" s="19" t="s">
        <v>6</v>
      </c>
      <c r="D1130" s="19" t="s">
        <v>138</v>
      </c>
      <c r="E1130" s="19">
        <v>0</v>
      </c>
      <c r="F1130" s="19">
        <v>-1</v>
      </c>
    </row>
    <row r="1131" spans="1:6" x14ac:dyDescent="0.25">
      <c r="A1131" s="20">
        <v>45419</v>
      </c>
      <c r="B1131" s="19" t="s">
        <v>72</v>
      </c>
      <c r="C1131" s="19" t="s">
        <v>7</v>
      </c>
      <c r="D1131" s="19" t="s">
        <v>138</v>
      </c>
      <c r="E1131" s="19">
        <v>0</v>
      </c>
      <c r="F1131" s="19">
        <v>-1</v>
      </c>
    </row>
    <row r="1132" spans="1:6" x14ac:dyDescent="0.25">
      <c r="A1132" s="20">
        <v>45419</v>
      </c>
      <c r="B1132" s="19" t="s">
        <v>72</v>
      </c>
      <c r="C1132" s="19" t="s">
        <v>8</v>
      </c>
      <c r="D1132" s="19" t="s">
        <v>138</v>
      </c>
      <c r="E1132" s="19">
        <v>0</v>
      </c>
      <c r="F1132" s="19">
        <v>-1</v>
      </c>
    </row>
    <row r="1133" spans="1:6" x14ac:dyDescent="0.25">
      <c r="A1133" s="20">
        <v>45419</v>
      </c>
      <c r="B1133" s="19" t="s">
        <v>29</v>
      </c>
      <c r="C1133" s="19" t="s">
        <v>6</v>
      </c>
      <c r="D1133" s="19" t="s">
        <v>139</v>
      </c>
      <c r="E1133" s="19">
        <v>1168</v>
      </c>
      <c r="F1133" s="19">
        <v>-1</v>
      </c>
    </row>
    <row r="1134" spans="1:6" x14ac:dyDescent="0.25">
      <c r="A1134" s="20">
        <v>45419</v>
      </c>
      <c r="B1134" s="19" t="s">
        <v>29</v>
      </c>
      <c r="C1134" s="19" t="s">
        <v>7</v>
      </c>
      <c r="D1134" s="19" t="s">
        <v>139</v>
      </c>
      <c r="E1134" s="19">
        <v>2034</v>
      </c>
      <c r="F1134" s="19">
        <v>-1</v>
      </c>
    </row>
    <row r="1135" spans="1:6" x14ac:dyDescent="0.25">
      <c r="A1135" s="20">
        <v>45419</v>
      </c>
      <c r="B1135" s="19" t="s">
        <v>29</v>
      </c>
      <c r="C1135" s="19" t="s">
        <v>8</v>
      </c>
      <c r="D1135" s="19" t="s">
        <v>139</v>
      </c>
      <c r="E1135" s="19">
        <v>1990</v>
      </c>
      <c r="F1135" s="19">
        <v>-1</v>
      </c>
    </row>
    <row r="1136" spans="1:6" x14ac:dyDescent="0.25">
      <c r="A1136" s="20">
        <v>45419</v>
      </c>
      <c r="B1136" s="19" t="s">
        <v>30</v>
      </c>
      <c r="C1136" s="19" t="s">
        <v>6</v>
      </c>
      <c r="D1136" s="19" t="s">
        <v>138</v>
      </c>
      <c r="E1136" s="19">
        <v>0</v>
      </c>
      <c r="F1136" s="19">
        <v>-1</v>
      </c>
    </row>
    <row r="1137" spans="1:6" x14ac:dyDescent="0.25">
      <c r="A1137" s="20">
        <v>45419</v>
      </c>
      <c r="B1137" s="19" t="s">
        <v>30</v>
      </c>
      <c r="C1137" s="19" t="s">
        <v>7</v>
      </c>
      <c r="D1137" s="19" t="s">
        <v>138</v>
      </c>
      <c r="E1137" s="19">
        <v>0</v>
      </c>
      <c r="F1137" s="19">
        <v>-1</v>
      </c>
    </row>
    <row r="1138" spans="1:6" x14ac:dyDescent="0.25">
      <c r="A1138" s="20">
        <v>45419</v>
      </c>
      <c r="B1138" s="19" t="s">
        <v>30</v>
      </c>
      <c r="C1138" s="19" t="s">
        <v>8</v>
      </c>
      <c r="D1138" s="19" t="s">
        <v>138</v>
      </c>
      <c r="E1138" s="19">
        <v>0</v>
      </c>
      <c r="F1138" s="19">
        <v>-1</v>
      </c>
    </row>
    <row r="1139" spans="1:6" x14ac:dyDescent="0.25">
      <c r="A1139" s="20">
        <v>45419</v>
      </c>
      <c r="B1139" s="19" t="s">
        <v>31</v>
      </c>
      <c r="C1139" s="19" t="s">
        <v>6</v>
      </c>
      <c r="D1139" s="19" t="s">
        <v>138</v>
      </c>
      <c r="E1139" s="19">
        <v>0</v>
      </c>
      <c r="F1139" s="19">
        <v>-1</v>
      </c>
    </row>
    <row r="1140" spans="1:6" x14ac:dyDescent="0.25">
      <c r="A1140" s="20">
        <v>45419</v>
      </c>
      <c r="B1140" s="19" t="s">
        <v>31</v>
      </c>
      <c r="C1140" s="19" t="s">
        <v>7</v>
      </c>
      <c r="D1140" s="19" t="s">
        <v>138</v>
      </c>
      <c r="E1140" s="19">
        <v>0</v>
      </c>
      <c r="F1140" s="19">
        <v>-1</v>
      </c>
    </row>
    <row r="1141" spans="1:6" x14ac:dyDescent="0.25">
      <c r="A1141" s="20">
        <v>45419</v>
      </c>
      <c r="B1141" s="19" t="s">
        <v>31</v>
      </c>
      <c r="C1141" s="19" t="s">
        <v>8</v>
      </c>
      <c r="D1141" s="19" t="s">
        <v>138</v>
      </c>
      <c r="E1141" s="19">
        <v>0</v>
      </c>
      <c r="F1141" s="19">
        <v>-1</v>
      </c>
    </row>
    <row r="1142" spans="1:6" x14ac:dyDescent="0.25">
      <c r="A1142" s="20">
        <v>45419</v>
      </c>
      <c r="B1142" s="19" t="s">
        <v>32</v>
      </c>
      <c r="C1142" s="19" t="s">
        <v>6</v>
      </c>
      <c r="D1142" s="19" t="s">
        <v>138</v>
      </c>
      <c r="E1142" s="19">
        <v>0</v>
      </c>
      <c r="F1142" s="19">
        <v>-1</v>
      </c>
    </row>
    <row r="1143" spans="1:6" x14ac:dyDescent="0.25">
      <c r="A1143" s="20">
        <v>45419</v>
      </c>
      <c r="B1143" s="19" t="s">
        <v>32</v>
      </c>
      <c r="C1143" s="19" t="s">
        <v>7</v>
      </c>
      <c r="D1143" s="19" t="s">
        <v>138</v>
      </c>
      <c r="E1143" s="19">
        <v>0</v>
      </c>
      <c r="F1143" s="19">
        <v>-1</v>
      </c>
    </row>
    <row r="1144" spans="1:6" x14ac:dyDescent="0.25">
      <c r="A1144" s="20">
        <v>45419</v>
      </c>
      <c r="B1144" s="19" t="s">
        <v>32</v>
      </c>
      <c r="C1144" s="19" t="s">
        <v>8</v>
      </c>
      <c r="D1144" s="19" t="s">
        <v>138</v>
      </c>
      <c r="E1144" s="19">
        <v>0</v>
      </c>
      <c r="F1144" s="19">
        <v>-1</v>
      </c>
    </row>
    <row r="1145" spans="1:6" x14ac:dyDescent="0.25">
      <c r="A1145" s="20">
        <v>45419</v>
      </c>
      <c r="B1145" s="19" t="s">
        <v>67</v>
      </c>
      <c r="C1145" s="19" t="s">
        <v>6</v>
      </c>
      <c r="D1145" s="19" t="s">
        <v>139</v>
      </c>
      <c r="E1145" s="19">
        <v>2000</v>
      </c>
      <c r="F1145" s="19">
        <v>-1</v>
      </c>
    </row>
    <row r="1146" spans="1:6" x14ac:dyDescent="0.25">
      <c r="A1146" s="20">
        <v>45419</v>
      </c>
      <c r="B1146" s="19" t="s">
        <v>67</v>
      </c>
      <c r="C1146" s="19" t="s">
        <v>7</v>
      </c>
      <c r="D1146" s="19" t="s">
        <v>139</v>
      </c>
      <c r="E1146" s="19">
        <v>2134</v>
      </c>
      <c r="F1146" s="19">
        <v>-1</v>
      </c>
    </row>
    <row r="1147" spans="1:6" x14ac:dyDescent="0.25">
      <c r="A1147" s="20">
        <v>45419</v>
      </c>
      <c r="B1147" s="19" t="s">
        <v>67</v>
      </c>
      <c r="C1147" s="19" t="s">
        <v>8</v>
      </c>
      <c r="D1147" s="19" t="s">
        <v>139</v>
      </c>
      <c r="E1147" s="19">
        <v>2000</v>
      </c>
      <c r="F1147" s="19">
        <v>-1</v>
      </c>
    </row>
    <row r="1148" spans="1:6" x14ac:dyDescent="0.25">
      <c r="A1148" s="20">
        <v>45419</v>
      </c>
      <c r="B1148" s="19" t="s">
        <v>33</v>
      </c>
      <c r="C1148" s="19" t="s">
        <v>6</v>
      </c>
      <c r="D1148" s="19" t="s">
        <v>138</v>
      </c>
      <c r="E1148" s="19">
        <v>0</v>
      </c>
      <c r="F1148" s="19">
        <v>-1</v>
      </c>
    </row>
    <row r="1149" spans="1:6" x14ac:dyDescent="0.25">
      <c r="A1149" s="20">
        <v>45419</v>
      </c>
      <c r="B1149" s="19" t="s">
        <v>33</v>
      </c>
      <c r="C1149" s="19" t="s">
        <v>7</v>
      </c>
      <c r="D1149" s="19" t="s">
        <v>138</v>
      </c>
      <c r="E1149" s="19">
        <v>0</v>
      </c>
      <c r="F1149" s="19">
        <v>-1</v>
      </c>
    </row>
    <row r="1150" spans="1:6" x14ac:dyDescent="0.25">
      <c r="A1150" s="20">
        <v>45419</v>
      </c>
      <c r="B1150" s="19" t="s">
        <v>33</v>
      </c>
      <c r="C1150" s="19" t="s">
        <v>8</v>
      </c>
      <c r="D1150" s="19" t="s">
        <v>138</v>
      </c>
      <c r="E1150" s="19">
        <v>0</v>
      </c>
      <c r="F1150" s="19">
        <v>-1</v>
      </c>
    </row>
    <row r="1151" spans="1:6" x14ac:dyDescent="0.25">
      <c r="A1151" s="20">
        <v>45419</v>
      </c>
      <c r="B1151" s="19" t="s">
        <v>34</v>
      </c>
      <c r="C1151" s="19" t="s">
        <v>6</v>
      </c>
      <c r="D1151" s="19" t="s">
        <v>138</v>
      </c>
      <c r="E1151" s="19">
        <v>0</v>
      </c>
      <c r="F1151" s="19">
        <v>-1</v>
      </c>
    </row>
    <row r="1152" spans="1:6" x14ac:dyDescent="0.25">
      <c r="A1152" s="20">
        <v>45419</v>
      </c>
      <c r="B1152" s="19" t="s">
        <v>34</v>
      </c>
      <c r="C1152" s="19" t="s">
        <v>7</v>
      </c>
      <c r="D1152" s="19" t="s">
        <v>138</v>
      </c>
      <c r="E1152" s="19">
        <v>0</v>
      </c>
      <c r="F1152" s="19">
        <v>-1</v>
      </c>
    </row>
    <row r="1153" spans="1:6" x14ac:dyDescent="0.25">
      <c r="A1153" s="20">
        <v>45419</v>
      </c>
      <c r="B1153" s="19" t="s">
        <v>34</v>
      </c>
      <c r="C1153" s="19" t="s">
        <v>8</v>
      </c>
      <c r="D1153" s="19" t="s">
        <v>138</v>
      </c>
      <c r="E1153" s="19">
        <v>0</v>
      </c>
      <c r="F1153" s="19">
        <v>-1</v>
      </c>
    </row>
    <row r="1154" spans="1:6" x14ac:dyDescent="0.25">
      <c r="A1154" s="20">
        <v>45419</v>
      </c>
      <c r="B1154" s="19" t="s">
        <v>35</v>
      </c>
      <c r="C1154" s="19" t="s">
        <v>6</v>
      </c>
      <c r="D1154" s="19" t="s">
        <v>138</v>
      </c>
      <c r="E1154" s="19">
        <v>0</v>
      </c>
      <c r="F1154" s="19">
        <v>-1</v>
      </c>
    </row>
    <row r="1155" spans="1:6" x14ac:dyDescent="0.25">
      <c r="A1155" s="20">
        <v>45419</v>
      </c>
      <c r="B1155" s="19" t="s">
        <v>35</v>
      </c>
      <c r="C1155" s="19" t="s">
        <v>7</v>
      </c>
      <c r="D1155" s="19" t="s">
        <v>138</v>
      </c>
      <c r="E1155" s="19">
        <v>0</v>
      </c>
      <c r="F1155" s="19">
        <v>-1</v>
      </c>
    </row>
    <row r="1156" spans="1:6" x14ac:dyDescent="0.25">
      <c r="A1156" s="20">
        <v>45419</v>
      </c>
      <c r="B1156" s="19" t="s">
        <v>35</v>
      </c>
      <c r="C1156" s="19" t="s">
        <v>8</v>
      </c>
      <c r="D1156" s="19" t="s">
        <v>138</v>
      </c>
      <c r="E1156" s="19">
        <v>0</v>
      </c>
      <c r="F1156" s="19">
        <v>-1</v>
      </c>
    </row>
    <row r="1157" spans="1:6" x14ac:dyDescent="0.25">
      <c r="A1157" s="20">
        <v>45419</v>
      </c>
      <c r="B1157" s="19" t="s">
        <v>63</v>
      </c>
      <c r="C1157" s="19" t="s">
        <v>6</v>
      </c>
      <c r="D1157" s="19" t="s">
        <v>138</v>
      </c>
      <c r="E1157" s="19">
        <v>0</v>
      </c>
      <c r="F1157" s="19">
        <v>-1</v>
      </c>
    </row>
    <row r="1158" spans="1:6" x14ac:dyDescent="0.25">
      <c r="A1158" s="20">
        <v>45419</v>
      </c>
      <c r="B1158" s="19" t="s">
        <v>63</v>
      </c>
      <c r="C1158" s="19" t="s">
        <v>7</v>
      </c>
      <c r="D1158" s="19" t="s">
        <v>138</v>
      </c>
      <c r="E1158" s="19">
        <v>0</v>
      </c>
      <c r="F1158" s="19">
        <v>-1</v>
      </c>
    </row>
    <row r="1159" spans="1:6" x14ac:dyDescent="0.25">
      <c r="A1159" s="20">
        <v>45419</v>
      </c>
      <c r="B1159" s="19" t="s">
        <v>63</v>
      </c>
      <c r="C1159" s="19" t="s">
        <v>8</v>
      </c>
      <c r="D1159" s="19" t="s">
        <v>138</v>
      </c>
      <c r="E1159" s="19">
        <v>0</v>
      </c>
      <c r="F1159" s="19">
        <v>-1</v>
      </c>
    </row>
    <row r="1160" spans="1:6" x14ac:dyDescent="0.25">
      <c r="A1160" s="20">
        <v>45419</v>
      </c>
      <c r="B1160" s="19" t="s">
        <v>36</v>
      </c>
      <c r="C1160" s="19" t="s">
        <v>6</v>
      </c>
      <c r="D1160" s="19" t="s">
        <v>138</v>
      </c>
      <c r="E1160" s="19">
        <v>0</v>
      </c>
      <c r="F1160" s="19">
        <v>-1</v>
      </c>
    </row>
    <row r="1161" spans="1:6" x14ac:dyDescent="0.25">
      <c r="A1161" s="20">
        <v>45419</v>
      </c>
      <c r="B1161" s="19" t="s">
        <v>36</v>
      </c>
      <c r="C1161" s="19" t="s">
        <v>7</v>
      </c>
      <c r="D1161" s="19" t="s">
        <v>138</v>
      </c>
      <c r="E1161" s="19">
        <v>0</v>
      </c>
      <c r="F1161" s="19">
        <v>-1</v>
      </c>
    </row>
    <row r="1162" spans="1:6" x14ac:dyDescent="0.25">
      <c r="A1162" s="20">
        <v>45419</v>
      </c>
      <c r="B1162" s="19" t="s">
        <v>36</v>
      </c>
      <c r="C1162" s="19" t="s">
        <v>8</v>
      </c>
      <c r="D1162" s="19" t="s">
        <v>138</v>
      </c>
      <c r="E1162" s="19">
        <v>0</v>
      </c>
      <c r="F1162" s="19">
        <v>-1</v>
      </c>
    </row>
    <row r="1163" spans="1:6" x14ac:dyDescent="0.25">
      <c r="A1163" s="20">
        <v>45419</v>
      </c>
      <c r="B1163" s="19" t="s">
        <v>256</v>
      </c>
      <c r="C1163" s="19" t="s">
        <v>6</v>
      </c>
      <c r="D1163" s="19" t="s">
        <v>138</v>
      </c>
      <c r="E1163" s="19">
        <v>0</v>
      </c>
      <c r="F1163" s="19">
        <v>-1</v>
      </c>
    </row>
    <row r="1164" spans="1:6" x14ac:dyDescent="0.25">
      <c r="A1164" s="20">
        <v>45419</v>
      </c>
      <c r="B1164" s="19" t="s">
        <v>256</v>
      </c>
      <c r="C1164" s="19" t="s">
        <v>7</v>
      </c>
      <c r="D1164" s="19" t="s">
        <v>138</v>
      </c>
      <c r="E1164" s="19">
        <v>0</v>
      </c>
      <c r="F1164" s="19">
        <v>-1</v>
      </c>
    </row>
    <row r="1165" spans="1:6" x14ac:dyDescent="0.25">
      <c r="A1165" s="20">
        <v>45419</v>
      </c>
      <c r="B1165" s="19" t="s">
        <v>256</v>
      </c>
      <c r="C1165" s="19" t="s">
        <v>8</v>
      </c>
      <c r="D1165" s="19" t="s">
        <v>138</v>
      </c>
      <c r="E1165" s="19">
        <v>0</v>
      </c>
      <c r="F1165" s="19">
        <v>-1</v>
      </c>
    </row>
    <row r="1166" spans="1:6" x14ac:dyDescent="0.25">
      <c r="A1166" s="20">
        <v>45419</v>
      </c>
      <c r="B1166" s="19" t="s">
        <v>257</v>
      </c>
      <c r="C1166" s="19" t="s">
        <v>6</v>
      </c>
      <c r="D1166" s="19" t="s">
        <v>138</v>
      </c>
      <c r="E1166" s="19">
        <v>0</v>
      </c>
      <c r="F1166" s="19">
        <v>-1</v>
      </c>
    </row>
    <row r="1167" spans="1:6" x14ac:dyDescent="0.25">
      <c r="A1167" s="20">
        <v>45419</v>
      </c>
      <c r="B1167" s="19" t="s">
        <v>257</v>
      </c>
      <c r="C1167" s="19" t="s">
        <v>7</v>
      </c>
      <c r="D1167" s="19" t="s">
        <v>138</v>
      </c>
      <c r="E1167" s="19">
        <v>0</v>
      </c>
      <c r="F1167" s="19">
        <v>-1</v>
      </c>
    </row>
    <row r="1168" spans="1:6" x14ac:dyDescent="0.25">
      <c r="A1168" s="20">
        <v>45419</v>
      </c>
      <c r="B1168" s="19" t="s">
        <v>257</v>
      </c>
      <c r="C1168" s="19" t="s">
        <v>8</v>
      </c>
      <c r="D1168" s="19" t="s">
        <v>138</v>
      </c>
      <c r="E1168" s="19">
        <v>0</v>
      </c>
      <c r="F1168" s="19">
        <v>-1</v>
      </c>
    </row>
    <row r="1169" spans="1:6" x14ac:dyDescent="0.25">
      <c r="A1169" s="20">
        <v>45419</v>
      </c>
      <c r="B1169" s="19" t="s">
        <v>37</v>
      </c>
      <c r="C1169" s="19" t="s">
        <v>6</v>
      </c>
      <c r="D1169" s="19" t="s">
        <v>138</v>
      </c>
      <c r="E1169" s="19">
        <v>0</v>
      </c>
      <c r="F1169" s="19">
        <v>-1</v>
      </c>
    </row>
    <row r="1170" spans="1:6" x14ac:dyDescent="0.25">
      <c r="A1170" s="20">
        <v>45419</v>
      </c>
      <c r="B1170" s="19" t="s">
        <v>37</v>
      </c>
      <c r="C1170" s="19" t="s">
        <v>7</v>
      </c>
      <c r="D1170" s="19" t="s">
        <v>138</v>
      </c>
      <c r="E1170" s="19">
        <v>0</v>
      </c>
      <c r="F1170" s="19">
        <v>-1</v>
      </c>
    </row>
    <row r="1171" spans="1:6" x14ac:dyDescent="0.25">
      <c r="A1171" s="20">
        <v>45419</v>
      </c>
      <c r="B1171" s="19" t="s">
        <v>37</v>
      </c>
      <c r="C1171" s="19" t="s">
        <v>8</v>
      </c>
      <c r="D1171" s="19" t="s">
        <v>138</v>
      </c>
      <c r="E1171" s="19">
        <v>0</v>
      </c>
      <c r="F1171" s="19">
        <v>-1</v>
      </c>
    </row>
    <row r="1172" spans="1:6" x14ac:dyDescent="0.25">
      <c r="A1172" s="20">
        <v>45419</v>
      </c>
      <c r="B1172" s="19" t="s">
        <v>258</v>
      </c>
      <c r="C1172" s="19" t="s">
        <v>6</v>
      </c>
      <c r="D1172" s="19" t="s">
        <v>138</v>
      </c>
      <c r="E1172" s="19">
        <v>0</v>
      </c>
      <c r="F1172" s="19">
        <v>-1</v>
      </c>
    </row>
    <row r="1173" spans="1:6" x14ac:dyDescent="0.25">
      <c r="A1173" s="20">
        <v>45419</v>
      </c>
      <c r="B1173" s="19" t="s">
        <v>258</v>
      </c>
      <c r="C1173" s="19" t="s">
        <v>7</v>
      </c>
      <c r="D1173" s="19" t="s">
        <v>138</v>
      </c>
      <c r="E1173" s="19">
        <v>0</v>
      </c>
      <c r="F1173" s="19">
        <v>-1</v>
      </c>
    </row>
    <row r="1174" spans="1:6" x14ac:dyDescent="0.25">
      <c r="A1174" s="20">
        <v>45419</v>
      </c>
      <c r="B1174" s="19" t="s">
        <v>258</v>
      </c>
      <c r="C1174" s="19" t="s">
        <v>8</v>
      </c>
      <c r="D1174" s="19" t="s">
        <v>138</v>
      </c>
      <c r="E1174" s="19">
        <v>0</v>
      </c>
      <c r="F1174" s="19">
        <v>-1</v>
      </c>
    </row>
    <row r="1175" spans="1:6" x14ac:dyDescent="0.25">
      <c r="A1175" s="20">
        <v>45419</v>
      </c>
      <c r="B1175" s="19" t="s">
        <v>259</v>
      </c>
      <c r="C1175" s="19" t="s">
        <v>6</v>
      </c>
      <c r="D1175" s="19" t="s">
        <v>138</v>
      </c>
      <c r="E1175" s="19">
        <v>0</v>
      </c>
      <c r="F1175" s="19">
        <v>-1</v>
      </c>
    </row>
    <row r="1176" spans="1:6" x14ac:dyDescent="0.25">
      <c r="A1176" s="20">
        <v>45419</v>
      </c>
      <c r="B1176" s="19" t="s">
        <v>259</v>
      </c>
      <c r="C1176" s="19" t="s">
        <v>7</v>
      </c>
      <c r="D1176" s="19" t="s">
        <v>138</v>
      </c>
      <c r="E1176" s="19">
        <v>0</v>
      </c>
      <c r="F1176" s="19">
        <v>-1</v>
      </c>
    </row>
    <row r="1177" spans="1:6" x14ac:dyDescent="0.25">
      <c r="A1177" s="20">
        <v>45419</v>
      </c>
      <c r="B1177" s="19" t="s">
        <v>259</v>
      </c>
      <c r="C1177" s="19" t="s">
        <v>8</v>
      </c>
      <c r="D1177" s="19" t="s">
        <v>138</v>
      </c>
      <c r="E1177" s="19">
        <v>0</v>
      </c>
      <c r="F1177" s="19">
        <v>-1</v>
      </c>
    </row>
    <row r="1178" spans="1:6" x14ac:dyDescent="0.25">
      <c r="A1178" s="20">
        <v>45419</v>
      </c>
      <c r="B1178" s="19" t="s">
        <v>260</v>
      </c>
      <c r="C1178" s="19" t="s">
        <v>6</v>
      </c>
      <c r="D1178" s="19" t="s">
        <v>138</v>
      </c>
      <c r="E1178" s="19">
        <v>0</v>
      </c>
      <c r="F1178" s="19">
        <v>-1</v>
      </c>
    </row>
    <row r="1179" spans="1:6" x14ac:dyDescent="0.25">
      <c r="A1179" s="20">
        <v>45419</v>
      </c>
      <c r="B1179" s="19" t="s">
        <v>260</v>
      </c>
      <c r="C1179" s="19" t="s">
        <v>7</v>
      </c>
      <c r="D1179" s="19" t="s">
        <v>138</v>
      </c>
      <c r="E1179" s="19">
        <v>0</v>
      </c>
      <c r="F1179" s="19">
        <v>-1</v>
      </c>
    </row>
    <row r="1180" spans="1:6" x14ac:dyDescent="0.25">
      <c r="A1180" s="20">
        <v>45419</v>
      </c>
      <c r="B1180" s="19" t="s">
        <v>260</v>
      </c>
      <c r="C1180" s="19" t="s">
        <v>8</v>
      </c>
      <c r="D1180" s="19" t="s">
        <v>138</v>
      </c>
      <c r="E1180" s="19">
        <v>0</v>
      </c>
      <c r="F1180" s="19">
        <v>-1</v>
      </c>
    </row>
    <row r="1181" spans="1:6" x14ac:dyDescent="0.25">
      <c r="A1181" s="20">
        <v>45419</v>
      </c>
      <c r="B1181" s="19" t="s">
        <v>261</v>
      </c>
      <c r="C1181" s="19" t="s">
        <v>6</v>
      </c>
      <c r="D1181" s="19" t="s">
        <v>138</v>
      </c>
      <c r="E1181" s="19">
        <v>0</v>
      </c>
      <c r="F1181" s="19">
        <v>-1</v>
      </c>
    </row>
    <row r="1182" spans="1:6" x14ac:dyDescent="0.25">
      <c r="A1182" s="20">
        <v>45419</v>
      </c>
      <c r="B1182" s="19" t="s">
        <v>261</v>
      </c>
      <c r="C1182" s="19" t="s">
        <v>7</v>
      </c>
      <c r="D1182" s="19" t="s">
        <v>138</v>
      </c>
      <c r="E1182" s="19">
        <v>0</v>
      </c>
      <c r="F1182" s="19">
        <v>-1</v>
      </c>
    </row>
    <row r="1183" spans="1:6" x14ac:dyDescent="0.25">
      <c r="A1183" s="20">
        <v>45419</v>
      </c>
      <c r="B1183" s="19" t="s">
        <v>261</v>
      </c>
      <c r="C1183" s="19" t="s">
        <v>8</v>
      </c>
      <c r="D1183" s="19" t="s">
        <v>138</v>
      </c>
      <c r="E1183" s="19">
        <v>0</v>
      </c>
      <c r="F1183" s="19">
        <v>-1</v>
      </c>
    </row>
    <row r="1184" spans="1:6" x14ac:dyDescent="0.25">
      <c r="A1184" s="20">
        <v>45419</v>
      </c>
      <c r="B1184" s="19" t="s">
        <v>54</v>
      </c>
      <c r="C1184" s="19" t="s">
        <v>6</v>
      </c>
      <c r="D1184" s="19" t="s">
        <v>138</v>
      </c>
      <c r="E1184" s="19">
        <v>0</v>
      </c>
      <c r="F1184" s="19">
        <v>-1</v>
      </c>
    </row>
    <row r="1185" spans="1:6" x14ac:dyDescent="0.25">
      <c r="A1185" s="20">
        <v>45419</v>
      </c>
      <c r="B1185" s="19" t="s">
        <v>54</v>
      </c>
      <c r="C1185" s="19" t="s">
        <v>7</v>
      </c>
      <c r="D1185" s="19" t="s">
        <v>138</v>
      </c>
      <c r="E1185" s="19">
        <v>0</v>
      </c>
      <c r="F1185" s="19">
        <v>-1</v>
      </c>
    </row>
    <row r="1186" spans="1:6" x14ac:dyDescent="0.25">
      <c r="A1186" s="20">
        <v>45419</v>
      </c>
      <c r="B1186" s="19" t="s">
        <v>54</v>
      </c>
      <c r="C1186" s="19" t="s">
        <v>8</v>
      </c>
      <c r="D1186" s="19" t="s">
        <v>138</v>
      </c>
      <c r="E1186" s="19">
        <v>0</v>
      </c>
      <c r="F1186" s="19">
        <v>-1</v>
      </c>
    </row>
    <row r="1187" spans="1:6" x14ac:dyDescent="0.25">
      <c r="A1187" s="20">
        <v>45420</v>
      </c>
      <c r="B1187" s="19" t="s">
        <v>136</v>
      </c>
      <c r="C1187" s="19" t="s">
        <v>6</v>
      </c>
      <c r="D1187" s="19" t="s">
        <v>138</v>
      </c>
      <c r="E1187" s="19">
        <v>0</v>
      </c>
      <c r="F1187" s="19">
        <v>-1</v>
      </c>
    </row>
    <row r="1188" spans="1:6" x14ac:dyDescent="0.25">
      <c r="A1188" s="20">
        <v>45420</v>
      </c>
      <c r="B1188" s="19" t="s">
        <v>136</v>
      </c>
      <c r="C1188" s="19" t="s">
        <v>7</v>
      </c>
      <c r="D1188" s="19" t="s">
        <v>138</v>
      </c>
      <c r="E1188" s="19">
        <v>0</v>
      </c>
      <c r="F1188" s="19">
        <v>-1</v>
      </c>
    </row>
    <row r="1189" spans="1:6" x14ac:dyDescent="0.25">
      <c r="A1189" s="20">
        <v>45420</v>
      </c>
      <c r="B1189" s="19" t="s">
        <v>136</v>
      </c>
      <c r="C1189" s="19" t="s">
        <v>8</v>
      </c>
      <c r="D1189" s="19" t="s">
        <v>138</v>
      </c>
      <c r="E1189" s="19">
        <v>0</v>
      </c>
      <c r="F1189" s="19">
        <v>-1</v>
      </c>
    </row>
    <row r="1190" spans="1:6" x14ac:dyDescent="0.25">
      <c r="A1190" s="20">
        <v>45420</v>
      </c>
      <c r="B1190" s="19" t="s">
        <v>135</v>
      </c>
      <c r="C1190" s="19" t="s">
        <v>6</v>
      </c>
      <c r="D1190" s="19" t="s">
        <v>138</v>
      </c>
      <c r="E1190" s="19">
        <v>0</v>
      </c>
      <c r="F1190" s="19">
        <v>-1</v>
      </c>
    </row>
    <row r="1191" spans="1:6" x14ac:dyDescent="0.25">
      <c r="A1191" s="20">
        <v>45420</v>
      </c>
      <c r="B1191" s="19" t="s">
        <v>135</v>
      </c>
      <c r="C1191" s="19" t="s">
        <v>7</v>
      </c>
      <c r="D1191" s="19" t="s">
        <v>138</v>
      </c>
      <c r="E1191" s="19">
        <v>0</v>
      </c>
      <c r="F1191" s="19">
        <v>-1</v>
      </c>
    </row>
    <row r="1192" spans="1:6" x14ac:dyDescent="0.25">
      <c r="A1192" s="20">
        <v>45420</v>
      </c>
      <c r="B1192" s="19" t="s">
        <v>135</v>
      </c>
      <c r="C1192" s="19" t="s">
        <v>8</v>
      </c>
      <c r="D1192" s="19" t="s">
        <v>138</v>
      </c>
      <c r="E1192" s="19">
        <v>0</v>
      </c>
      <c r="F1192" s="19">
        <v>-1</v>
      </c>
    </row>
    <row r="1193" spans="1:6" x14ac:dyDescent="0.25">
      <c r="A1193" s="20">
        <v>45420</v>
      </c>
      <c r="B1193" s="19" t="s">
        <v>134</v>
      </c>
      <c r="C1193" s="19" t="s">
        <v>6</v>
      </c>
      <c r="D1193" s="19" t="s">
        <v>138</v>
      </c>
      <c r="E1193" s="19">
        <v>0</v>
      </c>
      <c r="F1193" s="19">
        <v>-1</v>
      </c>
    </row>
    <row r="1194" spans="1:6" x14ac:dyDescent="0.25">
      <c r="A1194" s="20">
        <v>45420</v>
      </c>
      <c r="B1194" s="19" t="s">
        <v>134</v>
      </c>
      <c r="C1194" s="19" t="s">
        <v>7</v>
      </c>
      <c r="D1194" s="19" t="s">
        <v>138</v>
      </c>
      <c r="E1194" s="19">
        <v>0</v>
      </c>
      <c r="F1194" s="19">
        <v>-1</v>
      </c>
    </row>
    <row r="1195" spans="1:6" x14ac:dyDescent="0.25">
      <c r="A1195" s="20">
        <v>45420</v>
      </c>
      <c r="B1195" s="19" t="s">
        <v>134</v>
      </c>
      <c r="C1195" s="19" t="s">
        <v>8</v>
      </c>
      <c r="D1195" s="19" t="s">
        <v>138</v>
      </c>
      <c r="E1195" s="19">
        <v>0</v>
      </c>
      <c r="F1195" s="19">
        <v>-1</v>
      </c>
    </row>
    <row r="1196" spans="1:6" x14ac:dyDescent="0.25">
      <c r="A1196" s="20">
        <v>45420</v>
      </c>
      <c r="B1196" s="19" t="s">
        <v>132</v>
      </c>
      <c r="C1196" s="19" t="s">
        <v>6</v>
      </c>
      <c r="D1196" s="19" t="s">
        <v>138</v>
      </c>
      <c r="E1196" s="19">
        <v>0</v>
      </c>
      <c r="F1196" s="19">
        <v>-1</v>
      </c>
    </row>
    <row r="1197" spans="1:6" x14ac:dyDescent="0.25">
      <c r="A1197" s="20">
        <v>45420</v>
      </c>
      <c r="B1197" s="19" t="s">
        <v>132</v>
      </c>
      <c r="C1197" s="19" t="s">
        <v>7</v>
      </c>
      <c r="D1197" s="19" t="s">
        <v>138</v>
      </c>
      <c r="E1197" s="19">
        <v>0</v>
      </c>
      <c r="F1197" s="19">
        <v>-1</v>
      </c>
    </row>
    <row r="1198" spans="1:6" x14ac:dyDescent="0.25">
      <c r="A1198" s="20">
        <v>45420</v>
      </c>
      <c r="B1198" s="19" t="s">
        <v>132</v>
      </c>
      <c r="C1198" s="19" t="s">
        <v>8</v>
      </c>
      <c r="D1198" s="19" t="s">
        <v>138</v>
      </c>
      <c r="E1198" s="19">
        <v>0</v>
      </c>
      <c r="F1198" s="19">
        <v>-1</v>
      </c>
    </row>
    <row r="1199" spans="1:6" x14ac:dyDescent="0.25">
      <c r="A1199" s="20">
        <v>45420</v>
      </c>
      <c r="B1199" s="19" t="s">
        <v>131</v>
      </c>
      <c r="C1199" s="19" t="s">
        <v>6</v>
      </c>
      <c r="D1199" s="19" t="s">
        <v>138</v>
      </c>
      <c r="E1199" s="19">
        <v>0</v>
      </c>
      <c r="F1199" s="19">
        <v>-1</v>
      </c>
    </row>
    <row r="1200" spans="1:6" x14ac:dyDescent="0.25">
      <c r="A1200" s="20">
        <v>45420</v>
      </c>
      <c r="B1200" s="19" t="s">
        <v>131</v>
      </c>
      <c r="C1200" s="19" t="s">
        <v>7</v>
      </c>
      <c r="D1200" s="19" t="s">
        <v>138</v>
      </c>
      <c r="E1200" s="19">
        <v>0</v>
      </c>
      <c r="F1200" s="19">
        <v>-1</v>
      </c>
    </row>
    <row r="1201" spans="1:6" x14ac:dyDescent="0.25">
      <c r="A1201" s="20">
        <v>45420</v>
      </c>
      <c r="B1201" s="19" t="s">
        <v>131</v>
      </c>
      <c r="C1201" s="19" t="s">
        <v>8</v>
      </c>
      <c r="D1201" s="19" t="s">
        <v>138</v>
      </c>
      <c r="E1201" s="19">
        <v>0</v>
      </c>
      <c r="F1201" s="19">
        <v>-1</v>
      </c>
    </row>
    <row r="1202" spans="1:6" x14ac:dyDescent="0.25">
      <c r="A1202" s="20">
        <v>45420</v>
      </c>
      <c r="B1202" s="19" t="s">
        <v>130</v>
      </c>
      <c r="C1202" s="19" t="s">
        <v>6</v>
      </c>
      <c r="D1202" s="19" t="s">
        <v>138</v>
      </c>
      <c r="E1202" s="19">
        <v>0</v>
      </c>
      <c r="F1202" s="19">
        <v>-1</v>
      </c>
    </row>
    <row r="1203" spans="1:6" x14ac:dyDescent="0.25">
      <c r="A1203" s="20">
        <v>45420</v>
      </c>
      <c r="B1203" s="19" t="s">
        <v>130</v>
      </c>
      <c r="C1203" s="19" t="s">
        <v>7</v>
      </c>
      <c r="D1203" s="19" t="s">
        <v>138</v>
      </c>
      <c r="E1203" s="19">
        <v>0</v>
      </c>
      <c r="F1203" s="19">
        <v>-1</v>
      </c>
    </row>
    <row r="1204" spans="1:6" x14ac:dyDescent="0.25">
      <c r="A1204" s="20">
        <v>45420</v>
      </c>
      <c r="B1204" s="19" t="s">
        <v>130</v>
      </c>
      <c r="C1204" s="19" t="s">
        <v>8</v>
      </c>
      <c r="D1204" s="19" t="s">
        <v>138</v>
      </c>
      <c r="E1204" s="19">
        <v>0</v>
      </c>
      <c r="F1204" s="19">
        <v>-1</v>
      </c>
    </row>
    <row r="1205" spans="1:6" x14ac:dyDescent="0.25">
      <c r="A1205" s="20">
        <v>45420</v>
      </c>
      <c r="B1205" s="19" t="s">
        <v>128</v>
      </c>
      <c r="C1205" s="19" t="s">
        <v>6</v>
      </c>
      <c r="D1205" s="19" t="s">
        <v>138</v>
      </c>
      <c r="E1205" s="19">
        <v>0</v>
      </c>
      <c r="F1205" s="19">
        <v>-1</v>
      </c>
    </row>
    <row r="1206" spans="1:6" x14ac:dyDescent="0.25">
      <c r="A1206" s="20">
        <v>45420</v>
      </c>
      <c r="B1206" s="19" t="s">
        <v>128</v>
      </c>
      <c r="C1206" s="19" t="s">
        <v>7</v>
      </c>
      <c r="D1206" s="19" t="s">
        <v>138</v>
      </c>
      <c r="E1206" s="19">
        <v>0</v>
      </c>
      <c r="F1206" s="19">
        <v>-1</v>
      </c>
    </row>
    <row r="1207" spans="1:6" x14ac:dyDescent="0.25">
      <c r="A1207" s="20">
        <v>45420</v>
      </c>
      <c r="B1207" s="19" t="s">
        <v>128</v>
      </c>
      <c r="C1207" s="19" t="s">
        <v>8</v>
      </c>
      <c r="D1207" s="19" t="s">
        <v>138</v>
      </c>
      <c r="E1207" s="19">
        <v>0</v>
      </c>
      <c r="F1207" s="19">
        <v>-1</v>
      </c>
    </row>
    <row r="1208" spans="1:6" x14ac:dyDescent="0.25">
      <c r="A1208" s="20">
        <v>45420</v>
      </c>
      <c r="B1208" s="19" t="s">
        <v>40</v>
      </c>
      <c r="C1208" s="19" t="s">
        <v>6</v>
      </c>
      <c r="D1208" s="19" t="s">
        <v>138</v>
      </c>
      <c r="E1208" s="19">
        <v>0</v>
      </c>
      <c r="F1208" s="19">
        <v>-1</v>
      </c>
    </row>
    <row r="1209" spans="1:6" x14ac:dyDescent="0.25">
      <c r="A1209" s="20">
        <v>45420</v>
      </c>
      <c r="B1209" s="19" t="s">
        <v>40</v>
      </c>
      <c r="C1209" s="19" t="s">
        <v>7</v>
      </c>
      <c r="D1209" s="19" t="s">
        <v>138</v>
      </c>
      <c r="E1209" s="19">
        <v>0</v>
      </c>
      <c r="F1209" s="19">
        <v>-1</v>
      </c>
    </row>
    <row r="1210" spans="1:6" x14ac:dyDescent="0.25">
      <c r="A1210" s="20">
        <v>45420</v>
      </c>
      <c r="B1210" s="19" t="s">
        <v>40</v>
      </c>
      <c r="C1210" s="19" t="s">
        <v>8</v>
      </c>
      <c r="D1210" s="19" t="s">
        <v>138</v>
      </c>
      <c r="E1210" s="19">
        <v>0</v>
      </c>
      <c r="F1210" s="19">
        <v>-1</v>
      </c>
    </row>
    <row r="1211" spans="1:6" x14ac:dyDescent="0.25">
      <c r="A1211" s="20">
        <v>45420</v>
      </c>
      <c r="B1211" s="19" t="s">
        <v>127</v>
      </c>
      <c r="C1211" s="19" t="s">
        <v>6</v>
      </c>
      <c r="D1211" s="19" t="s">
        <v>138</v>
      </c>
      <c r="E1211" s="19">
        <v>0</v>
      </c>
      <c r="F1211" s="19">
        <v>-1</v>
      </c>
    </row>
    <row r="1212" spans="1:6" x14ac:dyDescent="0.25">
      <c r="A1212" s="20">
        <v>45420</v>
      </c>
      <c r="B1212" s="19" t="s">
        <v>127</v>
      </c>
      <c r="C1212" s="19" t="s">
        <v>7</v>
      </c>
      <c r="D1212" s="19" t="s">
        <v>138</v>
      </c>
      <c r="E1212" s="19">
        <v>0</v>
      </c>
      <c r="F1212" s="19">
        <v>-1</v>
      </c>
    </row>
    <row r="1213" spans="1:6" x14ac:dyDescent="0.25">
      <c r="A1213" s="20">
        <v>45420</v>
      </c>
      <c r="B1213" s="19" t="s">
        <v>127</v>
      </c>
      <c r="C1213" s="19" t="s">
        <v>8</v>
      </c>
      <c r="D1213" s="19" t="s">
        <v>138</v>
      </c>
      <c r="E1213" s="19">
        <v>0</v>
      </c>
      <c r="F1213" s="19">
        <v>-1</v>
      </c>
    </row>
    <row r="1214" spans="1:6" x14ac:dyDescent="0.25">
      <c r="A1214" s="20">
        <v>45420</v>
      </c>
      <c r="B1214" s="19" t="s">
        <v>124</v>
      </c>
      <c r="C1214" s="19" t="s">
        <v>6</v>
      </c>
      <c r="D1214" s="19" t="s">
        <v>138</v>
      </c>
      <c r="E1214" s="19">
        <v>0</v>
      </c>
      <c r="F1214" s="19">
        <v>-1</v>
      </c>
    </row>
    <row r="1215" spans="1:6" x14ac:dyDescent="0.25">
      <c r="A1215" s="20">
        <v>45420</v>
      </c>
      <c r="B1215" s="19" t="s">
        <v>124</v>
      </c>
      <c r="C1215" s="19" t="s">
        <v>7</v>
      </c>
      <c r="D1215" s="19" t="s">
        <v>138</v>
      </c>
      <c r="E1215" s="19">
        <v>0</v>
      </c>
      <c r="F1215" s="19">
        <v>-1</v>
      </c>
    </row>
    <row r="1216" spans="1:6" x14ac:dyDescent="0.25">
      <c r="A1216" s="20">
        <v>45420</v>
      </c>
      <c r="B1216" s="19" t="s">
        <v>124</v>
      </c>
      <c r="C1216" s="19" t="s">
        <v>8</v>
      </c>
      <c r="D1216" s="19" t="s">
        <v>138</v>
      </c>
      <c r="E1216" s="19">
        <v>0</v>
      </c>
      <c r="F1216" s="19">
        <v>-1</v>
      </c>
    </row>
    <row r="1217" spans="1:6" x14ac:dyDescent="0.25">
      <c r="A1217" s="20">
        <v>45420</v>
      </c>
      <c r="B1217" s="19" t="s">
        <v>122</v>
      </c>
      <c r="C1217" s="19" t="s">
        <v>6</v>
      </c>
      <c r="D1217" s="19" t="s">
        <v>138</v>
      </c>
      <c r="E1217" s="19">
        <v>0</v>
      </c>
      <c r="F1217" s="19">
        <v>-1</v>
      </c>
    </row>
    <row r="1218" spans="1:6" x14ac:dyDescent="0.25">
      <c r="A1218" s="20">
        <v>45420</v>
      </c>
      <c r="B1218" s="19" t="s">
        <v>122</v>
      </c>
      <c r="C1218" s="19" t="s">
        <v>7</v>
      </c>
      <c r="D1218" s="19" t="s">
        <v>138</v>
      </c>
      <c r="E1218" s="19">
        <v>0</v>
      </c>
      <c r="F1218" s="19">
        <v>-1</v>
      </c>
    </row>
    <row r="1219" spans="1:6" x14ac:dyDescent="0.25">
      <c r="A1219" s="20">
        <v>45420</v>
      </c>
      <c r="B1219" s="19" t="s">
        <v>122</v>
      </c>
      <c r="C1219" s="19" t="s">
        <v>8</v>
      </c>
      <c r="D1219" s="19" t="s">
        <v>138</v>
      </c>
      <c r="E1219" s="19">
        <v>0</v>
      </c>
      <c r="F1219" s="19">
        <v>-1</v>
      </c>
    </row>
    <row r="1220" spans="1:6" x14ac:dyDescent="0.25">
      <c r="A1220" s="20">
        <v>45420</v>
      </c>
      <c r="B1220" s="19" t="s">
        <v>120</v>
      </c>
      <c r="C1220" s="19" t="s">
        <v>6</v>
      </c>
      <c r="D1220" s="19" t="s">
        <v>138</v>
      </c>
      <c r="E1220" s="19">
        <v>0</v>
      </c>
      <c r="F1220" s="19">
        <v>-1</v>
      </c>
    </row>
    <row r="1221" spans="1:6" x14ac:dyDescent="0.25">
      <c r="A1221" s="20">
        <v>45420</v>
      </c>
      <c r="B1221" s="19" t="s">
        <v>120</v>
      </c>
      <c r="C1221" s="19" t="s">
        <v>7</v>
      </c>
      <c r="D1221" s="19" t="s">
        <v>138</v>
      </c>
      <c r="E1221" s="19">
        <v>0</v>
      </c>
      <c r="F1221" s="19">
        <v>-1</v>
      </c>
    </row>
    <row r="1222" spans="1:6" x14ac:dyDescent="0.25">
      <c r="A1222" s="20">
        <v>45420</v>
      </c>
      <c r="B1222" s="19" t="s">
        <v>120</v>
      </c>
      <c r="C1222" s="19" t="s">
        <v>8</v>
      </c>
      <c r="D1222" s="19" t="s">
        <v>138</v>
      </c>
      <c r="E1222" s="19">
        <v>0</v>
      </c>
      <c r="F1222" s="19">
        <v>-1</v>
      </c>
    </row>
    <row r="1223" spans="1:6" x14ac:dyDescent="0.25">
      <c r="A1223" s="20">
        <v>45420</v>
      </c>
      <c r="B1223" s="19" t="s">
        <v>119</v>
      </c>
      <c r="C1223" s="19" t="s">
        <v>6</v>
      </c>
      <c r="D1223" s="19" t="s">
        <v>138</v>
      </c>
      <c r="E1223" s="19">
        <v>0</v>
      </c>
      <c r="F1223" s="19">
        <v>-1</v>
      </c>
    </row>
    <row r="1224" spans="1:6" x14ac:dyDescent="0.25">
      <c r="A1224" s="20">
        <v>45420</v>
      </c>
      <c r="B1224" s="19" t="s">
        <v>119</v>
      </c>
      <c r="C1224" s="19" t="s">
        <v>7</v>
      </c>
      <c r="D1224" s="19" t="s">
        <v>138</v>
      </c>
      <c r="E1224" s="19">
        <v>0</v>
      </c>
      <c r="F1224" s="19">
        <v>-1</v>
      </c>
    </row>
    <row r="1225" spans="1:6" x14ac:dyDescent="0.25">
      <c r="A1225" s="20">
        <v>45420</v>
      </c>
      <c r="B1225" s="19" t="s">
        <v>119</v>
      </c>
      <c r="C1225" s="19" t="s">
        <v>8</v>
      </c>
      <c r="D1225" s="19" t="s">
        <v>138</v>
      </c>
      <c r="E1225" s="19">
        <v>0</v>
      </c>
      <c r="F1225" s="19">
        <v>-1</v>
      </c>
    </row>
    <row r="1226" spans="1:6" x14ac:dyDescent="0.25">
      <c r="A1226" s="20">
        <v>45420</v>
      </c>
      <c r="B1226" s="19" t="s">
        <v>117</v>
      </c>
      <c r="C1226" s="19" t="s">
        <v>6</v>
      </c>
      <c r="D1226" s="19" t="s">
        <v>138</v>
      </c>
      <c r="E1226" s="19">
        <v>0</v>
      </c>
      <c r="F1226" s="19">
        <v>-1</v>
      </c>
    </row>
    <row r="1227" spans="1:6" x14ac:dyDescent="0.25">
      <c r="A1227" s="20">
        <v>45420</v>
      </c>
      <c r="B1227" s="19" t="s">
        <v>117</v>
      </c>
      <c r="C1227" s="19" t="s">
        <v>7</v>
      </c>
      <c r="D1227" s="19" t="s">
        <v>138</v>
      </c>
      <c r="E1227" s="19">
        <v>0</v>
      </c>
      <c r="F1227" s="19">
        <v>-1</v>
      </c>
    </row>
    <row r="1228" spans="1:6" x14ac:dyDescent="0.25">
      <c r="A1228" s="20">
        <v>45420</v>
      </c>
      <c r="B1228" s="19" t="s">
        <v>117</v>
      </c>
      <c r="C1228" s="19" t="s">
        <v>8</v>
      </c>
      <c r="D1228" s="19" t="s">
        <v>138</v>
      </c>
      <c r="E1228" s="19">
        <v>0</v>
      </c>
      <c r="F1228" s="19">
        <v>-1</v>
      </c>
    </row>
    <row r="1229" spans="1:6" x14ac:dyDescent="0.25">
      <c r="A1229" s="20">
        <v>45420</v>
      </c>
      <c r="B1229" s="19" t="s">
        <v>39</v>
      </c>
      <c r="C1229" s="19" t="s">
        <v>6</v>
      </c>
      <c r="D1229" s="19" t="s">
        <v>138</v>
      </c>
      <c r="E1229" s="19">
        <v>0</v>
      </c>
      <c r="F1229" s="19">
        <v>-1</v>
      </c>
    </row>
    <row r="1230" spans="1:6" x14ac:dyDescent="0.25">
      <c r="A1230" s="20">
        <v>45420</v>
      </c>
      <c r="B1230" s="19" t="s">
        <v>39</v>
      </c>
      <c r="C1230" s="19" t="s">
        <v>7</v>
      </c>
      <c r="D1230" s="19" t="s">
        <v>138</v>
      </c>
      <c r="E1230" s="19">
        <v>0</v>
      </c>
      <c r="F1230" s="19">
        <v>-1</v>
      </c>
    </row>
    <row r="1231" spans="1:6" x14ac:dyDescent="0.25">
      <c r="A1231" s="20">
        <v>45420</v>
      </c>
      <c r="B1231" s="19" t="s">
        <v>39</v>
      </c>
      <c r="C1231" s="19" t="s">
        <v>8</v>
      </c>
      <c r="D1231" s="19" t="s">
        <v>138</v>
      </c>
      <c r="E1231" s="19">
        <v>0</v>
      </c>
      <c r="F1231" s="19">
        <v>-1</v>
      </c>
    </row>
    <row r="1232" spans="1:6" x14ac:dyDescent="0.25">
      <c r="A1232" s="20">
        <v>45420</v>
      </c>
      <c r="B1232" s="19" t="s">
        <v>113</v>
      </c>
      <c r="C1232" s="19" t="s">
        <v>6</v>
      </c>
      <c r="D1232" s="19" t="s">
        <v>138</v>
      </c>
      <c r="E1232" s="19">
        <v>0</v>
      </c>
      <c r="F1232" s="19">
        <v>-1</v>
      </c>
    </row>
    <row r="1233" spans="1:6" x14ac:dyDescent="0.25">
      <c r="A1233" s="20">
        <v>45420</v>
      </c>
      <c r="B1233" s="19" t="s">
        <v>113</v>
      </c>
      <c r="C1233" s="19" t="s">
        <v>7</v>
      </c>
      <c r="D1233" s="19" t="s">
        <v>138</v>
      </c>
      <c r="E1233" s="19">
        <v>0</v>
      </c>
      <c r="F1233" s="19">
        <v>-1</v>
      </c>
    </row>
    <row r="1234" spans="1:6" x14ac:dyDescent="0.25">
      <c r="A1234" s="20">
        <v>45420</v>
      </c>
      <c r="B1234" s="19" t="s">
        <v>113</v>
      </c>
      <c r="C1234" s="19" t="s">
        <v>8</v>
      </c>
      <c r="D1234" s="19" t="s">
        <v>138</v>
      </c>
      <c r="E1234" s="19">
        <v>0</v>
      </c>
      <c r="F1234" s="19">
        <v>-1</v>
      </c>
    </row>
    <row r="1235" spans="1:6" x14ac:dyDescent="0.25">
      <c r="A1235" s="20">
        <v>45420</v>
      </c>
      <c r="B1235" s="19" t="s">
        <v>111</v>
      </c>
      <c r="C1235" s="19" t="s">
        <v>6</v>
      </c>
      <c r="D1235" s="19" t="s">
        <v>138</v>
      </c>
      <c r="E1235" s="19">
        <v>0</v>
      </c>
      <c r="F1235" s="19">
        <v>-1</v>
      </c>
    </row>
    <row r="1236" spans="1:6" x14ac:dyDescent="0.25">
      <c r="A1236" s="20">
        <v>45420</v>
      </c>
      <c r="B1236" s="19" t="s">
        <v>111</v>
      </c>
      <c r="C1236" s="19" t="s">
        <v>7</v>
      </c>
      <c r="D1236" s="19" t="s">
        <v>138</v>
      </c>
      <c r="E1236" s="19">
        <v>0</v>
      </c>
      <c r="F1236" s="19">
        <v>-1</v>
      </c>
    </row>
    <row r="1237" spans="1:6" x14ac:dyDescent="0.25">
      <c r="A1237" s="20">
        <v>45420</v>
      </c>
      <c r="B1237" s="19" t="s">
        <v>111</v>
      </c>
      <c r="C1237" s="19" t="s">
        <v>8</v>
      </c>
      <c r="D1237" s="19" t="s">
        <v>138</v>
      </c>
      <c r="E1237" s="19">
        <v>0</v>
      </c>
      <c r="F1237" s="19">
        <v>-1</v>
      </c>
    </row>
    <row r="1238" spans="1:6" x14ac:dyDescent="0.25">
      <c r="A1238" s="20">
        <v>45420</v>
      </c>
      <c r="B1238" s="19" t="s">
        <v>109</v>
      </c>
      <c r="C1238" s="19" t="s">
        <v>6</v>
      </c>
      <c r="D1238" s="19" t="s">
        <v>138</v>
      </c>
      <c r="E1238" s="19">
        <v>0</v>
      </c>
      <c r="F1238" s="19">
        <v>-1</v>
      </c>
    </row>
    <row r="1239" spans="1:6" x14ac:dyDescent="0.25">
      <c r="A1239" s="20">
        <v>45420</v>
      </c>
      <c r="B1239" s="19" t="s">
        <v>109</v>
      </c>
      <c r="C1239" s="19" t="s">
        <v>7</v>
      </c>
      <c r="D1239" s="19" t="s">
        <v>138</v>
      </c>
      <c r="E1239" s="19">
        <v>0</v>
      </c>
      <c r="F1239" s="19">
        <v>-1</v>
      </c>
    </row>
    <row r="1240" spans="1:6" x14ac:dyDescent="0.25">
      <c r="A1240" s="20">
        <v>45420</v>
      </c>
      <c r="B1240" s="19" t="s">
        <v>109</v>
      </c>
      <c r="C1240" s="19" t="s">
        <v>8</v>
      </c>
      <c r="D1240" s="19" t="s">
        <v>138</v>
      </c>
      <c r="E1240" s="19">
        <v>0</v>
      </c>
      <c r="F1240" s="19">
        <v>-1</v>
      </c>
    </row>
    <row r="1241" spans="1:6" x14ac:dyDescent="0.25">
      <c r="A1241" s="20">
        <v>45420</v>
      </c>
      <c r="B1241" s="19" t="s">
        <v>107</v>
      </c>
      <c r="C1241" s="19" t="s">
        <v>6</v>
      </c>
      <c r="D1241" s="19" t="s">
        <v>139</v>
      </c>
      <c r="E1241" s="19">
        <v>2153</v>
      </c>
      <c r="F1241" s="19">
        <v>-1</v>
      </c>
    </row>
    <row r="1242" spans="1:6" x14ac:dyDescent="0.25">
      <c r="A1242" s="20">
        <v>45420</v>
      </c>
      <c r="B1242" s="19" t="s">
        <v>107</v>
      </c>
      <c r="C1242" s="19" t="s">
        <v>7</v>
      </c>
      <c r="D1242" s="19" t="s">
        <v>139</v>
      </c>
      <c r="E1242" s="19">
        <v>2149</v>
      </c>
      <c r="F1242" s="19">
        <v>-1</v>
      </c>
    </row>
    <row r="1243" spans="1:6" x14ac:dyDescent="0.25">
      <c r="A1243" s="20">
        <v>45420</v>
      </c>
      <c r="B1243" s="19" t="s">
        <v>107</v>
      </c>
      <c r="C1243" s="19" t="s">
        <v>8</v>
      </c>
      <c r="D1243" s="19" t="s">
        <v>139</v>
      </c>
      <c r="E1243" s="19">
        <v>1982</v>
      </c>
      <c r="F1243" s="19">
        <v>-1</v>
      </c>
    </row>
    <row r="1244" spans="1:6" x14ac:dyDescent="0.25">
      <c r="A1244" s="20">
        <v>45420</v>
      </c>
      <c r="B1244" s="19" t="s">
        <v>41</v>
      </c>
      <c r="C1244" s="19" t="s">
        <v>6</v>
      </c>
      <c r="D1244" s="19" t="s">
        <v>138</v>
      </c>
      <c r="E1244" s="19">
        <v>0</v>
      </c>
      <c r="F1244" s="19">
        <v>-1</v>
      </c>
    </row>
    <row r="1245" spans="1:6" x14ac:dyDescent="0.25">
      <c r="A1245" s="20">
        <v>45420</v>
      </c>
      <c r="B1245" s="19" t="s">
        <v>41</v>
      </c>
      <c r="C1245" s="19" t="s">
        <v>7</v>
      </c>
      <c r="D1245" s="19" t="s">
        <v>138</v>
      </c>
      <c r="E1245" s="19">
        <v>0</v>
      </c>
      <c r="F1245" s="19">
        <v>-1</v>
      </c>
    </row>
    <row r="1246" spans="1:6" x14ac:dyDescent="0.25">
      <c r="A1246" s="20">
        <v>45420</v>
      </c>
      <c r="B1246" s="19" t="s">
        <v>41</v>
      </c>
      <c r="C1246" s="19" t="s">
        <v>8</v>
      </c>
      <c r="D1246" s="19" t="s">
        <v>138</v>
      </c>
      <c r="E1246" s="19">
        <v>0</v>
      </c>
      <c r="F1246" s="19">
        <v>-1</v>
      </c>
    </row>
    <row r="1247" spans="1:6" x14ac:dyDescent="0.25">
      <c r="A1247" s="20">
        <v>45420</v>
      </c>
      <c r="B1247" s="19" t="s">
        <v>43</v>
      </c>
      <c r="C1247" s="19" t="s">
        <v>6</v>
      </c>
      <c r="D1247" s="19" t="s">
        <v>138</v>
      </c>
      <c r="E1247" s="19">
        <v>0</v>
      </c>
      <c r="F1247" s="19">
        <v>-1</v>
      </c>
    </row>
    <row r="1248" spans="1:6" x14ac:dyDescent="0.25">
      <c r="A1248" s="20">
        <v>45420</v>
      </c>
      <c r="B1248" s="19" t="s">
        <v>43</v>
      </c>
      <c r="C1248" s="19" t="s">
        <v>7</v>
      </c>
      <c r="D1248" s="19" t="s">
        <v>138</v>
      </c>
      <c r="E1248" s="19">
        <v>0</v>
      </c>
      <c r="F1248" s="19">
        <v>-1</v>
      </c>
    </row>
    <row r="1249" spans="1:6" x14ac:dyDescent="0.25">
      <c r="A1249" s="20">
        <v>45420</v>
      </c>
      <c r="B1249" s="19" t="s">
        <v>43</v>
      </c>
      <c r="C1249" s="19" t="s">
        <v>8</v>
      </c>
      <c r="D1249" s="19" t="s">
        <v>138</v>
      </c>
      <c r="E1249" s="19">
        <v>0</v>
      </c>
      <c r="F1249" s="19">
        <v>-1</v>
      </c>
    </row>
    <row r="1250" spans="1:6" x14ac:dyDescent="0.25">
      <c r="A1250" s="20">
        <v>45420</v>
      </c>
      <c r="B1250" s="19" t="s">
        <v>5</v>
      </c>
      <c r="C1250" s="19" t="s">
        <v>6</v>
      </c>
      <c r="D1250" s="19" t="s">
        <v>138</v>
      </c>
      <c r="E1250" s="19">
        <v>0</v>
      </c>
      <c r="F1250" s="19">
        <v>-1</v>
      </c>
    </row>
    <row r="1251" spans="1:6" x14ac:dyDescent="0.25">
      <c r="A1251" s="20">
        <v>45420</v>
      </c>
      <c r="B1251" s="19" t="s">
        <v>5</v>
      </c>
      <c r="C1251" s="19" t="s">
        <v>7</v>
      </c>
      <c r="D1251" s="19" t="s">
        <v>138</v>
      </c>
      <c r="E1251" s="19">
        <v>0</v>
      </c>
      <c r="F1251" s="19">
        <v>-1</v>
      </c>
    </row>
    <row r="1252" spans="1:6" x14ac:dyDescent="0.25">
      <c r="A1252" s="20">
        <v>45420</v>
      </c>
      <c r="B1252" s="19" t="s">
        <v>5</v>
      </c>
      <c r="C1252" s="19" t="s">
        <v>8</v>
      </c>
      <c r="D1252" s="19" t="s">
        <v>138</v>
      </c>
      <c r="E1252" s="19">
        <v>0</v>
      </c>
      <c r="F1252" s="19">
        <v>-1</v>
      </c>
    </row>
    <row r="1253" spans="1:6" x14ac:dyDescent="0.25">
      <c r="A1253" s="20">
        <v>45420</v>
      </c>
      <c r="B1253" s="19" t="s">
        <v>9</v>
      </c>
      <c r="C1253" s="19" t="s">
        <v>6</v>
      </c>
      <c r="D1253" s="19" t="s">
        <v>138</v>
      </c>
      <c r="E1253" s="19">
        <v>0</v>
      </c>
      <c r="F1253" s="19">
        <v>-1</v>
      </c>
    </row>
    <row r="1254" spans="1:6" x14ac:dyDescent="0.25">
      <c r="A1254" s="20">
        <v>45420</v>
      </c>
      <c r="B1254" s="19" t="s">
        <v>9</v>
      </c>
      <c r="C1254" s="19" t="s">
        <v>7</v>
      </c>
      <c r="D1254" s="19" t="s">
        <v>138</v>
      </c>
      <c r="E1254" s="19">
        <v>0</v>
      </c>
      <c r="F1254" s="19">
        <v>-1</v>
      </c>
    </row>
    <row r="1255" spans="1:6" x14ac:dyDescent="0.25">
      <c r="A1255" s="20">
        <v>45420</v>
      </c>
      <c r="B1255" s="19" t="s">
        <v>9</v>
      </c>
      <c r="C1255" s="19" t="s">
        <v>8</v>
      </c>
      <c r="D1255" s="19" t="s">
        <v>138</v>
      </c>
      <c r="E1255" s="19">
        <v>0</v>
      </c>
      <c r="F1255" s="19">
        <v>-1</v>
      </c>
    </row>
    <row r="1256" spans="1:6" x14ac:dyDescent="0.25">
      <c r="A1256" s="20">
        <v>45420</v>
      </c>
      <c r="B1256" s="19" t="s">
        <v>10</v>
      </c>
      <c r="C1256" s="19" t="s">
        <v>6</v>
      </c>
      <c r="D1256" s="19" t="s">
        <v>138</v>
      </c>
      <c r="E1256" s="19">
        <v>0</v>
      </c>
      <c r="F1256" s="19">
        <v>-1</v>
      </c>
    </row>
    <row r="1257" spans="1:6" x14ac:dyDescent="0.25">
      <c r="A1257" s="20">
        <v>45420</v>
      </c>
      <c r="B1257" s="19" t="s">
        <v>10</v>
      </c>
      <c r="C1257" s="19" t="s">
        <v>7</v>
      </c>
      <c r="D1257" s="19" t="s">
        <v>138</v>
      </c>
      <c r="E1257" s="19">
        <v>0</v>
      </c>
      <c r="F1257" s="19">
        <v>-1</v>
      </c>
    </row>
    <row r="1258" spans="1:6" x14ac:dyDescent="0.25">
      <c r="A1258" s="20">
        <v>45420</v>
      </c>
      <c r="B1258" s="19" t="s">
        <v>10</v>
      </c>
      <c r="C1258" s="19" t="s">
        <v>8</v>
      </c>
      <c r="D1258" s="19" t="s">
        <v>138</v>
      </c>
      <c r="E1258" s="19">
        <v>0</v>
      </c>
      <c r="F1258" s="19">
        <v>-1</v>
      </c>
    </row>
    <row r="1259" spans="1:6" x14ac:dyDescent="0.25">
      <c r="A1259" s="20">
        <v>45420</v>
      </c>
      <c r="B1259" s="19" t="s">
        <v>11</v>
      </c>
      <c r="C1259" s="19" t="s">
        <v>6</v>
      </c>
      <c r="D1259" s="19" t="s">
        <v>139</v>
      </c>
      <c r="E1259" s="19">
        <v>2378</v>
      </c>
      <c r="F1259" s="19">
        <v>-1</v>
      </c>
    </row>
    <row r="1260" spans="1:6" x14ac:dyDescent="0.25">
      <c r="A1260" s="20">
        <v>45420</v>
      </c>
      <c r="B1260" s="19" t="s">
        <v>11</v>
      </c>
      <c r="C1260" s="19" t="s">
        <v>7</v>
      </c>
      <c r="D1260" s="19" t="s">
        <v>139</v>
      </c>
      <c r="E1260" s="19">
        <v>2634</v>
      </c>
      <c r="F1260" s="19">
        <v>-1</v>
      </c>
    </row>
    <row r="1261" spans="1:6" x14ac:dyDescent="0.25">
      <c r="A1261" s="20">
        <v>45420</v>
      </c>
      <c r="B1261" s="19" t="s">
        <v>11</v>
      </c>
      <c r="C1261" s="19" t="s">
        <v>8</v>
      </c>
      <c r="D1261" s="19" t="s">
        <v>139</v>
      </c>
      <c r="E1261" s="19">
        <v>2512</v>
      </c>
      <c r="F1261" s="19">
        <v>-1</v>
      </c>
    </row>
    <row r="1262" spans="1:6" x14ac:dyDescent="0.25">
      <c r="A1262" s="20">
        <v>45420</v>
      </c>
      <c r="B1262" s="19" t="s">
        <v>12</v>
      </c>
      <c r="C1262" s="19" t="s">
        <v>6</v>
      </c>
      <c r="D1262" s="19" t="s">
        <v>138</v>
      </c>
      <c r="E1262" s="19">
        <v>0</v>
      </c>
      <c r="F1262" s="19">
        <v>-1</v>
      </c>
    </row>
    <row r="1263" spans="1:6" x14ac:dyDescent="0.25">
      <c r="A1263" s="20">
        <v>45420</v>
      </c>
      <c r="B1263" s="19" t="s">
        <v>12</v>
      </c>
      <c r="C1263" s="19" t="s">
        <v>7</v>
      </c>
      <c r="D1263" s="19" t="s">
        <v>138</v>
      </c>
      <c r="E1263" s="19">
        <v>0</v>
      </c>
      <c r="F1263" s="19">
        <v>-1</v>
      </c>
    </row>
    <row r="1264" spans="1:6" x14ac:dyDescent="0.25">
      <c r="A1264" s="20">
        <v>45420</v>
      </c>
      <c r="B1264" s="19" t="s">
        <v>12</v>
      </c>
      <c r="C1264" s="19" t="s">
        <v>8</v>
      </c>
      <c r="D1264" s="19" t="s">
        <v>138</v>
      </c>
      <c r="E1264" s="19">
        <v>0</v>
      </c>
      <c r="F1264" s="19">
        <v>-1</v>
      </c>
    </row>
    <row r="1265" spans="1:6" x14ac:dyDescent="0.25">
      <c r="A1265" s="20">
        <v>45420</v>
      </c>
      <c r="B1265" s="19" t="s">
        <v>105</v>
      </c>
      <c r="C1265" s="19" t="s">
        <v>6</v>
      </c>
      <c r="D1265" s="19" t="s">
        <v>139</v>
      </c>
      <c r="E1265" s="19">
        <v>2230</v>
      </c>
      <c r="F1265" s="19">
        <v>-1</v>
      </c>
    </row>
    <row r="1266" spans="1:6" x14ac:dyDescent="0.25">
      <c r="A1266" s="20">
        <v>45420</v>
      </c>
      <c r="B1266" s="19" t="s">
        <v>105</v>
      </c>
      <c r="C1266" s="19" t="s">
        <v>7</v>
      </c>
      <c r="D1266" s="19" t="s">
        <v>139</v>
      </c>
      <c r="E1266" s="19">
        <v>2482</v>
      </c>
      <c r="F1266" s="19">
        <v>-1</v>
      </c>
    </row>
    <row r="1267" spans="1:6" x14ac:dyDescent="0.25">
      <c r="A1267" s="20">
        <v>45420</v>
      </c>
      <c r="B1267" s="19" t="s">
        <v>105</v>
      </c>
      <c r="C1267" s="19" t="s">
        <v>8</v>
      </c>
      <c r="D1267" s="19" t="s">
        <v>139</v>
      </c>
      <c r="E1267" s="19">
        <v>2364</v>
      </c>
      <c r="F1267" s="19">
        <v>-1</v>
      </c>
    </row>
    <row r="1268" spans="1:6" x14ac:dyDescent="0.25">
      <c r="A1268" s="20">
        <v>45420</v>
      </c>
      <c r="B1268" s="19" t="s">
        <v>104</v>
      </c>
      <c r="C1268" s="19" t="s">
        <v>6</v>
      </c>
      <c r="D1268" s="19" t="s">
        <v>138</v>
      </c>
      <c r="E1268" s="19">
        <v>0</v>
      </c>
      <c r="F1268" s="19">
        <v>-1</v>
      </c>
    </row>
    <row r="1269" spans="1:6" x14ac:dyDescent="0.25">
      <c r="A1269" s="20">
        <v>45420</v>
      </c>
      <c r="B1269" s="19" t="s">
        <v>104</v>
      </c>
      <c r="C1269" s="19" t="s">
        <v>7</v>
      </c>
      <c r="D1269" s="19" t="s">
        <v>138</v>
      </c>
      <c r="E1269" s="19">
        <v>0</v>
      </c>
      <c r="F1269" s="19">
        <v>-1</v>
      </c>
    </row>
    <row r="1270" spans="1:6" x14ac:dyDescent="0.25">
      <c r="A1270" s="20">
        <v>45420</v>
      </c>
      <c r="B1270" s="19" t="s">
        <v>104</v>
      </c>
      <c r="C1270" s="19" t="s">
        <v>8</v>
      </c>
      <c r="D1270" s="19" t="s">
        <v>138</v>
      </c>
      <c r="E1270" s="19">
        <v>0</v>
      </c>
      <c r="F1270" s="19">
        <v>-1</v>
      </c>
    </row>
    <row r="1271" spans="1:6" x14ac:dyDescent="0.25">
      <c r="A1271" s="20">
        <v>45420</v>
      </c>
      <c r="B1271" s="19" t="s">
        <v>13</v>
      </c>
      <c r="C1271" s="19" t="s">
        <v>6</v>
      </c>
      <c r="D1271" s="19" t="s">
        <v>139</v>
      </c>
      <c r="E1271" s="19">
        <v>2110</v>
      </c>
      <c r="F1271" s="19">
        <v>-1</v>
      </c>
    </row>
    <row r="1272" spans="1:6" x14ac:dyDescent="0.25">
      <c r="A1272" s="20">
        <v>45420</v>
      </c>
      <c r="B1272" s="19" t="s">
        <v>13</v>
      </c>
      <c r="C1272" s="19" t="s">
        <v>7</v>
      </c>
      <c r="D1272" s="19" t="s">
        <v>139</v>
      </c>
      <c r="E1272" s="19">
        <v>2332</v>
      </c>
      <c r="F1272" s="19">
        <v>-1</v>
      </c>
    </row>
    <row r="1273" spans="1:6" x14ac:dyDescent="0.25">
      <c r="A1273" s="20">
        <v>45420</v>
      </c>
      <c r="B1273" s="19" t="s">
        <v>13</v>
      </c>
      <c r="C1273" s="19" t="s">
        <v>8</v>
      </c>
      <c r="D1273" s="19" t="s">
        <v>139</v>
      </c>
      <c r="E1273" s="19">
        <v>2195</v>
      </c>
      <c r="F1273" s="19">
        <v>-1</v>
      </c>
    </row>
    <row r="1274" spans="1:6" x14ac:dyDescent="0.25">
      <c r="A1274" s="20">
        <v>45420</v>
      </c>
      <c r="B1274" s="19" t="s">
        <v>103</v>
      </c>
      <c r="C1274" s="19" t="s">
        <v>6</v>
      </c>
      <c r="D1274" s="19" t="s">
        <v>138</v>
      </c>
      <c r="E1274" s="19">
        <v>0</v>
      </c>
      <c r="F1274" s="19">
        <v>-1</v>
      </c>
    </row>
    <row r="1275" spans="1:6" x14ac:dyDescent="0.25">
      <c r="A1275" s="20">
        <v>45420</v>
      </c>
      <c r="B1275" s="19" t="s">
        <v>103</v>
      </c>
      <c r="C1275" s="19" t="s">
        <v>7</v>
      </c>
      <c r="D1275" s="19" t="s">
        <v>138</v>
      </c>
      <c r="E1275" s="19">
        <v>0</v>
      </c>
      <c r="F1275" s="19">
        <v>-1</v>
      </c>
    </row>
    <row r="1276" spans="1:6" x14ac:dyDescent="0.25">
      <c r="A1276" s="20">
        <v>45420</v>
      </c>
      <c r="B1276" s="19" t="s">
        <v>103</v>
      </c>
      <c r="C1276" s="19" t="s">
        <v>8</v>
      </c>
      <c r="D1276" s="19" t="s">
        <v>138</v>
      </c>
      <c r="E1276" s="19">
        <v>0</v>
      </c>
      <c r="F1276" s="19">
        <v>-1</v>
      </c>
    </row>
    <row r="1277" spans="1:6" x14ac:dyDescent="0.25">
      <c r="A1277" s="20">
        <v>45420</v>
      </c>
      <c r="B1277" s="19" t="s">
        <v>101</v>
      </c>
      <c r="C1277" s="19" t="s">
        <v>6</v>
      </c>
      <c r="D1277" s="19" t="s">
        <v>138</v>
      </c>
      <c r="E1277" s="19">
        <v>0</v>
      </c>
      <c r="F1277" s="19">
        <v>-1</v>
      </c>
    </row>
    <row r="1278" spans="1:6" x14ac:dyDescent="0.25">
      <c r="A1278" s="20">
        <v>45420</v>
      </c>
      <c r="B1278" s="19" t="s">
        <v>101</v>
      </c>
      <c r="C1278" s="19" t="s">
        <v>7</v>
      </c>
      <c r="D1278" s="19" t="s">
        <v>138</v>
      </c>
      <c r="E1278" s="19">
        <v>0</v>
      </c>
      <c r="F1278" s="19">
        <v>-1</v>
      </c>
    </row>
    <row r="1279" spans="1:6" x14ac:dyDescent="0.25">
      <c r="A1279" s="20">
        <v>45420</v>
      </c>
      <c r="B1279" s="19" t="s">
        <v>101</v>
      </c>
      <c r="C1279" s="19" t="s">
        <v>8</v>
      </c>
      <c r="D1279" s="19" t="s">
        <v>138</v>
      </c>
      <c r="E1279" s="19">
        <v>0</v>
      </c>
      <c r="F1279" s="19">
        <v>-1</v>
      </c>
    </row>
    <row r="1280" spans="1:6" x14ac:dyDescent="0.25">
      <c r="A1280" s="20">
        <v>45420</v>
      </c>
      <c r="B1280" s="19" t="s">
        <v>99</v>
      </c>
      <c r="C1280" s="19" t="s">
        <v>6</v>
      </c>
      <c r="D1280" s="19" t="s">
        <v>138</v>
      </c>
      <c r="E1280" s="19">
        <v>0</v>
      </c>
      <c r="F1280" s="19">
        <v>-1</v>
      </c>
    </row>
    <row r="1281" spans="1:6" x14ac:dyDescent="0.25">
      <c r="A1281" s="20">
        <v>45420</v>
      </c>
      <c r="B1281" s="19" t="s">
        <v>99</v>
      </c>
      <c r="C1281" s="19" t="s">
        <v>7</v>
      </c>
      <c r="D1281" s="19" t="s">
        <v>138</v>
      </c>
      <c r="E1281" s="19">
        <v>0</v>
      </c>
      <c r="F1281" s="19">
        <v>-1</v>
      </c>
    </row>
    <row r="1282" spans="1:6" x14ac:dyDescent="0.25">
      <c r="A1282" s="20">
        <v>45420</v>
      </c>
      <c r="B1282" s="19" t="s">
        <v>99</v>
      </c>
      <c r="C1282" s="19" t="s">
        <v>8</v>
      </c>
      <c r="D1282" s="19" t="s">
        <v>138</v>
      </c>
      <c r="E1282" s="19">
        <v>0</v>
      </c>
      <c r="F1282" s="19">
        <v>-1</v>
      </c>
    </row>
    <row r="1283" spans="1:6" x14ac:dyDescent="0.25">
      <c r="A1283" s="20">
        <v>45420</v>
      </c>
      <c r="B1283" s="19" t="s">
        <v>97</v>
      </c>
      <c r="C1283" s="19" t="s">
        <v>6</v>
      </c>
      <c r="D1283" s="19" t="s">
        <v>138</v>
      </c>
      <c r="E1283" s="19">
        <v>0</v>
      </c>
      <c r="F1283" s="19">
        <v>-1</v>
      </c>
    </row>
    <row r="1284" spans="1:6" x14ac:dyDescent="0.25">
      <c r="A1284" s="20">
        <v>45420</v>
      </c>
      <c r="B1284" s="19" t="s">
        <v>97</v>
      </c>
      <c r="C1284" s="19" t="s">
        <v>7</v>
      </c>
      <c r="D1284" s="19" t="s">
        <v>138</v>
      </c>
      <c r="E1284" s="19">
        <v>0</v>
      </c>
      <c r="F1284" s="19">
        <v>-1</v>
      </c>
    </row>
    <row r="1285" spans="1:6" x14ac:dyDescent="0.25">
      <c r="A1285" s="20">
        <v>45420</v>
      </c>
      <c r="B1285" s="19" t="s">
        <v>97</v>
      </c>
      <c r="C1285" s="19" t="s">
        <v>8</v>
      </c>
      <c r="D1285" s="19" t="s">
        <v>138</v>
      </c>
      <c r="E1285" s="19">
        <v>0</v>
      </c>
      <c r="F1285" s="19">
        <v>-1</v>
      </c>
    </row>
    <row r="1286" spans="1:6" x14ac:dyDescent="0.25">
      <c r="A1286" s="20">
        <v>45420</v>
      </c>
      <c r="B1286" s="19" t="s">
        <v>95</v>
      </c>
      <c r="C1286" s="19" t="s">
        <v>6</v>
      </c>
      <c r="D1286" s="19" t="s">
        <v>138</v>
      </c>
      <c r="E1286" s="19">
        <v>0</v>
      </c>
      <c r="F1286" s="19">
        <v>-1</v>
      </c>
    </row>
    <row r="1287" spans="1:6" x14ac:dyDescent="0.25">
      <c r="A1287" s="20">
        <v>45420</v>
      </c>
      <c r="B1287" s="19" t="s">
        <v>95</v>
      </c>
      <c r="C1287" s="19" t="s">
        <v>7</v>
      </c>
      <c r="D1287" s="19" t="s">
        <v>138</v>
      </c>
      <c r="E1287" s="19">
        <v>0</v>
      </c>
      <c r="F1287" s="19">
        <v>-1</v>
      </c>
    </row>
    <row r="1288" spans="1:6" x14ac:dyDescent="0.25">
      <c r="A1288" s="20">
        <v>45420</v>
      </c>
      <c r="B1288" s="19" t="s">
        <v>95</v>
      </c>
      <c r="C1288" s="19" t="s">
        <v>8</v>
      </c>
      <c r="D1288" s="19" t="s">
        <v>138</v>
      </c>
      <c r="E1288" s="19">
        <v>0</v>
      </c>
      <c r="F1288" s="19">
        <v>-1</v>
      </c>
    </row>
    <row r="1289" spans="1:6" x14ac:dyDescent="0.25">
      <c r="A1289" s="20">
        <v>45420</v>
      </c>
      <c r="B1289" s="19" t="s">
        <v>14</v>
      </c>
      <c r="C1289" s="19" t="s">
        <v>6</v>
      </c>
      <c r="D1289" s="19" t="s">
        <v>138</v>
      </c>
      <c r="E1289" s="19">
        <v>0</v>
      </c>
      <c r="F1289" s="19">
        <v>-1</v>
      </c>
    </row>
    <row r="1290" spans="1:6" x14ac:dyDescent="0.25">
      <c r="A1290" s="20">
        <v>45420</v>
      </c>
      <c r="B1290" s="19" t="s">
        <v>14</v>
      </c>
      <c r="C1290" s="19" t="s">
        <v>7</v>
      </c>
      <c r="D1290" s="19" t="s">
        <v>138</v>
      </c>
      <c r="E1290" s="19">
        <v>0</v>
      </c>
      <c r="F1290" s="19">
        <v>-1</v>
      </c>
    </row>
    <row r="1291" spans="1:6" x14ac:dyDescent="0.25">
      <c r="A1291" s="20">
        <v>45420</v>
      </c>
      <c r="B1291" s="19" t="s">
        <v>14</v>
      </c>
      <c r="C1291" s="19" t="s">
        <v>8</v>
      </c>
      <c r="D1291" s="19" t="s">
        <v>138</v>
      </c>
      <c r="E1291" s="19">
        <v>0</v>
      </c>
      <c r="F1291" s="19">
        <v>-1</v>
      </c>
    </row>
    <row r="1292" spans="1:6" x14ac:dyDescent="0.25">
      <c r="A1292" s="20">
        <v>45420</v>
      </c>
      <c r="B1292" s="19" t="s">
        <v>91</v>
      </c>
      <c r="C1292" s="19" t="s">
        <v>6</v>
      </c>
      <c r="D1292" s="19" t="s">
        <v>138</v>
      </c>
      <c r="E1292" s="19">
        <v>0</v>
      </c>
      <c r="F1292" s="19">
        <v>-1</v>
      </c>
    </row>
    <row r="1293" spans="1:6" x14ac:dyDescent="0.25">
      <c r="A1293" s="20">
        <v>45420</v>
      </c>
      <c r="B1293" s="19" t="s">
        <v>91</v>
      </c>
      <c r="C1293" s="19" t="s">
        <v>7</v>
      </c>
      <c r="D1293" s="19" t="s">
        <v>138</v>
      </c>
      <c r="E1293" s="19">
        <v>0</v>
      </c>
      <c r="F1293" s="19">
        <v>-1</v>
      </c>
    </row>
    <row r="1294" spans="1:6" x14ac:dyDescent="0.25">
      <c r="A1294" s="20">
        <v>45420</v>
      </c>
      <c r="B1294" s="19" t="s">
        <v>91</v>
      </c>
      <c r="C1294" s="19" t="s">
        <v>8</v>
      </c>
      <c r="D1294" s="19" t="s">
        <v>138</v>
      </c>
      <c r="E1294" s="19">
        <v>0</v>
      </c>
      <c r="F1294" s="19">
        <v>-1</v>
      </c>
    </row>
    <row r="1295" spans="1:6" x14ac:dyDescent="0.25">
      <c r="A1295" s="20">
        <v>45420</v>
      </c>
      <c r="B1295" s="19" t="s">
        <v>15</v>
      </c>
      <c r="C1295" s="19" t="s">
        <v>6</v>
      </c>
      <c r="D1295" s="19" t="s">
        <v>138</v>
      </c>
      <c r="E1295" s="19">
        <v>0</v>
      </c>
      <c r="F1295" s="19">
        <v>-1</v>
      </c>
    </row>
    <row r="1296" spans="1:6" x14ac:dyDescent="0.25">
      <c r="A1296" s="20">
        <v>45420</v>
      </c>
      <c r="B1296" s="19" t="s">
        <v>15</v>
      </c>
      <c r="C1296" s="19" t="s">
        <v>7</v>
      </c>
      <c r="D1296" s="19" t="s">
        <v>138</v>
      </c>
      <c r="E1296" s="19">
        <v>0</v>
      </c>
      <c r="F1296" s="19">
        <v>-1</v>
      </c>
    </row>
    <row r="1297" spans="1:6" x14ac:dyDescent="0.25">
      <c r="A1297" s="20">
        <v>45420</v>
      </c>
      <c r="B1297" s="19" t="s">
        <v>15</v>
      </c>
      <c r="C1297" s="19" t="s">
        <v>8</v>
      </c>
      <c r="D1297" s="19" t="s">
        <v>138</v>
      </c>
      <c r="E1297" s="19">
        <v>0</v>
      </c>
      <c r="F1297" s="19">
        <v>-1</v>
      </c>
    </row>
    <row r="1298" spans="1:6" x14ac:dyDescent="0.25">
      <c r="A1298" s="20">
        <v>45420</v>
      </c>
      <c r="B1298" s="19" t="s">
        <v>89</v>
      </c>
      <c r="C1298" s="19" t="s">
        <v>6</v>
      </c>
      <c r="D1298" s="19" t="s">
        <v>138</v>
      </c>
      <c r="E1298" s="19">
        <v>0</v>
      </c>
      <c r="F1298" s="19">
        <v>-1</v>
      </c>
    </row>
    <row r="1299" spans="1:6" x14ac:dyDescent="0.25">
      <c r="A1299" s="20">
        <v>45420</v>
      </c>
      <c r="B1299" s="19" t="s">
        <v>89</v>
      </c>
      <c r="C1299" s="19" t="s">
        <v>7</v>
      </c>
      <c r="D1299" s="19" t="s">
        <v>138</v>
      </c>
      <c r="E1299" s="19">
        <v>0</v>
      </c>
      <c r="F1299" s="19">
        <v>-1</v>
      </c>
    </row>
    <row r="1300" spans="1:6" x14ac:dyDescent="0.25">
      <c r="A1300" s="20">
        <v>45420</v>
      </c>
      <c r="B1300" s="19" t="s">
        <v>89</v>
      </c>
      <c r="C1300" s="19" t="s">
        <v>8</v>
      </c>
      <c r="D1300" s="19" t="s">
        <v>138</v>
      </c>
      <c r="E1300" s="19">
        <v>0</v>
      </c>
      <c r="F1300" s="19">
        <v>-1</v>
      </c>
    </row>
    <row r="1301" spans="1:6" x14ac:dyDescent="0.25">
      <c r="A1301" s="20">
        <v>45420</v>
      </c>
      <c r="B1301" s="19" t="s">
        <v>16</v>
      </c>
      <c r="C1301" s="19" t="s">
        <v>6</v>
      </c>
      <c r="D1301" s="19" t="s">
        <v>138</v>
      </c>
      <c r="E1301" s="19">
        <v>0</v>
      </c>
      <c r="F1301" s="19">
        <v>-1</v>
      </c>
    </row>
    <row r="1302" spans="1:6" x14ac:dyDescent="0.25">
      <c r="A1302" s="20">
        <v>45420</v>
      </c>
      <c r="B1302" s="19" t="s">
        <v>16</v>
      </c>
      <c r="C1302" s="19" t="s">
        <v>7</v>
      </c>
      <c r="D1302" s="19" t="s">
        <v>138</v>
      </c>
      <c r="E1302" s="19">
        <v>0</v>
      </c>
      <c r="F1302" s="19">
        <v>-1</v>
      </c>
    </row>
    <row r="1303" spans="1:6" x14ac:dyDescent="0.25">
      <c r="A1303" s="20">
        <v>45420</v>
      </c>
      <c r="B1303" s="19" t="s">
        <v>16</v>
      </c>
      <c r="C1303" s="19" t="s">
        <v>8</v>
      </c>
      <c r="D1303" s="19" t="s">
        <v>138</v>
      </c>
      <c r="E1303" s="19">
        <v>0</v>
      </c>
      <c r="F1303" s="19">
        <v>-1</v>
      </c>
    </row>
    <row r="1304" spans="1:6" x14ac:dyDescent="0.25">
      <c r="A1304" s="20">
        <v>45420</v>
      </c>
      <c r="B1304" s="19" t="s">
        <v>88</v>
      </c>
      <c r="C1304" s="19" t="s">
        <v>6</v>
      </c>
      <c r="D1304" s="19" t="s">
        <v>138</v>
      </c>
      <c r="E1304" s="19">
        <v>0</v>
      </c>
      <c r="F1304" s="19">
        <v>-1</v>
      </c>
    </row>
    <row r="1305" spans="1:6" x14ac:dyDescent="0.25">
      <c r="A1305" s="20">
        <v>45420</v>
      </c>
      <c r="B1305" s="19" t="s">
        <v>88</v>
      </c>
      <c r="C1305" s="19" t="s">
        <v>7</v>
      </c>
      <c r="D1305" s="19" t="s">
        <v>138</v>
      </c>
      <c r="E1305" s="19">
        <v>0</v>
      </c>
      <c r="F1305" s="19">
        <v>-1</v>
      </c>
    </row>
    <row r="1306" spans="1:6" x14ac:dyDescent="0.25">
      <c r="A1306" s="20">
        <v>45420</v>
      </c>
      <c r="B1306" s="19" t="s">
        <v>88</v>
      </c>
      <c r="C1306" s="19" t="s">
        <v>8</v>
      </c>
      <c r="D1306" s="19" t="s">
        <v>138</v>
      </c>
      <c r="E1306" s="19">
        <v>0</v>
      </c>
      <c r="F1306" s="19">
        <v>-1</v>
      </c>
    </row>
    <row r="1307" spans="1:6" x14ac:dyDescent="0.25">
      <c r="A1307" s="20">
        <v>45420</v>
      </c>
      <c r="B1307" s="19" t="s">
        <v>17</v>
      </c>
      <c r="C1307" s="19" t="s">
        <v>6</v>
      </c>
      <c r="D1307" s="19" t="s">
        <v>138</v>
      </c>
      <c r="E1307" s="19">
        <v>0</v>
      </c>
      <c r="F1307" s="19">
        <v>-1</v>
      </c>
    </row>
    <row r="1308" spans="1:6" x14ac:dyDescent="0.25">
      <c r="A1308" s="20">
        <v>45420</v>
      </c>
      <c r="B1308" s="19" t="s">
        <v>17</v>
      </c>
      <c r="C1308" s="19" t="s">
        <v>7</v>
      </c>
      <c r="D1308" s="19" t="s">
        <v>138</v>
      </c>
      <c r="E1308" s="19">
        <v>0</v>
      </c>
      <c r="F1308" s="19">
        <v>-1</v>
      </c>
    </row>
    <row r="1309" spans="1:6" x14ac:dyDescent="0.25">
      <c r="A1309" s="20">
        <v>45420</v>
      </c>
      <c r="B1309" s="19" t="s">
        <v>17</v>
      </c>
      <c r="C1309" s="19" t="s">
        <v>8</v>
      </c>
      <c r="D1309" s="19" t="s">
        <v>138</v>
      </c>
      <c r="E1309" s="19">
        <v>0</v>
      </c>
      <c r="F1309" s="19">
        <v>-1</v>
      </c>
    </row>
    <row r="1310" spans="1:6" x14ac:dyDescent="0.25">
      <c r="A1310" s="20">
        <v>45420</v>
      </c>
      <c r="B1310" s="19" t="s">
        <v>19</v>
      </c>
      <c r="C1310" s="19" t="s">
        <v>6</v>
      </c>
      <c r="D1310" s="19" t="s">
        <v>138</v>
      </c>
      <c r="E1310" s="19">
        <v>0</v>
      </c>
      <c r="F1310" s="19">
        <v>-1</v>
      </c>
    </row>
    <row r="1311" spans="1:6" x14ac:dyDescent="0.25">
      <c r="A1311" s="20">
        <v>45420</v>
      </c>
      <c r="B1311" s="19" t="s">
        <v>19</v>
      </c>
      <c r="C1311" s="19" t="s">
        <v>7</v>
      </c>
      <c r="D1311" s="19" t="s">
        <v>138</v>
      </c>
      <c r="E1311" s="19">
        <v>0</v>
      </c>
      <c r="F1311" s="19">
        <v>-1</v>
      </c>
    </row>
    <row r="1312" spans="1:6" x14ac:dyDescent="0.25">
      <c r="A1312" s="20">
        <v>45420</v>
      </c>
      <c r="B1312" s="19" t="s">
        <v>19</v>
      </c>
      <c r="C1312" s="19" t="s">
        <v>8</v>
      </c>
      <c r="D1312" s="19" t="s">
        <v>138</v>
      </c>
      <c r="E1312" s="19">
        <v>0</v>
      </c>
      <c r="F1312" s="19">
        <v>-1</v>
      </c>
    </row>
    <row r="1313" spans="1:6" x14ac:dyDescent="0.25">
      <c r="A1313" s="20">
        <v>45420</v>
      </c>
      <c r="B1313" s="19" t="s">
        <v>18</v>
      </c>
      <c r="C1313" s="19" t="s">
        <v>6</v>
      </c>
      <c r="D1313" s="19" t="s">
        <v>138</v>
      </c>
      <c r="E1313" s="19">
        <v>0</v>
      </c>
      <c r="F1313" s="19">
        <v>-1</v>
      </c>
    </row>
    <row r="1314" spans="1:6" x14ac:dyDescent="0.25">
      <c r="A1314" s="20">
        <v>45420</v>
      </c>
      <c r="B1314" s="19" t="s">
        <v>18</v>
      </c>
      <c r="C1314" s="19" t="s">
        <v>7</v>
      </c>
      <c r="D1314" s="19" t="s">
        <v>138</v>
      </c>
      <c r="E1314" s="19">
        <v>0</v>
      </c>
      <c r="F1314" s="19">
        <v>-1</v>
      </c>
    </row>
    <row r="1315" spans="1:6" x14ac:dyDescent="0.25">
      <c r="A1315" s="20">
        <v>45420</v>
      </c>
      <c r="B1315" s="19" t="s">
        <v>18</v>
      </c>
      <c r="C1315" s="19" t="s">
        <v>8</v>
      </c>
      <c r="D1315" s="19" t="s">
        <v>138</v>
      </c>
      <c r="E1315" s="19">
        <v>0</v>
      </c>
      <c r="F1315" s="19">
        <v>-1</v>
      </c>
    </row>
    <row r="1316" spans="1:6" x14ac:dyDescent="0.25">
      <c r="A1316" s="20">
        <v>45420</v>
      </c>
      <c r="B1316" s="19" t="s">
        <v>87</v>
      </c>
      <c r="C1316" s="19" t="s">
        <v>6</v>
      </c>
      <c r="D1316" s="19" t="s">
        <v>138</v>
      </c>
      <c r="E1316" s="19">
        <v>0</v>
      </c>
      <c r="F1316" s="19">
        <v>-1</v>
      </c>
    </row>
    <row r="1317" spans="1:6" x14ac:dyDescent="0.25">
      <c r="A1317" s="20">
        <v>45420</v>
      </c>
      <c r="B1317" s="19" t="s">
        <v>87</v>
      </c>
      <c r="C1317" s="19" t="s">
        <v>7</v>
      </c>
      <c r="D1317" s="19" t="s">
        <v>138</v>
      </c>
      <c r="E1317" s="19">
        <v>0</v>
      </c>
      <c r="F1317" s="19">
        <v>-1</v>
      </c>
    </row>
    <row r="1318" spans="1:6" x14ac:dyDescent="0.25">
      <c r="A1318" s="20">
        <v>45420</v>
      </c>
      <c r="B1318" s="19" t="s">
        <v>87</v>
      </c>
      <c r="C1318" s="19" t="s">
        <v>8</v>
      </c>
      <c r="D1318" s="19" t="s">
        <v>138</v>
      </c>
      <c r="E1318" s="19">
        <v>0</v>
      </c>
      <c r="F1318" s="19">
        <v>-1</v>
      </c>
    </row>
    <row r="1319" spans="1:6" x14ac:dyDescent="0.25">
      <c r="A1319" s="20">
        <v>45420</v>
      </c>
      <c r="B1319" s="19" t="s">
        <v>42</v>
      </c>
      <c r="C1319" s="19" t="s">
        <v>6</v>
      </c>
      <c r="D1319" s="19" t="s">
        <v>138</v>
      </c>
      <c r="E1319" s="19">
        <v>0</v>
      </c>
      <c r="F1319" s="19">
        <v>-1</v>
      </c>
    </row>
    <row r="1320" spans="1:6" x14ac:dyDescent="0.25">
      <c r="A1320" s="20">
        <v>45420</v>
      </c>
      <c r="B1320" s="19" t="s">
        <v>42</v>
      </c>
      <c r="C1320" s="19" t="s">
        <v>7</v>
      </c>
      <c r="D1320" s="19" t="s">
        <v>138</v>
      </c>
      <c r="E1320" s="19">
        <v>0</v>
      </c>
      <c r="F1320" s="19">
        <v>-1</v>
      </c>
    </row>
    <row r="1321" spans="1:6" x14ac:dyDescent="0.25">
      <c r="A1321" s="20">
        <v>45420</v>
      </c>
      <c r="B1321" s="19" t="s">
        <v>42</v>
      </c>
      <c r="C1321" s="19" t="s">
        <v>8</v>
      </c>
      <c r="D1321" s="19" t="s">
        <v>138</v>
      </c>
      <c r="E1321" s="19">
        <v>0</v>
      </c>
      <c r="F1321" s="19">
        <v>-1</v>
      </c>
    </row>
    <row r="1322" spans="1:6" x14ac:dyDescent="0.25">
      <c r="A1322" s="20">
        <v>45420</v>
      </c>
      <c r="B1322" s="19" t="s">
        <v>86</v>
      </c>
      <c r="C1322" s="19" t="s">
        <v>6</v>
      </c>
      <c r="D1322" s="19" t="s">
        <v>138</v>
      </c>
      <c r="E1322" s="19">
        <v>0</v>
      </c>
      <c r="F1322" s="19">
        <v>-1</v>
      </c>
    </row>
    <row r="1323" spans="1:6" x14ac:dyDescent="0.25">
      <c r="A1323" s="20">
        <v>45420</v>
      </c>
      <c r="B1323" s="19" t="s">
        <v>86</v>
      </c>
      <c r="C1323" s="19" t="s">
        <v>7</v>
      </c>
      <c r="D1323" s="19" t="s">
        <v>138</v>
      </c>
      <c r="E1323" s="19">
        <v>0</v>
      </c>
      <c r="F1323" s="19">
        <v>-1</v>
      </c>
    </row>
    <row r="1324" spans="1:6" x14ac:dyDescent="0.25">
      <c r="A1324" s="20">
        <v>45420</v>
      </c>
      <c r="B1324" s="19" t="s">
        <v>86</v>
      </c>
      <c r="C1324" s="19" t="s">
        <v>8</v>
      </c>
      <c r="D1324" s="19" t="s">
        <v>138</v>
      </c>
      <c r="E1324" s="19">
        <v>0</v>
      </c>
      <c r="F1324" s="19">
        <v>-1</v>
      </c>
    </row>
    <row r="1325" spans="1:6" x14ac:dyDescent="0.25">
      <c r="A1325" s="20">
        <v>45420</v>
      </c>
      <c r="B1325" s="19" t="s">
        <v>38</v>
      </c>
      <c r="C1325" s="19" t="s">
        <v>6</v>
      </c>
      <c r="D1325" s="19" t="s">
        <v>138</v>
      </c>
      <c r="E1325" s="19">
        <v>0</v>
      </c>
      <c r="F1325" s="19">
        <v>-1</v>
      </c>
    </row>
    <row r="1326" spans="1:6" x14ac:dyDescent="0.25">
      <c r="A1326" s="20">
        <v>45420</v>
      </c>
      <c r="B1326" s="19" t="s">
        <v>38</v>
      </c>
      <c r="C1326" s="19" t="s">
        <v>7</v>
      </c>
      <c r="D1326" s="19" t="s">
        <v>138</v>
      </c>
      <c r="E1326" s="19">
        <v>0</v>
      </c>
      <c r="F1326" s="19">
        <v>-1</v>
      </c>
    </row>
    <row r="1327" spans="1:6" x14ac:dyDescent="0.25">
      <c r="A1327" s="20">
        <v>45420</v>
      </c>
      <c r="B1327" s="19" t="s">
        <v>38</v>
      </c>
      <c r="C1327" s="19" t="s">
        <v>8</v>
      </c>
      <c r="D1327" s="19" t="s">
        <v>138</v>
      </c>
      <c r="E1327" s="19">
        <v>0</v>
      </c>
      <c r="F1327" s="19">
        <v>-1</v>
      </c>
    </row>
    <row r="1328" spans="1:6" x14ac:dyDescent="0.25">
      <c r="A1328" s="20">
        <v>45420</v>
      </c>
      <c r="B1328" s="19" t="s">
        <v>83</v>
      </c>
      <c r="C1328" s="19" t="s">
        <v>6</v>
      </c>
      <c r="D1328" s="19" t="s">
        <v>138</v>
      </c>
      <c r="E1328" s="19">
        <v>0</v>
      </c>
      <c r="F1328" s="19">
        <v>-1</v>
      </c>
    </row>
    <row r="1329" spans="1:6" x14ac:dyDescent="0.25">
      <c r="A1329" s="20">
        <v>45420</v>
      </c>
      <c r="B1329" s="19" t="s">
        <v>83</v>
      </c>
      <c r="C1329" s="19" t="s">
        <v>7</v>
      </c>
      <c r="D1329" s="19" t="s">
        <v>138</v>
      </c>
      <c r="E1329" s="19">
        <v>0</v>
      </c>
      <c r="F1329" s="19">
        <v>-1</v>
      </c>
    </row>
    <row r="1330" spans="1:6" x14ac:dyDescent="0.25">
      <c r="A1330" s="20">
        <v>45420</v>
      </c>
      <c r="B1330" s="19" t="s">
        <v>83</v>
      </c>
      <c r="C1330" s="19" t="s">
        <v>8</v>
      </c>
      <c r="D1330" s="19" t="s">
        <v>138</v>
      </c>
      <c r="E1330" s="19">
        <v>0</v>
      </c>
      <c r="F1330" s="19">
        <v>-1</v>
      </c>
    </row>
    <row r="1331" spans="1:6" x14ac:dyDescent="0.25">
      <c r="A1331" s="20">
        <v>45420</v>
      </c>
      <c r="B1331" s="19" t="s">
        <v>20</v>
      </c>
      <c r="C1331" s="19" t="s">
        <v>6</v>
      </c>
      <c r="D1331" s="19" t="s">
        <v>138</v>
      </c>
      <c r="E1331" s="19">
        <v>0</v>
      </c>
      <c r="F1331" s="19">
        <v>-1</v>
      </c>
    </row>
    <row r="1332" spans="1:6" x14ac:dyDescent="0.25">
      <c r="A1332" s="20">
        <v>45420</v>
      </c>
      <c r="B1332" s="19" t="s">
        <v>20</v>
      </c>
      <c r="C1332" s="19" t="s">
        <v>7</v>
      </c>
      <c r="D1332" s="19" t="s">
        <v>138</v>
      </c>
      <c r="E1332" s="19">
        <v>0</v>
      </c>
      <c r="F1332" s="19">
        <v>-1</v>
      </c>
    </row>
    <row r="1333" spans="1:6" x14ac:dyDescent="0.25">
      <c r="A1333" s="20">
        <v>45420</v>
      </c>
      <c r="B1333" s="19" t="s">
        <v>20</v>
      </c>
      <c r="C1333" s="19" t="s">
        <v>8</v>
      </c>
      <c r="D1333" s="19" t="s">
        <v>138</v>
      </c>
      <c r="E1333" s="19">
        <v>0</v>
      </c>
      <c r="F1333" s="19">
        <v>-1</v>
      </c>
    </row>
    <row r="1334" spans="1:6" x14ac:dyDescent="0.25">
      <c r="A1334" s="20">
        <v>45420</v>
      </c>
      <c r="B1334" s="19" t="s">
        <v>21</v>
      </c>
      <c r="C1334" s="19" t="s">
        <v>6</v>
      </c>
      <c r="D1334" s="19" t="s">
        <v>138</v>
      </c>
      <c r="E1334" s="19">
        <v>0</v>
      </c>
      <c r="F1334" s="19">
        <v>-1</v>
      </c>
    </row>
    <row r="1335" spans="1:6" x14ac:dyDescent="0.25">
      <c r="A1335" s="20">
        <v>45420</v>
      </c>
      <c r="B1335" s="19" t="s">
        <v>21</v>
      </c>
      <c r="C1335" s="19" t="s">
        <v>7</v>
      </c>
      <c r="D1335" s="19" t="s">
        <v>138</v>
      </c>
      <c r="E1335" s="19">
        <v>0</v>
      </c>
      <c r="F1335" s="19">
        <v>-1</v>
      </c>
    </row>
    <row r="1336" spans="1:6" x14ac:dyDescent="0.25">
      <c r="A1336" s="20">
        <v>45420</v>
      </c>
      <c r="B1336" s="19" t="s">
        <v>21</v>
      </c>
      <c r="C1336" s="19" t="s">
        <v>8</v>
      </c>
      <c r="D1336" s="19" t="s">
        <v>138</v>
      </c>
      <c r="E1336" s="19">
        <v>0</v>
      </c>
      <c r="F1336" s="19">
        <v>-1</v>
      </c>
    </row>
    <row r="1337" spans="1:6" x14ac:dyDescent="0.25">
      <c r="A1337" s="20">
        <v>45420</v>
      </c>
      <c r="B1337" s="19" t="s">
        <v>22</v>
      </c>
      <c r="C1337" s="19" t="s">
        <v>6</v>
      </c>
      <c r="D1337" s="19" t="s">
        <v>138</v>
      </c>
      <c r="E1337" s="19">
        <v>0</v>
      </c>
      <c r="F1337" s="19">
        <v>-1</v>
      </c>
    </row>
    <row r="1338" spans="1:6" x14ac:dyDescent="0.25">
      <c r="A1338" s="20">
        <v>45420</v>
      </c>
      <c r="B1338" s="19" t="s">
        <v>22</v>
      </c>
      <c r="C1338" s="19" t="s">
        <v>7</v>
      </c>
      <c r="D1338" s="19" t="s">
        <v>138</v>
      </c>
      <c r="E1338" s="19">
        <v>0</v>
      </c>
      <c r="F1338" s="19">
        <v>-1</v>
      </c>
    </row>
    <row r="1339" spans="1:6" x14ac:dyDescent="0.25">
      <c r="A1339" s="20">
        <v>45420</v>
      </c>
      <c r="B1339" s="19" t="s">
        <v>22</v>
      </c>
      <c r="C1339" s="19" t="s">
        <v>8</v>
      </c>
      <c r="D1339" s="19" t="s">
        <v>138</v>
      </c>
      <c r="E1339" s="19">
        <v>0</v>
      </c>
      <c r="F1339" s="19">
        <v>-1</v>
      </c>
    </row>
    <row r="1340" spans="1:6" x14ac:dyDescent="0.25">
      <c r="A1340" s="20">
        <v>45420</v>
      </c>
      <c r="B1340" s="19" t="s">
        <v>77</v>
      </c>
      <c r="C1340" s="19" t="s">
        <v>6</v>
      </c>
      <c r="D1340" s="19" t="s">
        <v>138</v>
      </c>
      <c r="E1340" s="19">
        <v>0</v>
      </c>
      <c r="F1340" s="19">
        <v>-1</v>
      </c>
    </row>
    <row r="1341" spans="1:6" x14ac:dyDescent="0.25">
      <c r="A1341" s="20">
        <v>45420</v>
      </c>
      <c r="B1341" s="19" t="s">
        <v>77</v>
      </c>
      <c r="C1341" s="19" t="s">
        <v>7</v>
      </c>
      <c r="D1341" s="19" t="s">
        <v>138</v>
      </c>
      <c r="E1341" s="19">
        <v>0</v>
      </c>
      <c r="F1341" s="19">
        <v>-1</v>
      </c>
    </row>
    <row r="1342" spans="1:6" x14ac:dyDescent="0.25">
      <c r="A1342" s="20">
        <v>45420</v>
      </c>
      <c r="B1342" s="19" t="s">
        <v>77</v>
      </c>
      <c r="C1342" s="19" t="s">
        <v>8</v>
      </c>
      <c r="D1342" s="19" t="s">
        <v>138</v>
      </c>
      <c r="E1342" s="19">
        <v>0</v>
      </c>
      <c r="F1342" s="19">
        <v>-1</v>
      </c>
    </row>
    <row r="1343" spans="1:6" x14ac:dyDescent="0.25">
      <c r="A1343" s="20">
        <v>45420</v>
      </c>
      <c r="B1343" s="19" t="s">
        <v>23</v>
      </c>
      <c r="C1343" s="19" t="s">
        <v>6</v>
      </c>
      <c r="D1343" s="19" t="s">
        <v>138</v>
      </c>
      <c r="E1343" s="19">
        <v>0</v>
      </c>
      <c r="F1343" s="19">
        <v>-1</v>
      </c>
    </row>
    <row r="1344" spans="1:6" x14ac:dyDescent="0.25">
      <c r="A1344" s="20">
        <v>45420</v>
      </c>
      <c r="B1344" s="19" t="s">
        <v>23</v>
      </c>
      <c r="C1344" s="19" t="s">
        <v>7</v>
      </c>
      <c r="D1344" s="19" t="s">
        <v>138</v>
      </c>
      <c r="E1344" s="19">
        <v>0</v>
      </c>
      <c r="F1344" s="19">
        <v>-1</v>
      </c>
    </row>
    <row r="1345" spans="1:6" x14ac:dyDescent="0.25">
      <c r="A1345" s="20">
        <v>45420</v>
      </c>
      <c r="B1345" s="19" t="s">
        <v>23</v>
      </c>
      <c r="C1345" s="19" t="s">
        <v>8</v>
      </c>
      <c r="D1345" s="19" t="s">
        <v>138</v>
      </c>
      <c r="E1345" s="19">
        <v>0</v>
      </c>
      <c r="F1345" s="19">
        <v>-1</v>
      </c>
    </row>
    <row r="1346" spans="1:6" x14ac:dyDescent="0.25">
      <c r="A1346" s="20">
        <v>45420</v>
      </c>
      <c r="B1346" s="19" t="s">
        <v>24</v>
      </c>
      <c r="C1346" s="19" t="s">
        <v>6</v>
      </c>
      <c r="D1346" s="19" t="s">
        <v>138</v>
      </c>
      <c r="E1346" s="19">
        <v>0</v>
      </c>
      <c r="F1346" s="19">
        <v>-1</v>
      </c>
    </row>
    <row r="1347" spans="1:6" x14ac:dyDescent="0.25">
      <c r="A1347" s="20">
        <v>45420</v>
      </c>
      <c r="B1347" s="19" t="s">
        <v>24</v>
      </c>
      <c r="C1347" s="19" t="s">
        <v>7</v>
      </c>
      <c r="D1347" s="19" t="s">
        <v>138</v>
      </c>
      <c r="E1347" s="19">
        <v>0</v>
      </c>
      <c r="F1347" s="19">
        <v>-1</v>
      </c>
    </row>
    <row r="1348" spans="1:6" x14ac:dyDescent="0.25">
      <c r="A1348" s="20">
        <v>45420</v>
      </c>
      <c r="B1348" s="19" t="s">
        <v>24</v>
      </c>
      <c r="C1348" s="19" t="s">
        <v>8</v>
      </c>
      <c r="D1348" s="19" t="s">
        <v>138</v>
      </c>
      <c r="E1348" s="19">
        <v>0</v>
      </c>
      <c r="F1348" s="19">
        <v>-1</v>
      </c>
    </row>
    <row r="1349" spans="1:6" x14ac:dyDescent="0.25">
      <c r="A1349" s="20">
        <v>45420</v>
      </c>
      <c r="B1349" s="19" t="s">
        <v>75</v>
      </c>
      <c r="C1349" s="19" t="s">
        <v>6</v>
      </c>
      <c r="D1349" s="19" t="s">
        <v>138</v>
      </c>
      <c r="E1349" s="19">
        <v>0</v>
      </c>
      <c r="F1349" s="19">
        <v>-1</v>
      </c>
    </row>
    <row r="1350" spans="1:6" x14ac:dyDescent="0.25">
      <c r="A1350" s="20">
        <v>45420</v>
      </c>
      <c r="B1350" s="19" t="s">
        <v>75</v>
      </c>
      <c r="C1350" s="19" t="s">
        <v>7</v>
      </c>
      <c r="D1350" s="19" t="s">
        <v>138</v>
      </c>
      <c r="E1350" s="19">
        <v>0</v>
      </c>
      <c r="F1350" s="19">
        <v>-1</v>
      </c>
    </row>
    <row r="1351" spans="1:6" x14ac:dyDescent="0.25">
      <c r="A1351" s="20">
        <v>45420</v>
      </c>
      <c r="B1351" s="19" t="s">
        <v>75</v>
      </c>
      <c r="C1351" s="19" t="s">
        <v>8</v>
      </c>
      <c r="D1351" s="19" t="s">
        <v>138</v>
      </c>
      <c r="E1351" s="19">
        <v>0</v>
      </c>
      <c r="F1351" s="19">
        <v>-1</v>
      </c>
    </row>
    <row r="1352" spans="1:6" x14ac:dyDescent="0.25">
      <c r="A1352" s="20">
        <v>45420</v>
      </c>
      <c r="B1352" s="19" t="s">
        <v>25</v>
      </c>
      <c r="C1352" s="19" t="s">
        <v>6</v>
      </c>
      <c r="D1352" s="19" t="s">
        <v>138</v>
      </c>
      <c r="E1352" s="19">
        <v>0</v>
      </c>
      <c r="F1352" s="19">
        <v>-1</v>
      </c>
    </row>
    <row r="1353" spans="1:6" x14ac:dyDescent="0.25">
      <c r="A1353" s="20">
        <v>45420</v>
      </c>
      <c r="B1353" s="19" t="s">
        <v>25</v>
      </c>
      <c r="C1353" s="19" t="s">
        <v>7</v>
      </c>
      <c r="D1353" s="19" t="s">
        <v>138</v>
      </c>
      <c r="E1353" s="19">
        <v>0</v>
      </c>
      <c r="F1353" s="19">
        <v>-1</v>
      </c>
    </row>
    <row r="1354" spans="1:6" x14ac:dyDescent="0.25">
      <c r="A1354" s="20">
        <v>45420</v>
      </c>
      <c r="B1354" s="19" t="s">
        <v>25</v>
      </c>
      <c r="C1354" s="19" t="s">
        <v>8</v>
      </c>
      <c r="D1354" s="19" t="s">
        <v>138</v>
      </c>
      <c r="E1354" s="19">
        <v>0</v>
      </c>
      <c r="F1354" s="19">
        <v>-1</v>
      </c>
    </row>
    <row r="1355" spans="1:6" x14ac:dyDescent="0.25">
      <c r="A1355" s="20">
        <v>45420</v>
      </c>
      <c r="B1355" s="19" t="s">
        <v>74</v>
      </c>
      <c r="C1355" s="19" t="s">
        <v>6</v>
      </c>
      <c r="D1355" s="19" t="s">
        <v>139</v>
      </c>
      <c r="E1355" s="19">
        <v>1300</v>
      </c>
      <c r="F1355" s="19">
        <v>-1</v>
      </c>
    </row>
    <row r="1356" spans="1:6" x14ac:dyDescent="0.25">
      <c r="A1356" s="20">
        <v>45420</v>
      </c>
      <c r="B1356" s="19" t="s">
        <v>74</v>
      </c>
      <c r="C1356" s="19" t="s">
        <v>7</v>
      </c>
      <c r="D1356" s="19" t="s">
        <v>139</v>
      </c>
      <c r="E1356" s="19">
        <v>1940</v>
      </c>
      <c r="F1356" s="19">
        <v>-1</v>
      </c>
    </row>
    <row r="1357" spans="1:6" x14ac:dyDescent="0.25">
      <c r="A1357" s="20">
        <v>45420</v>
      </c>
      <c r="B1357" s="19" t="s">
        <v>74</v>
      </c>
      <c r="C1357" s="19" t="s">
        <v>8</v>
      </c>
      <c r="D1357" s="19" t="s">
        <v>139</v>
      </c>
      <c r="E1357" s="19">
        <v>1731</v>
      </c>
      <c r="F1357" s="19">
        <v>-1</v>
      </c>
    </row>
    <row r="1358" spans="1:6" x14ac:dyDescent="0.25">
      <c r="A1358" s="20">
        <v>45420</v>
      </c>
      <c r="B1358" s="19" t="s">
        <v>26</v>
      </c>
      <c r="C1358" s="19" t="s">
        <v>6</v>
      </c>
      <c r="D1358" s="19" t="s">
        <v>138</v>
      </c>
      <c r="E1358" s="19">
        <v>0</v>
      </c>
      <c r="F1358" s="19">
        <v>-1</v>
      </c>
    </row>
    <row r="1359" spans="1:6" x14ac:dyDescent="0.25">
      <c r="A1359" s="20">
        <v>45420</v>
      </c>
      <c r="B1359" s="19" t="s">
        <v>26</v>
      </c>
      <c r="C1359" s="19" t="s">
        <v>7</v>
      </c>
      <c r="D1359" s="19" t="s">
        <v>138</v>
      </c>
      <c r="E1359" s="19">
        <v>0</v>
      </c>
      <c r="F1359" s="19">
        <v>-1</v>
      </c>
    </row>
    <row r="1360" spans="1:6" x14ac:dyDescent="0.25">
      <c r="A1360" s="20">
        <v>45420</v>
      </c>
      <c r="B1360" s="19" t="s">
        <v>26</v>
      </c>
      <c r="C1360" s="19" t="s">
        <v>8</v>
      </c>
      <c r="D1360" s="19" t="s">
        <v>138</v>
      </c>
      <c r="E1360" s="19">
        <v>0</v>
      </c>
      <c r="F1360" s="19">
        <v>-1</v>
      </c>
    </row>
    <row r="1361" spans="1:6" x14ac:dyDescent="0.25">
      <c r="A1361" s="20">
        <v>45420</v>
      </c>
      <c r="B1361" s="19" t="s">
        <v>27</v>
      </c>
      <c r="C1361" s="19" t="s">
        <v>6</v>
      </c>
      <c r="D1361" s="19" t="s">
        <v>139</v>
      </c>
      <c r="E1361" s="19">
        <v>1975</v>
      </c>
      <c r="F1361" s="19">
        <v>-1</v>
      </c>
    </row>
    <row r="1362" spans="1:6" x14ac:dyDescent="0.25">
      <c r="A1362" s="20">
        <v>45420</v>
      </c>
      <c r="B1362" s="19" t="s">
        <v>27</v>
      </c>
      <c r="C1362" s="19" t="s">
        <v>7</v>
      </c>
      <c r="D1362" s="19" t="s">
        <v>139</v>
      </c>
      <c r="E1362" s="19">
        <v>2200</v>
      </c>
      <c r="F1362" s="19">
        <v>-1</v>
      </c>
    </row>
    <row r="1363" spans="1:6" x14ac:dyDescent="0.25">
      <c r="A1363" s="20">
        <v>45420</v>
      </c>
      <c r="B1363" s="19" t="s">
        <v>27</v>
      </c>
      <c r="C1363" s="19" t="s">
        <v>8</v>
      </c>
      <c r="D1363" s="19" t="s">
        <v>139</v>
      </c>
      <c r="E1363" s="19">
        <v>2013</v>
      </c>
      <c r="F1363" s="19">
        <v>-1</v>
      </c>
    </row>
    <row r="1364" spans="1:6" x14ac:dyDescent="0.25">
      <c r="A1364" s="20">
        <v>45420</v>
      </c>
      <c r="B1364" s="19" t="s">
        <v>28</v>
      </c>
      <c r="C1364" s="19" t="s">
        <v>6</v>
      </c>
      <c r="D1364" s="19" t="s">
        <v>139</v>
      </c>
      <c r="E1364" s="19">
        <v>2024</v>
      </c>
      <c r="F1364" s="19">
        <v>-1</v>
      </c>
    </row>
    <row r="1365" spans="1:6" x14ac:dyDescent="0.25">
      <c r="A1365" s="20">
        <v>45420</v>
      </c>
      <c r="B1365" s="19" t="s">
        <v>28</v>
      </c>
      <c r="C1365" s="19" t="s">
        <v>7</v>
      </c>
      <c r="D1365" s="19" t="s">
        <v>139</v>
      </c>
      <c r="E1365" s="19">
        <v>2240</v>
      </c>
      <c r="F1365" s="19">
        <v>-1</v>
      </c>
    </row>
    <row r="1366" spans="1:6" x14ac:dyDescent="0.25">
      <c r="A1366" s="20">
        <v>45420</v>
      </c>
      <c r="B1366" s="19" t="s">
        <v>28</v>
      </c>
      <c r="C1366" s="19" t="s">
        <v>8</v>
      </c>
      <c r="D1366" s="19" t="s">
        <v>139</v>
      </c>
      <c r="E1366" s="19">
        <v>2024</v>
      </c>
      <c r="F1366" s="19">
        <v>-1</v>
      </c>
    </row>
    <row r="1367" spans="1:6" x14ac:dyDescent="0.25">
      <c r="A1367" s="20">
        <v>45420</v>
      </c>
      <c r="B1367" s="19" t="s">
        <v>72</v>
      </c>
      <c r="C1367" s="19" t="s">
        <v>6</v>
      </c>
      <c r="D1367" s="19" t="s">
        <v>138</v>
      </c>
      <c r="E1367" s="19">
        <v>0</v>
      </c>
      <c r="F1367" s="19">
        <v>-1</v>
      </c>
    </row>
    <row r="1368" spans="1:6" x14ac:dyDescent="0.25">
      <c r="A1368" s="20">
        <v>45420</v>
      </c>
      <c r="B1368" s="19" t="s">
        <v>72</v>
      </c>
      <c r="C1368" s="19" t="s">
        <v>7</v>
      </c>
      <c r="D1368" s="19" t="s">
        <v>138</v>
      </c>
      <c r="E1368" s="19">
        <v>0</v>
      </c>
      <c r="F1368" s="19">
        <v>-1</v>
      </c>
    </row>
    <row r="1369" spans="1:6" x14ac:dyDescent="0.25">
      <c r="A1369" s="20">
        <v>45420</v>
      </c>
      <c r="B1369" s="19" t="s">
        <v>72</v>
      </c>
      <c r="C1369" s="19" t="s">
        <v>8</v>
      </c>
      <c r="D1369" s="19" t="s">
        <v>138</v>
      </c>
      <c r="E1369" s="19">
        <v>0</v>
      </c>
      <c r="F1369" s="19">
        <v>-1</v>
      </c>
    </row>
    <row r="1370" spans="1:6" x14ac:dyDescent="0.25">
      <c r="A1370" s="20">
        <v>45420</v>
      </c>
      <c r="B1370" s="19" t="s">
        <v>29</v>
      </c>
      <c r="C1370" s="19" t="s">
        <v>6</v>
      </c>
      <c r="D1370" s="19" t="s">
        <v>139</v>
      </c>
      <c r="E1370" s="19">
        <v>1946</v>
      </c>
      <c r="F1370" s="19">
        <v>-1</v>
      </c>
    </row>
    <row r="1371" spans="1:6" x14ac:dyDescent="0.25">
      <c r="A1371" s="20">
        <v>45420</v>
      </c>
      <c r="B1371" s="19" t="s">
        <v>29</v>
      </c>
      <c r="C1371" s="19" t="s">
        <v>7</v>
      </c>
      <c r="D1371" s="19" t="s">
        <v>139</v>
      </c>
      <c r="E1371" s="19">
        <v>2131</v>
      </c>
      <c r="F1371" s="19">
        <v>-1</v>
      </c>
    </row>
    <row r="1372" spans="1:6" x14ac:dyDescent="0.25">
      <c r="A1372" s="20">
        <v>45420</v>
      </c>
      <c r="B1372" s="19" t="s">
        <v>29</v>
      </c>
      <c r="C1372" s="19" t="s">
        <v>8</v>
      </c>
      <c r="D1372" s="19" t="s">
        <v>139</v>
      </c>
      <c r="E1372" s="19">
        <v>1945</v>
      </c>
      <c r="F1372" s="19">
        <v>-1</v>
      </c>
    </row>
    <row r="1373" spans="1:6" x14ac:dyDescent="0.25">
      <c r="A1373" s="20">
        <v>45420</v>
      </c>
      <c r="B1373" s="19" t="s">
        <v>30</v>
      </c>
      <c r="C1373" s="19" t="s">
        <v>6</v>
      </c>
      <c r="D1373" s="19" t="s">
        <v>138</v>
      </c>
      <c r="E1373" s="19">
        <v>0</v>
      </c>
      <c r="F1373" s="19">
        <v>-1</v>
      </c>
    </row>
    <row r="1374" spans="1:6" x14ac:dyDescent="0.25">
      <c r="A1374" s="20">
        <v>45420</v>
      </c>
      <c r="B1374" s="19" t="s">
        <v>30</v>
      </c>
      <c r="C1374" s="19" t="s">
        <v>7</v>
      </c>
      <c r="D1374" s="19" t="s">
        <v>138</v>
      </c>
      <c r="E1374" s="19">
        <v>0</v>
      </c>
      <c r="F1374" s="19">
        <v>-1</v>
      </c>
    </row>
    <row r="1375" spans="1:6" x14ac:dyDescent="0.25">
      <c r="A1375" s="20">
        <v>45420</v>
      </c>
      <c r="B1375" s="19" t="s">
        <v>30</v>
      </c>
      <c r="C1375" s="19" t="s">
        <v>8</v>
      </c>
      <c r="D1375" s="19" t="s">
        <v>138</v>
      </c>
      <c r="E1375" s="19">
        <v>0</v>
      </c>
      <c r="F1375" s="19">
        <v>-1</v>
      </c>
    </row>
    <row r="1376" spans="1:6" x14ac:dyDescent="0.25">
      <c r="A1376" s="20">
        <v>45420</v>
      </c>
      <c r="B1376" s="19" t="s">
        <v>31</v>
      </c>
      <c r="C1376" s="19" t="s">
        <v>6</v>
      </c>
      <c r="D1376" s="19" t="s">
        <v>138</v>
      </c>
      <c r="E1376" s="19">
        <v>0</v>
      </c>
      <c r="F1376" s="19">
        <v>-1</v>
      </c>
    </row>
    <row r="1377" spans="1:6" x14ac:dyDescent="0.25">
      <c r="A1377" s="20">
        <v>45420</v>
      </c>
      <c r="B1377" s="19" t="s">
        <v>31</v>
      </c>
      <c r="C1377" s="19" t="s">
        <v>7</v>
      </c>
      <c r="D1377" s="19" t="s">
        <v>138</v>
      </c>
      <c r="E1377" s="19">
        <v>0</v>
      </c>
      <c r="F1377" s="19">
        <v>-1</v>
      </c>
    </row>
    <row r="1378" spans="1:6" x14ac:dyDescent="0.25">
      <c r="A1378" s="20">
        <v>45420</v>
      </c>
      <c r="B1378" s="19" t="s">
        <v>31</v>
      </c>
      <c r="C1378" s="19" t="s">
        <v>8</v>
      </c>
      <c r="D1378" s="19" t="s">
        <v>138</v>
      </c>
      <c r="E1378" s="19">
        <v>0</v>
      </c>
      <c r="F1378" s="19">
        <v>-1</v>
      </c>
    </row>
    <row r="1379" spans="1:6" x14ac:dyDescent="0.25">
      <c r="A1379" s="20">
        <v>45420</v>
      </c>
      <c r="B1379" s="19" t="s">
        <v>32</v>
      </c>
      <c r="C1379" s="19" t="s">
        <v>6</v>
      </c>
      <c r="D1379" s="19" t="s">
        <v>138</v>
      </c>
      <c r="E1379" s="19">
        <v>0</v>
      </c>
      <c r="F1379" s="19">
        <v>-1</v>
      </c>
    </row>
    <row r="1380" spans="1:6" x14ac:dyDescent="0.25">
      <c r="A1380" s="20">
        <v>45420</v>
      </c>
      <c r="B1380" s="19" t="s">
        <v>32</v>
      </c>
      <c r="C1380" s="19" t="s">
        <v>7</v>
      </c>
      <c r="D1380" s="19" t="s">
        <v>138</v>
      </c>
      <c r="E1380" s="19">
        <v>0</v>
      </c>
      <c r="F1380" s="19">
        <v>-1</v>
      </c>
    </row>
    <row r="1381" spans="1:6" x14ac:dyDescent="0.25">
      <c r="A1381" s="20">
        <v>45420</v>
      </c>
      <c r="B1381" s="19" t="s">
        <v>32</v>
      </c>
      <c r="C1381" s="19" t="s">
        <v>8</v>
      </c>
      <c r="D1381" s="19" t="s">
        <v>138</v>
      </c>
      <c r="E1381" s="19">
        <v>0</v>
      </c>
      <c r="F1381" s="19">
        <v>-1</v>
      </c>
    </row>
    <row r="1382" spans="1:6" x14ac:dyDescent="0.25">
      <c r="A1382" s="20">
        <v>45420</v>
      </c>
      <c r="B1382" s="19" t="s">
        <v>67</v>
      </c>
      <c r="C1382" s="19" t="s">
        <v>6</v>
      </c>
      <c r="D1382" s="19" t="s">
        <v>139</v>
      </c>
      <c r="E1382" s="19">
        <v>1980</v>
      </c>
      <c r="F1382" s="19">
        <v>-1</v>
      </c>
    </row>
    <row r="1383" spans="1:6" x14ac:dyDescent="0.25">
      <c r="A1383" s="20">
        <v>45420</v>
      </c>
      <c r="B1383" s="19" t="s">
        <v>67</v>
      </c>
      <c r="C1383" s="19" t="s">
        <v>7</v>
      </c>
      <c r="D1383" s="19" t="s">
        <v>139</v>
      </c>
      <c r="E1383" s="19">
        <v>2185</v>
      </c>
      <c r="F1383" s="19">
        <v>-1</v>
      </c>
    </row>
    <row r="1384" spans="1:6" x14ac:dyDescent="0.25">
      <c r="A1384" s="20">
        <v>45420</v>
      </c>
      <c r="B1384" s="19" t="s">
        <v>67</v>
      </c>
      <c r="C1384" s="19" t="s">
        <v>8</v>
      </c>
      <c r="D1384" s="19" t="s">
        <v>139</v>
      </c>
      <c r="E1384" s="19">
        <v>1979</v>
      </c>
      <c r="F1384" s="19">
        <v>-1</v>
      </c>
    </row>
    <row r="1385" spans="1:6" x14ac:dyDescent="0.25">
      <c r="A1385" s="20">
        <v>45420</v>
      </c>
      <c r="B1385" s="19" t="s">
        <v>33</v>
      </c>
      <c r="C1385" s="19" t="s">
        <v>6</v>
      </c>
      <c r="D1385" s="19" t="s">
        <v>138</v>
      </c>
      <c r="E1385" s="19">
        <v>0</v>
      </c>
      <c r="F1385" s="19">
        <v>-1</v>
      </c>
    </row>
    <row r="1386" spans="1:6" x14ac:dyDescent="0.25">
      <c r="A1386" s="20">
        <v>45420</v>
      </c>
      <c r="B1386" s="19" t="s">
        <v>33</v>
      </c>
      <c r="C1386" s="19" t="s">
        <v>7</v>
      </c>
      <c r="D1386" s="19" t="s">
        <v>138</v>
      </c>
      <c r="E1386" s="19">
        <v>0</v>
      </c>
      <c r="F1386" s="19">
        <v>-1</v>
      </c>
    </row>
    <row r="1387" spans="1:6" x14ac:dyDescent="0.25">
      <c r="A1387" s="20">
        <v>45420</v>
      </c>
      <c r="B1387" s="19" t="s">
        <v>33</v>
      </c>
      <c r="C1387" s="19" t="s">
        <v>8</v>
      </c>
      <c r="D1387" s="19" t="s">
        <v>138</v>
      </c>
      <c r="E1387" s="19">
        <v>0</v>
      </c>
      <c r="F1387" s="19">
        <v>-1</v>
      </c>
    </row>
    <row r="1388" spans="1:6" x14ac:dyDescent="0.25">
      <c r="A1388" s="20">
        <v>45420</v>
      </c>
      <c r="B1388" s="19" t="s">
        <v>34</v>
      </c>
      <c r="C1388" s="19" t="s">
        <v>6</v>
      </c>
      <c r="D1388" s="19" t="s">
        <v>138</v>
      </c>
      <c r="E1388" s="19">
        <v>0</v>
      </c>
      <c r="F1388" s="19">
        <v>-1</v>
      </c>
    </row>
    <row r="1389" spans="1:6" x14ac:dyDescent="0.25">
      <c r="A1389" s="20">
        <v>45420</v>
      </c>
      <c r="B1389" s="19" t="s">
        <v>34</v>
      </c>
      <c r="C1389" s="19" t="s">
        <v>7</v>
      </c>
      <c r="D1389" s="19" t="s">
        <v>138</v>
      </c>
      <c r="E1389" s="19">
        <v>0</v>
      </c>
      <c r="F1389" s="19">
        <v>-1</v>
      </c>
    </row>
    <row r="1390" spans="1:6" x14ac:dyDescent="0.25">
      <c r="A1390" s="20">
        <v>45420</v>
      </c>
      <c r="B1390" s="19" t="s">
        <v>34</v>
      </c>
      <c r="C1390" s="19" t="s">
        <v>8</v>
      </c>
      <c r="D1390" s="19" t="s">
        <v>138</v>
      </c>
      <c r="E1390" s="19">
        <v>0</v>
      </c>
      <c r="F1390" s="19">
        <v>-1</v>
      </c>
    </row>
    <row r="1391" spans="1:6" x14ac:dyDescent="0.25">
      <c r="A1391" s="20">
        <v>45420</v>
      </c>
      <c r="B1391" s="19" t="s">
        <v>35</v>
      </c>
      <c r="C1391" s="19" t="s">
        <v>6</v>
      </c>
      <c r="D1391" s="19" t="s">
        <v>138</v>
      </c>
      <c r="E1391" s="19">
        <v>0</v>
      </c>
      <c r="F1391" s="19">
        <v>-1</v>
      </c>
    </row>
    <row r="1392" spans="1:6" x14ac:dyDescent="0.25">
      <c r="A1392" s="20">
        <v>45420</v>
      </c>
      <c r="B1392" s="19" t="s">
        <v>35</v>
      </c>
      <c r="C1392" s="19" t="s">
        <v>7</v>
      </c>
      <c r="D1392" s="19" t="s">
        <v>138</v>
      </c>
      <c r="E1392" s="19">
        <v>0</v>
      </c>
      <c r="F1392" s="19">
        <v>-1</v>
      </c>
    </row>
    <row r="1393" spans="1:6" x14ac:dyDescent="0.25">
      <c r="A1393" s="20">
        <v>45420</v>
      </c>
      <c r="B1393" s="19" t="s">
        <v>35</v>
      </c>
      <c r="C1393" s="19" t="s">
        <v>8</v>
      </c>
      <c r="D1393" s="19" t="s">
        <v>138</v>
      </c>
      <c r="E1393" s="19">
        <v>0</v>
      </c>
      <c r="F1393" s="19">
        <v>-1</v>
      </c>
    </row>
    <row r="1394" spans="1:6" x14ac:dyDescent="0.25">
      <c r="A1394" s="20">
        <v>45420</v>
      </c>
      <c r="B1394" s="19" t="s">
        <v>63</v>
      </c>
      <c r="C1394" s="19" t="s">
        <v>6</v>
      </c>
      <c r="D1394" s="19" t="s">
        <v>138</v>
      </c>
      <c r="E1394" s="19">
        <v>0</v>
      </c>
      <c r="F1394" s="19">
        <v>-1</v>
      </c>
    </row>
    <row r="1395" spans="1:6" x14ac:dyDescent="0.25">
      <c r="A1395" s="20">
        <v>45420</v>
      </c>
      <c r="B1395" s="19" t="s">
        <v>63</v>
      </c>
      <c r="C1395" s="19" t="s">
        <v>7</v>
      </c>
      <c r="D1395" s="19" t="s">
        <v>138</v>
      </c>
      <c r="E1395" s="19">
        <v>0</v>
      </c>
      <c r="F1395" s="19">
        <v>-1</v>
      </c>
    </row>
    <row r="1396" spans="1:6" x14ac:dyDescent="0.25">
      <c r="A1396" s="20">
        <v>45420</v>
      </c>
      <c r="B1396" s="19" t="s">
        <v>63</v>
      </c>
      <c r="C1396" s="19" t="s">
        <v>8</v>
      </c>
      <c r="D1396" s="19" t="s">
        <v>138</v>
      </c>
      <c r="E1396" s="19">
        <v>0</v>
      </c>
      <c r="F1396" s="19">
        <v>-1</v>
      </c>
    </row>
    <row r="1397" spans="1:6" x14ac:dyDescent="0.25">
      <c r="A1397" s="20">
        <v>45420</v>
      </c>
      <c r="B1397" s="19" t="s">
        <v>36</v>
      </c>
      <c r="C1397" s="19" t="s">
        <v>6</v>
      </c>
      <c r="D1397" s="19" t="s">
        <v>139</v>
      </c>
      <c r="E1397" s="19">
        <v>100</v>
      </c>
      <c r="F1397" s="19">
        <v>13.2</v>
      </c>
    </row>
    <row r="1398" spans="1:6" x14ac:dyDescent="0.25">
      <c r="A1398" s="20">
        <v>45420</v>
      </c>
      <c r="B1398" s="19" t="s">
        <v>36</v>
      </c>
      <c r="C1398" s="19" t="s">
        <v>7</v>
      </c>
      <c r="D1398" s="19" t="s">
        <v>139</v>
      </c>
      <c r="E1398" s="19">
        <v>2323</v>
      </c>
      <c r="F1398" s="19">
        <v>13.2</v>
      </c>
    </row>
    <row r="1399" spans="1:6" x14ac:dyDescent="0.25">
      <c r="A1399" s="20">
        <v>45420</v>
      </c>
      <c r="B1399" s="19" t="s">
        <v>36</v>
      </c>
      <c r="C1399" s="19" t="s">
        <v>8</v>
      </c>
      <c r="D1399" s="19" t="s">
        <v>139</v>
      </c>
      <c r="E1399" s="19">
        <v>1577</v>
      </c>
      <c r="F1399" s="19">
        <v>13.2</v>
      </c>
    </row>
    <row r="1400" spans="1:6" x14ac:dyDescent="0.25">
      <c r="A1400" s="20">
        <v>45420</v>
      </c>
      <c r="B1400" s="19" t="s">
        <v>256</v>
      </c>
      <c r="C1400" s="19" t="s">
        <v>6</v>
      </c>
      <c r="D1400" s="19" t="s">
        <v>138</v>
      </c>
      <c r="E1400" s="19">
        <v>0</v>
      </c>
      <c r="F1400" s="19">
        <v>-1</v>
      </c>
    </row>
    <row r="1401" spans="1:6" x14ac:dyDescent="0.25">
      <c r="A1401" s="20">
        <v>45420</v>
      </c>
      <c r="B1401" s="19" t="s">
        <v>256</v>
      </c>
      <c r="C1401" s="19" t="s">
        <v>7</v>
      </c>
      <c r="D1401" s="19" t="s">
        <v>138</v>
      </c>
      <c r="E1401" s="19">
        <v>0</v>
      </c>
      <c r="F1401" s="19">
        <v>-1</v>
      </c>
    </row>
    <row r="1402" spans="1:6" x14ac:dyDescent="0.25">
      <c r="A1402" s="20">
        <v>45420</v>
      </c>
      <c r="B1402" s="19" t="s">
        <v>256</v>
      </c>
      <c r="C1402" s="19" t="s">
        <v>8</v>
      </c>
      <c r="D1402" s="19" t="s">
        <v>138</v>
      </c>
      <c r="E1402" s="19">
        <v>0</v>
      </c>
      <c r="F1402" s="19">
        <v>-1</v>
      </c>
    </row>
    <row r="1403" spans="1:6" x14ac:dyDescent="0.25">
      <c r="A1403" s="20">
        <v>45420</v>
      </c>
      <c r="B1403" s="19" t="s">
        <v>257</v>
      </c>
      <c r="C1403" s="19" t="s">
        <v>6</v>
      </c>
      <c r="D1403" s="19" t="s">
        <v>138</v>
      </c>
      <c r="E1403" s="19">
        <v>0</v>
      </c>
      <c r="F1403" s="19">
        <v>-1</v>
      </c>
    </row>
    <row r="1404" spans="1:6" x14ac:dyDescent="0.25">
      <c r="A1404" s="20">
        <v>45420</v>
      </c>
      <c r="B1404" s="19" t="s">
        <v>257</v>
      </c>
      <c r="C1404" s="19" t="s">
        <v>7</v>
      </c>
      <c r="D1404" s="19" t="s">
        <v>138</v>
      </c>
      <c r="E1404" s="19">
        <v>0</v>
      </c>
      <c r="F1404" s="19">
        <v>-1</v>
      </c>
    </row>
    <row r="1405" spans="1:6" x14ac:dyDescent="0.25">
      <c r="A1405" s="20">
        <v>45420</v>
      </c>
      <c r="B1405" s="19" t="s">
        <v>257</v>
      </c>
      <c r="C1405" s="19" t="s">
        <v>8</v>
      </c>
      <c r="D1405" s="19" t="s">
        <v>138</v>
      </c>
      <c r="E1405" s="19">
        <v>0</v>
      </c>
      <c r="F1405" s="19">
        <v>-1</v>
      </c>
    </row>
    <row r="1406" spans="1:6" x14ac:dyDescent="0.25">
      <c r="A1406" s="20">
        <v>45420</v>
      </c>
      <c r="B1406" s="19" t="s">
        <v>37</v>
      </c>
      <c r="C1406" s="19" t="s">
        <v>6</v>
      </c>
      <c r="D1406" s="19" t="s">
        <v>138</v>
      </c>
      <c r="E1406" s="19">
        <v>0</v>
      </c>
      <c r="F1406" s="19">
        <v>-1</v>
      </c>
    </row>
    <row r="1407" spans="1:6" x14ac:dyDescent="0.25">
      <c r="A1407" s="20">
        <v>45420</v>
      </c>
      <c r="B1407" s="19" t="s">
        <v>37</v>
      </c>
      <c r="C1407" s="19" t="s">
        <v>7</v>
      </c>
      <c r="D1407" s="19" t="s">
        <v>138</v>
      </c>
      <c r="E1407" s="19">
        <v>0</v>
      </c>
      <c r="F1407" s="19">
        <v>-1</v>
      </c>
    </row>
    <row r="1408" spans="1:6" x14ac:dyDescent="0.25">
      <c r="A1408" s="20">
        <v>45420</v>
      </c>
      <c r="B1408" s="19" t="s">
        <v>37</v>
      </c>
      <c r="C1408" s="19" t="s">
        <v>8</v>
      </c>
      <c r="D1408" s="19" t="s">
        <v>138</v>
      </c>
      <c r="E1408" s="19">
        <v>0</v>
      </c>
      <c r="F1408" s="19">
        <v>-1</v>
      </c>
    </row>
    <row r="1409" spans="1:6" x14ac:dyDescent="0.25">
      <c r="A1409" s="20">
        <v>45420</v>
      </c>
      <c r="B1409" s="19" t="s">
        <v>258</v>
      </c>
      <c r="C1409" s="19" t="s">
        <v>6</v>
      </c>
      <c r="D1409" s="19" t="s">
        <v>138</v>
      </c>
      <c r="E1409" s="19">
        <v>0</v>
      </c>
      <c r="F1409" s="19">
        <v>-1</v>
      </c>
    </row>
    <row r="1410" spans="1:6" x14ac:dyDescent="0.25">
      <c r="A1410" s="20">
        <v>45420</v>
      </c>
      <c r="B1410" s="19" t="s">
        <v>258</v>
      </c>
      <c r="C1410" s="19" t="s">
        <v>7</v>
      </c>
      <c r="D1410" s="19" t="s">
        <v>138</v>
      </c>
      <c r="E1410" s="19">
        <v>0</v>
      </c>
      <c r="F1410" s="19">
        <v>-1</v>
      </c>
    </row>
    <row r="1411" spans="1:6" x14ac:dyDescent="0.25">
      <c r="A1411" s="20">
        <v>45420</v>
      </c>
      <c r="B1411" s="19" t="s">
        <v>258</v>
      </c>
      <c r="C1411" s="19" t="s">
        <v>8</v>
      </c>
      <c r="D1411" s="19" t="s">
        <v>138</v>
      </c>
      <c r="E1411" s="19">
        <v>0</v>
      </c>
      <c r="F1411" s="19">
        <v>-1</v>
      </c>
    </row>
    <row r="1412" spans="1:6" x14ac:dyDescent="0.25">
      <c r="A1412" s="20">
        <v>45420</v>
      </c>
      <c r="B1412" s="19" t="s">
        <v>259</v>
      </c>
      <c r="C1412" s="19" t="s">
        <v>6</v>
      </c>
      <c r="D1412" s="19" t="s">
        <v>138</v>
      </c>
      <c r="E1412" s="19">
        <v>0</v>
      </c>
      <c r="F1412" s="19">
        <v>-1</v>
      </c>
    </row>
    <row r="1413" spans="1:6" x14ac:dyDescent="0.25">
      <c r="A1413" s="20">
        <v>45420</v>
      </c>
      <c r="B1413" s="19" t="s">
        <v>259</v>
      </c>
      <c r="C1413" s="19" t="s">
        <v>7</v>
      </c>
      <c r="D1413" s="19" t="s">
        <v>138</v>
      </c>
      <c r="E1413" s="19">
        <v>0</v>
      </c>
      <c r="F1413" s="19">
        <v>-1</v>
      </c>
    </row>
    <row r="1414" spans="1:6" x14ac:dyDescent="0.25">
      <c r="A1414" s="20">
        <v>45420</v>
      </c>
      <c r="B1414" s="19" t="s">
        <v>259</v>
      </c>
      <c r="C1414" s="19" t="s">
        <v>8</v>
      </c>
      <c r="D1414" s="19" t="s">
        <v>138</v>
      </c>
      <c r="E1414" s="19">
        <v>0</v>
      </c>
      <c r="F1414" s="19">
        <v>-1</v>
      </c>
    </row>
    <row r="1415" spans="1:6" x14ac:dyDescent="0.25">
      <c r="A1415" s="20">
        <v>45420</v>
      </c>
      <c r="B1415" s="19" t="s">
        <v>260</v>
      </c>
      <c r="C1415" s="19" t="s">
        <v>6</v>
      </c>
      <c r="D1415" s="19" t="s">
        <v>138</v>
      </c>
      <c r="E1415" s="19">
        <v>0</v>
      </c>
      <c r="F1415" s="19">
        <v>-1</v>
      </c>
    </row>
    <row r="1416" spans="1:6" x14ac:dyDescent="0.25">
      <c r="A1416" s="20">
        <v>45420</v>
      </c>
      <c r="B1416" s="19" t="s">
        <v>260</v>
      </c>
      <c r="C1416" s="19" t="s">
        <v>7</v>
      </c>
      <c r="D1416" s="19" t="s">
        <v>138</v>
      </c>
      <c r="E1416" s="19">
        <v>0</v>
      </c>
      <c r="F1416" s="19">
        <v>-1</v>
      </c>
    </row>
    <row r="1417" spans="1:6" x14ac:dyDescent="0.25">
      <c r="A1417" s="20">
        <v>45420</v>
      </c>
      <c r="B1417" s="19" t="s">
        <v>260</v>
      </c>
      <c r="C1417" s="19" t="s">
        <v>8</v>
      </c>
      <c r="D1417" s="19" t="s">
        <v>138</v>
      </c>
      <c r="E1417" s="19">
        <v>0</v>
      </c>
      <c r="F1417" s="19">
        <v>-1</v>
      </c>
    </row>
    <row r="1418" spans="1:6" x14ac:dyDescent="0.25">
      <c r="A1418" s="20">
        <v>45420</v>
      </c>
      <c r="B1418" s="19" t="s">
        <v>261</v>
      </c>
      <c r="C1418" s="19" t="s">
        <v>6</v>
      </c>
      <c r="D1418" s="19" t="s">
        <v>138</v>
      </c>
      <c r="E1418" s="19">
        <v>0</v>
      </c>
      <c r="F1418" s="19">
        <v>-1</v>
      </c>
    </row>
    <row r="1419" spans="1:6" x14ac:dyDescent="0.25">
      <c r="A1419" s="20">
        <v>45420</v>
      </c>
      <c r="B1419" s="19" t="s">
        <v>261</v>
      </c>
      <c r="C1419" s="19" t="s">
        <v>7</v>
      </c>
      <c r="D1419" s="19" t="s">
        <v>138</v>
      </c>
      <c r="E1419" s="19">
        <v>0</v>
      </c>
      <c r="F1419" s="19">
        <v>-1</v>
      </c>
    </row>
    <row r="1420" spans="1:6" x14ac:dyDescent="0.25">
      <c r="A1420" s="20">
        <v>45420</v>
      </c>
      <c r="B1420" s="19" t="s">
        <v>261</v>
      </c>
      <c r="C1420" s="19" t="s">
        <v>8</v>
      </c>
      <c r="D1420" s="19" t="s">
        <v>138</v>
      </c>
      <c r="E1420" s="19">
        <v>0</v>
      </c>
      <c r="F1420" s="19">
        <v>-1</v>
      </c>
    </row>
    <row r="1421" spans="1:6" x14ac:dyDescent="0.25">
      <c r="A1421" s="20">
        <v>45420</v>
      </c>
      <c r="B1421" s="19" t="s">
        <v>54</v>
      </c>
      <c r="C1421" s="19" t="s">
        <v>6</v>
      </c>
      <c r="D1421" s="19" t="s">
        <v>138</v>
      </c>
      <c r="E1421" s="19">
        <v>0</v>
      </c>
      <c r="F1421" s="19">
        <v>-1</v>
      </c>
    </row>
    <row r="1422" spans="1:6" x14ac:dyDescent="0.25">
      <c r="A1422" s="20">
        <v>45420</v>
      </c>
      <c r="B1422" s="19" t="s">
        <v>54</v>
      </c>
      <c r="C1422" s="19" t="s">
        <v>7</v>
      </c>
      <c r="D1422" s="19" t="s">
        <v>138</v>
      </c>
      <c r="E1422" s="19">
        <v>0</v>
      </c>
      <c r="F1422" s="19">
        <v>-1</v>
      </c>
    </row>
    <row r="1423" spans="1:6" x14ac:dyDescent="0.25">
      <c r="A1423" s="20">
        <v>45420</v>
      </c>
      <c r="B1423" s="19" t="s">
        <v>54</v>
      </c>
      <c r="C1423" s="19" t="s">
        <v>8</v>
      </c>
      <c r="D1423" s="19" t="s">
        <v>138</v>
      </c>
      <c r="E1423" s="19">
        <v>0</v>
      </c>
      <c r="F1423" s="19">
        <v>-1</v>
      </c>
    </row>
    <row r="1424" spans="1:6" x14ac:dyDescent="0.25">
      <c r="A1424" s="20">
        <v>45421</v>
      </c>
      <c r="B1424" s="19" t="s">
        <v>136</v>
      </c>
      <c r="C1424" s="19" t="s">
        <v>6</v>
      </c>
      <c r="D1424" s="19" t="s">
        <v>138</v>
      </c>
      <c r="E1424" s="19">
        <v>0</v>
      </c>
      <c r="F1424" s="19">
        <v>-1</v>
      </c>
    </row>
    <row r="1425" spans="1:6" x14ac:dyDescent="0.25">
      <c r="A1425" s="20">
        <v>45421</v>
      </c>
      <c r="B1425" s="19" t="s">
        <v>136</v>
      </c>
      <c r="C1425" s="19" t="s">
        <v>7</v>
      </c>
      <c r="D1425" s="19" t="s">
        <v>138</v>
      </c>
      <c r="E1425" s="19">
        <v>0</v>
      </c>
      <c r="F1425" s="19">
        <v>-1</v>
      </c>
    </row>
    <row r="1426" spans="1:6" x14ac:dyDescent="0.25">
      <c r="A1426" s="20">
        <v>45421</v>
      </c>
      <c r="B1426" s="19" t="s">
        <v>136</v>
      </c>
      <c r="C1426" s="19" t="s">
        <v>8</v>
      </c>
      <c r="D1426" s="19" t="s">
        <v>138</v>
      </c>
      <c r="E1426" s="19">
        <v>0</v>
      </c>
      <c r="F1426" s="19">
        <v>-1</v>
      </c>
    </row>
    <row r="1427" spans="1:6" x14ac:dyDescent="0.25">
      <c r="A1427" s="20">
        <v>45421</v>
      </c>
      <c r="B1427" s="19" t="s">
        <v>135</v>
      </c>
      <c r="C1427" s="19" t="s">
        <v>6</v>
      </c>
      <c r="D1427" s="19" t="s">
        <v>138</v>
      </c>
      <c r="E1427" s="19">
        <v>0</v>
      </c>
      <c r="F1427" s="19">
        <v>-1</v>
      </c>
    </row>
    <row r="1428" spans="1:6" x14ac:dyDescent="0.25">
      <c r="A1428" s="20">
        <v>45421</v>
      </c>
      <c r="B1428" s="19" t="s">
        <v>135</v>
      </c>
      <c r="C1428" s="19" t="s">
        <v>7</v>
      </c>
      <c r="D1428" s="19" t="s">
        <v>138</v>
      </c>
      <c r="E1428" s="19">
        <v>0</v>
      </c>
      <c r="F1428" s="19">
        <v>-1</v>
      </c>
    </row>
    <row r="1429" spans="1:6" x14ac:dyDescent="0.25">
      <c r="A1429" s="20">
        <v>45421</v>
      </c>
      <c r="B1429" s="19" t="s">
        <v>135</v>
      </c>
      <c r="C1429" s="19" t="s">
        <v>8</v>
      </c>
      <c r="D1429" s="19" t="s">
        <v>138</v>
      </c>
      <c r="E1429" s="19">
        <v>0</v>
      </c>
      <c r="F1429" s="19">
        <v>-1</v>
      </c>
    </row>
    <row r="1430" spans="1:6" x14ac:dyDescent="0.25">
      <c r="A1430" s="20">
        <v>45421</v>
      </c>
      <c r="B1430" s="19" t="s">
        <v>134</v>
      </c>
      <c r="C1430" s="19" t="s">
        <v>6</v>
      </c>
      <c r="D1430" s="19" t="s">
        <v>138</v>
      </c>
      <c r="E1430" s="19">
        <v>0</v>
      </c>
      <c r="F1430" s="19">
        <v>-1</v>
      </c>
    </row>
    <row r="1431" spans="1:6" x14ac:dyDescent="0.25">
      <c r="A1431" s="20">
        <v>45421</v>
      </c>
      <c r="B1431" s="19" t="s">
        <v>134</v>
      </c>
      <c r="C1431" s="19" t="s">
        <v>7</v>
      </c>
      <c r="D1431" s="19" t="s">
        <v>138</v>
      </c>
      <c r="E1431" s="19">
        <v>0</v>
      </c>
      <c r="F1431" s="19">
        <v>-1</v>
      </c>
    </row>
    <row r="1432" spans="1:6" x14ac:dyDescent="0.25">
      <c r="A1432" s="20">
        <v>45421</v>
      </c>
      <c r="B1432" s="19" t="s">
        <v>134</v>
      </c>
      <c r="C1432" s="19" t="s">
        <v>8</v>
      </c>
      <c r="D1432" s="19" t="s">
        <v>138</v>
      </c>
      <c r="E1432" s="19">
        <v>0</v>
      </c>
      <c r="F1432" s="19">
        <v>-1</v>
      </c>
    </row>
    <row r="1433" spans="1:6" x14ac:dyDescent="0.25">
      <c r="A1433" s="20">
        <v>45421</v>
      </c>
      <c r="B1433" s="19" t="s">
        <v>132</v>
      </c>
      <c r="C1433" s="19" t="s">
        <v>6</v>
      </c>
      <c r="D1433" s="19" t="s">
        <v>138</v>
      </c>
      <c r="E1433" s="19">
        <v>0</v>
      </c>
      <c r="F1433" s="19">
        <v>-1</v>
      </c>
    </row>
    <row r="1434" spans="1:6" x14ac:dyDescent="0.25">
      <c r="A1434" s="20">
        <v>45421</v>
      </c>
      <c r="B1434" s="19" t="s">
        <v>132</v>
      </c>
      <c r="C1434" s="19" t="s">
        <v>7</v>
      </c>
      <c r="D1434" s="19" t="s">
        <v>138</v>
      </c>
      <c r="E1434" s="19">
        <v>0</v>
      </c>
      <c r="F1434" s="19">
        <v>-1</v>
      </c>
    </row>
    <row r="1435" spans="1:6" x14ac:dyDescent="0.25">
      <c r="A1435" s="20">
        <v>45421</v>
      </c>
      <c r="B1435" s="19" t="s">
        <v>132</v>
      </c>
      <c r="C1435" s="19" t="s">
        <v>8</v>
      </c>
      <c r="D1435" s="19" t="s">
        <v>138</v>
      </c>
      <c r="E1435" s="19">
        <v>0</v>
      </c>
      <c r="F1435" s="19">
        <v>-1</v>
      </c>
    </row>
    <row r="1436" spans="1:6" x14ac:dyDescent="0.25">
      <c r="A1436" s="20">
        <v>45421</v>
      </c>
      <c r="B1436" s="19" t="s">
        <v>131</v>
      </c>
      <c r="C1436" s="19" t="s">
        <v>6</v>
      </c>
      <c r="D1436" s="19" t="s">
        <v>138</v>
      </c>
      <c r="E1436" s="19">
        <v>0</v>
      </c>
      <c r="F1436" s="19">
        <v>-1</v>
      </c>
    </row>
    <row r="1437" spans="1:6" x14ac:dyDescent="0.25">
      <c r="A1437" s="20">
        <v>45421</v>
      </c>
      <c r="B1437" s="19" t="s">
        <v>131</v>
      </c>
      <c r="C1437" s="19" t="s">
        <v>7</v>
      </c>
      <c r="D1437" s="19" t="s">
        <v>138</v>
      </c>
      <c r="E1437" s="19">
        <v>0</v>
      </c>
      <c r="F1437" s="19">
        <v>-1</v>
      </c>
    </row>
    <row r="1438" spans="1:6" x14ac:dyDescent="0.25">
      <c r="A1438" s="20">
        <v>45421</v>
      </c>
      <c r="B1438" s="19" t="s">
        <v>131</v>
      </c>
      <c r="C1438" s="19" t="s">
        <v>8</v>
      </c>
      <c r="D1438" s="19" t="s">
        <v>138</v>
      </c>
      <c r="E1438" s="19">
        <v>0</v>
      </c>
      <c r="F1438" s="19">
        <v>-1</v>
      </c>
    </row>
    <row r="1439" spans="1:6" x14ac:dyDescent="0.25">
      <c r="A1439" s="20">
        <v>45421</v>
      </c>
      <c r="B1439" s="19" t="s">
        <v>130</v>
      </c>
      <c r="C1439" s="19" t="s">
        <v>6</v>
      </c>
      <c r="D1439" s="19" t="s">
        <v>138</v>
      </c>
      <c r="E1439" s="19">
        <v>0</v>
      </c>
      <c r="F1439" s="19">
        <v>-1</v>
      </c>
    </row>
    <row r="1440" spans="1:6" x14ac:dyDescent="0.25">
      <c r="A1440" s="20">
        <v>45421</v>
      </c>
      <c r="B1440" s="19" t="s">
        <v>130</v>
      </c>
      <c r="C1440" s="19" t="s">
        <v>7</v>
      </c>
      <c r="D1440" s="19" t="s">
        <v>138</v>
      </c>
      <c r="E1440" s="19">
        <v>0</v>
      </c>
      <c r="F1440" s="19">
        <v>-1</v>
      </c>
    </row>
    <row r="1441" spans="1:6" x14ac:dyDescent="0.25">
      <c r="A1441" s="20">
        <v>45421</v>
      </c>
      <c r="B1441" s="19" t="s">
        <v>130</v>
      </c>
      <c r="C1441" s="19" t="s">
        <v>8</v>
      </c>
      <c r="D1441" s="19" t="s">
        <v>138</v>
      </c>
      <c r="E1441" s="19">
        <v>0</v>
      </c>
      <c r="F1441" s="19">
        <v>-1</v>
      </c>
    </row>
    <row r="1442" spans="1:6" x14ac:dyDescent="0.25">
      <c r="A1442" s="20">
        <v>45421</v>
      </c>
      <c r="B1442" s="19" t="s">
        <v>128</v>
      </c>
      <c r="C1442" s="19" t="s">
        <v>6</v>
      </c>
      <c r="D1442" s="19" t="s">
        <v>138</v>
      </c>
      <c r="E1442" s="19">
        <v>0</v>
      </c>
      <c r="F1442" s="19">
        <v>-1</v>
      </c>
    </row>
    <row r="1443" spans="1:6" x14ac:dyDescent="0.25">
      <c r="A1443" s="20">
        <v>45421</v>
      </c>
      <c r="B1443" s="19" t="s">
        <v>128</v>
      </c>
      <c r="C1443" s="19" t="s">
        <v>7</v>
      </c>
      <c r="D1443" s="19" t="s">
        <v>138</v>
      </c>
      <c r="E1443" s="19">
        <v>0</v>
      </c>
      <c r="F1443" s="19">
        <v>-1</v>
      </c>
    </row>
    <row r="1444" spans="1:6" x14ac:dyDescent="0.25">
      <c r="A1444" s="20">
        <v>45421</v>
      </c>
      <c r="B1444" s="19" t="s">
        <v>128</v>
      </c>
      <c r="C1444" s="19" t="s">
        <v>8</v>
      </c>
      <c r="D1444" s="19" t="s">
        <v>138</v>
      </c>
      <c r="E1444" s="19">
        <v>0</v>
      </c>
      <c r="F1444" s="19">
        <v>-1</v>
      </c>
    </row>
    <row r="1445" spans="1:6" x14ac:dyDescent="0.25">
      <c r="A1445" s="20">
        <v>45421</v>
      </c>
      <c r="B1445" s="19" t="s">
        <v>40</v>
      </c>
      <c r="C1445" s="19" t="s">
        <v>6</v>
      </c>
      <c r="D1445" s="19" t="s">
        <v>138</v>
      </c>
      <c r="E1445" s="19">
        <v>0</v>
      </c>
      <c r="F1445" s="19">
        <v>-1</v>
      </c>
    </row>
    <row r="1446" spans="1:6" x14ac:dyDescent="0.25">
      <c r="A1446" s="20">
        <v>45421</v>
      </c>
      <c r="B1446" s="19" t="s">
        <v>40</v>
      </c>
      <c r="C1446" s="19" t="s">
        <v>7</v>
      </c>
      <c r="D1446" s="19" t="s">
        <v>138</v>
      </c>
      <c r="E1446" s="19">
        <v>0</v>
      </c>
      <c r="F1446" s="19">
        <v>-1</v>
      </c>
    </row>
    <row r="1447" spans="1:6" x14ac:dyDescent="0.25">
      <c r="A1447" s="20">
        <v>45421</v>
      </c>
      <c r="B1447" s="19" t="s">
        <v>40</v>
      </c>
      <c r="C1447" s="19" t="s">
        <v>8</v>
      </c>
      <c r="D1447" s="19" t="s">
        <v>138</v>
      </c>
      <c r="E1447" s="19">
        <v>0</v>
      </c>
      <c r="F1447" s="19">
        <v>-1</v>
      </c>
    </row>
    <row r="1448" spans="1:6" x14ac:dyDescent="0.25">
      <c r="A1448" s="20">
        <v>45421</v>
      </c>
      <c r="B1448" s="19" t="s">
        <v>127</v>
      </c>
      <c r="C1448" s="19" t="s">
        <v>6</v>
      </c>
      <c r="D1448" s="19" t="s">
        <v>138</v>
      </c>
      <c r="E1448" s="19">
        <v>0</v>
      </c>
      <c r="F1448" s="19">
        <v>-1</v>
      </c>
    </row>
    <row r="1449" spans="1:6" x14ac:dyDescent="0.25">
      <c r="A1449" s="20">
        <v>45421</v>
      </c>
      <c r="B1449" s="19" t="s">
        <v>127</v>
      </c>
      <c r="C1449" s="19" t="s">
        <v>7</v>
      </c>
      <c r="D1449" s="19" t="s">
        <v>138</v>
      </c>
      <c r="E1449" s="19">
        <v>0</v>
      </c>
      <c r="F1449" s="19">
        <v>-1</v>
      </c>
    </row>
    <row r="1450" spans="1:6" x14ac:dyDescent="0.25">
      <c r="A1450" s="20">
        <v>45421</v>
      </c>
      <c r="B1450" s="19" t="s">
        <v>127</v>
      </c>
      <c r="C1450" s="19" t="s">
        <v>8</v>
      </c>
      <c r="D1450" s="19" t="s">
        <v>138</v>
      </c>
      <c r="E1450" s="19">
        <v>0</v>
      </c>
      <c r="F1450" s="19">
        <v>-1</v>
      </c>
    </row>
    <row r="1451" spans="1:6" x14ac:dyDescent="0.25">
      <c r="A1451" s="20">
        <v>45421</v>
      </c>
      <c r="B1451" s="19" t="s">
        <v>124</v>
      </c>
      <c r="C1451" s="19" t="s">
        <v>6</v>
      </c>
      <c r="D1451" s="19" t="s">
        <v>138</v>
      </c>
      <c r="E1451" s="19">
        <v>0</v>
      </c>
      <c r="F1451" s="19">
        <v>-1</v>
      </c>
    </row>
    <row r="1452" spans="1:6" x14ac:dyDescent="0.25">
      <c r="A1452" s="20">
        <v>45421</v>
      </c>
      <c r="B1452" s="19" t="s">
        <v>124</v>
      </c>
      <c r="C1452" s="19" t="s">
        <v>7</v>
      </c>
      <c r="D1452" s="19" t="s">
        <v>138</v>
      </c>
      <c r="E1452" s="19">
        <v>0</v>
      </c>
      <c r="F1452" s="19">
        <v>-1</v>
      </c>
    </row>
    <row r="1453" spans="1:6" x14ac:dyDescent="0.25">
      <c r="A1453" s="20">
        <v>45421</v>
      </c>
      <c r="B1453" s="19" t="s">
        <v>124</v>
      </c>
      <c r="C1453" s="19" t="s">
        <v>8</v>
      </c>
      <c r="D1453" s="19" t="s">
        <v>138</v>
      </c>
      <c r="E1453" s="19">
        <v>0</v>
      </c>
      <c r="F1453" s="19">
        <v>-1</v>
      </c>
    </row>
    <row r="1454" spans="1:6" x14ac:dyDescent="0.25">
      <c r="A1454" s="20">
        <v>45421</v>
      </c>
      <c r="B1454" s="19" t="s">
        <v>122</v>
      </c>
      <c r="C1454" s="19" t="s">
        <v>6</v>
      </c>
      <c r="D1454" s="19" t="s">
        <v>138</v>
      </c>
      <c r="E1454" s="19">
        <v>0</v>
      </c>
      <c r="F1454" s="19">
        <v>-1</v>
      </c>
    </row>
    <row r="1455" spans="1:6" x14ac:dyDescent="0.25">
      <c r="A1455" s="20">
        <v>45421</v>
      </c>
      <c r="B1455" s="19" t="s">
        <v>122</v>
      </c>
      <c r="C1455" s="19" t="s">
        <v>7</v>
      </c>
      <c r="D1455" s="19" t="s">
        <v>138</v>
      </c>
      <c r="E1455" s="19">
        <v>0</v>
      </c>
      <c r="F1455" s="19">
        <v>-1</v>
      </c>
    </row>
    <row r="1456" spans="1:6" x14ac:dyDescent="0.25">
      <c r="A1456" s="20">
        <v>45421</v>
      </c>
      <c r="B1456" s="19" t="s">
        <v>122</v>
      </c>
      <c r="C1456" s="19" t="s">
        <v>8</v>
      </c>
      <c r="D1456" s="19" t="s">
        <v>138</v>
      </c>
      <c r="E1456" s="19">
        <v>0</v>
      </c>
      <c r="F1456" s="19">
        <v>-1</v>
      </c>
    </row>
    <row r="1457" spans="1:6" x14ac:dyDescent="0.25">
      <c r="A1457" s="20">
        <v>45421</v>
      </c>
      <c r="B1457" s="19" t="s">
        <v>120</v>
      </c>
      <c r="C1457" s="19" t="s">
        <v>6</v>
      </c>
      <c r="D1457" s="19" t="s">
        <v>138</v>
      </c>
      <c r="E1457" s="19">
        <v>0</v>
      </c>
      <c r="F1457" s="19">
        <v>-1</v>
      </c>
    </row>
    <row r="1458" spans="1:6" x14ac:dyDescent="0.25">
      <c r="A1458" s="20">
        <v>45421</v>
      </c>
      <c r="B1458" s="19" t="s">
        <v>120</v>
      </c>
      <c r="C1458" s="19" t="s">
        <v>7</v>
      </c>
      <c r="D1458" s="19" t="s">
        <v>138</v>
      </c>
      <c r="E1458" s="19">
        <v>0</v>
      </c>
      <c r="F1458" s="19">
        <v>-1</v>
      </c>
    </row>
    <row r="1459" spans="1:6" x14ac:dyDescent="0.25">
      <c r="A1459" s="20">
        <v>45421</v>
      </c>
      <c r="B1459" s="19" t="s">
        <v>120</v>
      </c>
      <c r="C1459" s="19" t="s">
        <v>8</v>
      </c>
      <c r="D1459" s="19" t="s">
        <v>138</v>
      </c>
      <c r="E1459" s="19">
        <v>0</v>
      </c>
      <c r="F1459" s="19">
        <v>-1</v>
      </c>
    </row>
    <row r="1460" spans="1:6" x14ac:dyDescent="0.25">
      <c r="A1460" s="20">
        <v>45421</v>
      </c>
      <c r="B1460" s="19" t="s">
        <v>119</v>
      </c>
      <c r="C1460" s="19" t="s">
        <v>6</v>
      </c>
      <c r="D1460" s="19" t="s">
        <v>138</v>
      </c>
      <c r="E1460" s="19">
        <v>0</v>
      </c>
      <c r="F1460" s="19">
        <v>-1</v>
      </c>
    </row>
    <row r="1461" spans="1:6" x14ac:dyDescent="0.25">
      <c r="A1461" s="20">
        <v>45421</v>
      </c>
      <c r="B1461" s="19" t="s">
        <v>119</v>
      </c>
      <c r="C1461" s="19" t="s">
        <v>7</v>
      </c>
      <c r="D1461" s="19" t="s">
        <v>138</v>
      </c>
      <c r="E1461" s="19">
        <v>0</v>
      </c>
      <c r="F1461" s="19">
        <v>-1</v>
      </c>
    </row>
    <row r="1462" spans="1:6" x14ac:dyDescent="0.25">
      <c r="A1462" s="20">
        <v>45421</v>
      </c>
      <c r="B1462" s="19" t="s">
        <v>119</v>
      </c>
      <c r="C1462" s="19" t="s">
        <v>8</v>
      </c>
      <c r="D1462" s="19" t="s">
        <v>138</v>
      </c>
      <c r="E1462" s="19">
        <v>0</v>
      </c>
      <c r="F1462" s="19">
        <v>-1</v>
      </c>
    </row>
    <row r="1463" spans="1:6" x14ac:dyDescent="0.25">
      <c r="A1463" s="20">
        <v>45421</v>
      </c>
      <c r="B1463" s="19" t="s">
        <v>117</v>
      </c>
      <c r="C1463" s="19" t="s">
        <v>6</v>
      </c>
      <c r="D1463" s="19" t="s">
        <v>138</v>
      </c>
      <c r="E1463" s="19">
        <v>0</v>
      </c>
      <c r="F1463" s="19">
        <v>-1</v>
      </c>
    </row>
    <row r="1464" spans="1:6" x14ac:dyDescent="0.25">
      <c r="A1464" s="20">
        <v>45421</v>
      </c>
      <c r="B1464" s="19" t="s">
        <v>117</v>
      </c>
      <c r="C1464" s="19" t="s">
        <v>7</v>
      </c>
      <c r="D1464" s="19" t="s">
        <v>138</v>
      </c>
      <c r="E1464" s="19">
        <v>0</v>
      </c>
      <c r="F1464" s="19">
        <v>-1</v>
      </c>
    </row>
    <row r="1465" spans="1:6" x14ac:dyDescent="0.25">
      <c r="A1465" s="20">
        <v>45421</v>
      </c>
      <c r="B1465" s="19" t="s">
        <v>117</v>
      </c>
      <c r="C1465" s="19" t="s">
        <v>8</v>
      </c>
      <c r="D1465" s="19" t="s">
        <v>138</v>
      </c>
      <c r="E1465" s="19">
        <v>0</v>
      </c>
      <c r="F1465" s="19">
        <v>-1</v>
      </c>
    </row>
    <row r="1466" spans="1:6" x14ac:dyDescent="0.25">
      <c r="A1466" s="20">
        <v>45421</v>
      </c>
      <c r="B1466" s="19" t="s">
        <v>39</v>
      </c>
      <c r="C1466" s="19" t="s">
        <v>6</v>
      </c>
      <c r="D1466" s="19" t="s">
        <v>138</v>
      </c>
      <c r="E1466" s="19">
        <v>0</v>
      </c>
      <c r="F1466" s="19">
        <v>-1</v>
      </c>
    </row>
    <row r="1467" spans="1:6" x14ac:dyDescent="0.25">
      <c r="A1467" s="20">
        <v>45421</v>
      </c>
      <c r="B1467" s="19" t="s">
        <v>39</v>
      </c>
      <c r="C1467" s="19" t="s">
        <v>7</v>
      </c>
      <c r="D1467" s="19" t="s">
        <v>138</v>
      </c>
      <c r="E1467" s="19">
        <v>0</v>
      </c>
      <c r="F1467" s="19">
        <v>-1</v>
      </c>
    </row>
    <row r="1468" spans="1:6" x14ac:dyDescent="0.25">
      <c r="A1468" s="20">
        <v>45421</v>
      </c>
      <c r="B1468" s="19" t="s">
        <v>39</v>
      </c>
      <c r="C1468" s="19" t="s">
        <v>8</v>
      </c>
      <c r="D1468" s="19" t="s">
        <v>138</v>
      </c>
      <c r="E1468" s="19">
        <v>0</v>
      </c>
      <c r="F1468" s="19">
        <v>-1</v>
      </c>
    </row>
    <row r="1469" spans="1:6" x14ac:dyDescent="0.25">
      <c r="A1469" s="20">
        <v>45421</v>
      </c>
      <c r="B1469" s="19" t="s">
        <v>113</v>
      </c>
      <c r="C1469" s="19" t="s">
        <v>6</v>
      </c>
      <c r="D1469" s="19" t="s">
        <v>138</v>
      </c>
      <c r="E1469" s="19">
        <v>0</v>
      </c>
      <c r="F1469" s="19">
        <v>-1</v>
      </c>
    </row>
    <row r="1470" spans="1:6" x14ac:dyDescent="0.25">
      <c r="A1470" s="20">
        <v>45421</v>
      </c>
      <c r="B1470" s="19" t="s">
        <v>113</v>
      </c>
      <c r="C1470" s="19" t="s">
        <v>7</v>
      </c>
      <c r="D1470" s="19" t="s">
        <v>138</v>
      </c>
      <c r="E1470" s="19">
        <v>0</v>
      </c>
      <c r="F1470" s="19">
        <v>-1</v>
      </c>
    </row>
    <row r="1471" spans="1:6" x14ac:dyDescent="0.25">
      <c r="A1471" s="20">
        <v>45421</v>
      </c>
      <c r="B1471" s="19" t="s">
        <v>113</v>
      </c>
      <c r="C1471" s="19" t="s">
        <v>8</v>
      </c>
      <c r="D1471" s="19" t="s">
        <v>138</v>
      </c>
      <c r="E1471" s="19">
        <v>0</v>
      </c>
      <c r="F1471" s="19">
        <v>-1</v>
      </c>
    </row>
    <row r="1472" spans="1:6" x14ac:dyDescent="0.25">
      <c r="A1472" s="20">
        <v>45421</v>
      </c>
      <c r="B1472" s="19" t="s">
        <v>111</v>
      </c>
      <c r="C1472" s="19" t="s">
        <v>6</v>
      </c>
      <c r="D1472" s="19" t="s">
        <v>138</v>
      </c>
      <c r="E1472" s="19">
        <v>0</v>
      </c>
      <c r="F1472" s="19">
        <v>-1</v>
      </c>
    </row>
    <row r="1473" spans="1:6" x14ac:dyDescent="0.25">
      <c r="A1473" s="20">
        <v>45421</v>
      </c>
      <c r="B1473" s="19" t="s">
        <v>111</v>
      </c>
      <c r="C1473" s="19" t="s">
        <v>7</v>
      </c>
      <c r="D1473" s="19" t="s">
        <v>138</v>
      </c>
      <c r="E1473" s="19">
        <v>0</v>
      </c>
      <c r="F1473" s="19">
        <v>-1</v>
      </c>
    </row>
    <row r="1474" spans="1:6" x14ac:dyDescent="0.25">
      <c r="A1474" s="20">
        <v>45421</v>
      </c>
      <c r="B1474" s="19" t="s">
        <v>111</v>
      </c>
      <c r="C1474" s="19" t="s">
        <v>8</v>
      </c>
      <c r="D1474" s="19" t="s">
        <v>138</v>
      </c>
      <c r="E1474" s="19">
        <v>0</v>
      </c>
      <c r="F1474" s="19">
        <v>-1</v>
      </c>
    </row>
    <row r="1475" spans="1:6" x14ac:dyDescent="0.25">
      <c r="A1475" s="20">
        <v>45421</v>
      </c>
      <c r="B1475" s="19" t="s">
        <v>109</v>
      </c>
      <c r="C1475" s="19" t="s">
        <v>6</v>
      </c>
      <c r="D1475" s="19" t="s">
        <v>138</v>
      </c>
      <c r="E1475" s="19">
        <v>0</v>
      </c>
      <c r="F1475" s="19">
        <v>-1</v>
      </c>
    </row>
    <row r="1476" spans="1:6" x14ac:dyDescent="0.25">
      <c r="A1476" s="20">
        <v>45421</v>
      </c>
      <c r="B1476" s="19" t="s">
        <v>109</v>
      </c>
      <c r="C1476" s="19" t="s">
        <v>7</v>
      </c>
      <c r="D1476" s="19" t="s">
        <v>138</v>
      </c>
      <c r="E1476" s="19">
        <v>0</v>
      </c>
      <c r="F1476" s="19">
        <v>-1</v>
      </c>
    </row>
    <row r="1477" spans="1:6" x14ac:dyDescent="0.25">
      <c r="A1477" s="20">
        <v>45421</v>
      </c>
      <c r="B1477" s="19" t="s">
        <v>109</v>
      </c>
      <c r="C1477" s="19" t="s">
        <v>8</v>
      </c>
      <c r="D1477" s="19" t="s">
        <v>138</v>
      </c>
      <c r="E1477" s="19">
        <v>0</v>
      </c>
      <c r="F1477" s="19">
        <v>-1</v>
      </c>
    </row>
    <row r="1478" spans="1:6" x14ac:dyDescent="0.25">
      <c r="A1478" s="20">
        <v>45421</v>
      </c>
      <c r="B1478" s="19" t="s">
        <v>107</v>
      </c>
      <c r="C1478" s="19" t="s">
        <v>6</v>
      </c>
      <c r="D1478" s="19" t="s">
        <v>139</v>
      </c>
      <c r="E1478" s="19">
        <v>2292</v>
      </c>
      <c r="F1478" s="19">
        <v>-1</v>
      </c>
    </row>
    <row r="1479" spans="1:6" x14ac:dyDescent="0.25">
      <c r="A1479" s="20">
        <v>45421</v>
      </c>
      <c r="B1479" s="19" t="s">
        <v>107</v>
      </c>
      <c r="C1479" s="19" t="s">
        <v>7</v>
      </c>
      <c r="D1479" s="19" t="s">
        <v>139</v>
      </c>
      <c r="E1479" s="19">
        <v>2241</v>
      </c>
      <c r="F1479" s="19">
        <v>-1</v>
      </c>
    </row>
    <row r="1480" spans="1:6" x14ac:dyDescent="0.25">
      <c r="A1480" s="20">
        <v>45421</v>
      </c>
      <c r="B1480" s="19" t="s">
        <v>107</v>
      </c>
      <c r="C1480" s="19" t="s">
        <v>8</v>
      </c>
      <c r="D1480" s="19" t="s">
        <v>139</v>
      </c>
      <c r="E1480" s="19">
        <v>2254</v>
      </c>
      <c r="F1480" s="19">
        <v>-1</v>
      </c>
    </row>
    <row r="1481" spans="1:6" x14ac:dyDescent="0.25">
      <c r="A1481" s="20">
        <v>45421</v>
      </c>
      <c r="B1481" s="19" t="s">
        <v>41</v>
      </c>
      <c r="C1481" s="19" t="s">
        <v>6</v>
      </c>
      <c r="D1481" s="19" t="s">
        <v>138</v>
      </c>
      <c r="E1481" s="19">
        <v>0</v>
      </c>
      <c r="F1481" s="19">
        <v>-1</v>
      </c>
    </row>
    <row r="1482" spans="1:6" x14ac:dyDescent="0.25">
      <c r="A1482" s="20">
        <v>45421</v>
      </c>
      <c r="B1482" s="19" t="s">
        <v>41</v>
      </c>
      <c r="C1482" s="19" t="s">
        <v>7</v>
      </c>
      <c r="D1482" s="19" t="s">
        <v>138</v>
      </c>
      <c r="E1482" s="19">
        <v>0</v>
      </c>
      <c r="F1482" s="19">
        <v>-1</v>
      </c>
    </row>
    <row r="1483" spans="1:6" x14ac:dyDescent="0.25">
      <c r="A1483" s="20">
        <v>45421</v>
      </c>
      <c r="B1483" s="19" t="s">
        <v>41</v>
      </c>
      <c r="C1483" s="19" t="s">
        <v>8</v>
      </c>
      <c r="D1483" s="19" t="s">
        <v>138</v>
      </c>
      <c r="E1483" s="19">
        <v>0</v>
      </c>
      <c r="F1483" s="19">
        <v>-1</v>
      </c>
    </row>
    <row r="1484" spans="1:6" x14ac:dyDescent="0.25">
      <c r="A1484" s="20">
        <v>45421</v>
      </c>
      <c r="B1484" s="19" t="s">
        <v>43</v>
      </c>
      <c r="C1484" s="19" t="s">
        <v>6</v>
      </c>
      <c r="D1484" s="19" t="s">
        <v>138</v>
      </c>
      <c r="E1484" s="19">
        <v>0</v>
      </c>
      <c r="F1484" s="19">
        <v>-1</v>
      </c>
    </row>
    <row r="1485" spans="1:6" x14ac:dyDescent="0.25">
      <c r="A1485" s="20">
        <v>45421</v>
      </c>
      <c r="B1485" s="19" t="s">
        <v>43</v>
      </c>
      <c r="C1485" s="19" t="s">
        <v>7</v>
      </c>
      <c r="D1485" s="19" t="s">
        <v>138</v>
      </c>
      <c r="E1485" s="19">
        <v>0</v>
      </c>
      <c r="F1485" s="19">
        <v>-1</v>
      </c>
    </row>
    <row r="1486" spans="1:6" x14ac:dyDescent="0.25">
      <c r="A1486" s="20">
        <v>45421</v>
      </c>
      <c r="B1486" s="19" t="s">
        <v>43</v>
      </c>
      <c r="C1486" s="19" t="s">
        <v>8</v>
      </c>
      <c r="D1486" s="19" t="s">
        <v>138</v>
      </c>
      <c r="E1486" s="19">
        <v>0</v>
      </c>
      <c r="F1486" s="19">
        <v>-1</v>
      </c>
    </row>
    <row r="1487" spans="1:6" x14ac:dyDescent="0.25">
      <c r="A1487" s="20">
        <v>45421</v>
      </c>
      <c r="B1487" s="19" t="s">
        <v>5</v>
      </c>
      <c r="C1487" s="19" t="s">
        <v>6</v>
      </c>
      <c r="D1487" s="19" t="s">
        <v>138</v>
      </c>
      <c r="E1487" s="19">
        <v>0</v>
      </c>
      <c r="F1487" s="19">
        <v>-1</v>
      </c>
    </row>
    <row r="1488" spans="1:6" x14ac:dyDescent="0.25">
      <c r="A1488" s="20">
        <v>45421</v>
      </c>
      <c r="B1488" s="19" t="s">
        <v>5</v>
      </c>
      <c r="C1488" s="19" t="s">
        <v>7</v>
      </c>
      <c r="D1488" s="19" t="s">
        <v>138</v>
      </c>
      <c r="E1488" s="19">
        <v>0</v>
      </c>
      <c r="F1488" s="19">
        <v>-1</v>
      </c>
    </row>
    <row r="1489" spans="1:6" x14ac:dyDescent="0.25">
      <c r="A1489" s="20">
        <v>45421</v>
      </c>
      <c r="B1489" s="19" t="s">
        <v>5</v>
      </c>
      <c r="C1489" s="19" t="s">
        <v>8</v>
      </c>
      <c r="D1489" s="19" t="s">
        <v>138</v>
      </c>
      <c r="E1489" s="19">
        <v>0</v>
      </c>
      <c r="F1489" s="19">
        <v>-1</v>
      </c>
    </row>
    <row r="1490" spans="1:6" x14ac:dyDescent="0.25">
      <c r="A1490" s="20">
        <v>45421</v>
      </c>
      <c r="B1490" s="19" t="s">
        <v>9</v>
      </c>
      <c r="C1490" s="19" t="s">
        <v>6</v>
      </c>
      <c r="D1490" s="19" t="s">
        <v>138</v>
      </c>
      <c r="E1490" s="19">
        <v>0</v>
      </c>
      <c r="F1490" s="19">
        <v>-1</v>
      </c>
    </row>
    <row r="1491" spans="1:6" x14ac:dyDescent="0.25">
      <c r="A1491" s="20">
        <v>45421</v>
      </c>
      <c r="B1491" s="19" t="s">
        <v>9</v>
      </c>
      <c r="C1491" s="19" t="s">
        <v>7</v>
      </c>
      <c r="D1491" s="19" t="s">
        <v>138</v>
      </c>
      <c r="E1491" s="19">
        <v>0</v>
      </c>
      <c r="F1491" s="19">
        <v>-1</v>
      </c>
    </row>
    <row r="1492" spans="1:6" x14ac:dyDescent="0.25">
      <c r="A1492" s="20">
        <v>45421</v>
      </c>
      <c r="B1492" s="19" t="s">
        <v>9</v>
      </c>
      <c r="C1492" s="19" t="s">
        <v>8</v>
      </c>
      <c r="D1492" s="19" t="s">
        <v>138</v>
      </c>
      <c r="E1492" s="19">
        <v>0</v>
      </c>
      <c r="F1492" s="19">
        <v>-1</v>
      </c>
    </row>
    <row r="1493" spans="1:6" x14ac:dyDescent="0.25">
      <c r="A1493" s="20">
        <v>45421</v>
      </c>
      <c r="B1493" s="19" t="s">
        <v>10</v>
      </c>
      <c r="C1493" s="19" t="s">
        <v>6</v>
      </c>
      <c r="D1493" s="19" t="s">
        <v>138</v>
      </c>
      <c r="E1493" s="19">
        <v>0</v>
      </c>
      <c r="F1493" s="19">
        <v>-1</v>
      </c>
    </row>
    <row r="1494" spans="1:6" x14ac:dyDescent="0.25">
      <c r="A1494" s="20">
        <v>45421</v>
      </c>
      <c r="B1494" s="19" t="s">
        <v>10</v>
      </c>
      <c r="C1494" s="19" t="s">
        <v>7</v>
      </c>
      <c r="D1494" s="19" t="s">
        <v>138</v>
      </c>
      <c r="E1494" s="19">
        <v>0</v>
      </c>
      <c r="F1494" s="19">
        <v>-1</v>
      </c>
    </row>
    <row r="1495" spans="1:6" x14ac:dyDescent="0.25">
      <c r="A1495" s="20">
        <v>45421</v>
      </c>
      <c r="B1495" s="19" t="s">
        <v>10</v>
      </c>
      <c r="C1495" s="19" t="s">
        <v>8</v>
      </c>
      <c r="D1495" s="19" t="s">
        <v>138</v>
      </c>
      <c r="E1495" s="19">
        <v>0</v>
      </c>
      <c r="F1495" s="19">
        <v>-1</v>
      </c>
    </row>
    <row r="1496" spans="1:6" x14ac:dyDescent="0.25">
      <c r="A1496" s="20">
        <v>45421</v>
      </c>
      <c r="B1496" s="19" t="s">
        <v>11</v>
      </c>
      <c r="C1496" s="19" t="s">
        <v>6</v>
      </c>
      <c r="D1496" s="19" t="s">
        <v>139</v>
      </c>
      <c r="E1496" s="19">
        <v>2467</v>
      </c>
      <c r="F1496" s="19">
        <v>-1</v>
      </c>
    </row>
    <row r="1497" spans="1:6" x14ac:dyDescent="0.25">
      <c r="A1497" s="20">
        <v>45421</v>
      </c>
      <c r="B1497" s="19" t="s">
        <v>11</v>
      </c>
      <c r="C1497" s="19" t="s">
        <v>7</v>
      </c>
      <c r="D1497" s="19" t="s">
        <v>139</v>
      </c>
      <c r="E1497" s="19">
        <v>2612</v>
      </c>
      <c r="F1497" s="19">
        <v>-1</v>
      </c>
    </row>
    <row r="1498" spans="1:6" x14ac:dyDescent="0.25">
      <c r="A1498" s="20">
        <v>45421</v>
      </c>
      <c r="B1498" s="19" t="s">
        <v>11</v>
      </c>
      <c r="C1498" s="19" t="s">
        <v>8</v>
      </c>
      <c r="D1498" s="19" t="s">
        <v>139</v>
      </c>
      <c r="E1498" s="19">
        <v>2500</v>
      </c>
      <c r="F1498" s="19">
        <v>-1</v>
      </c>
    </row>
    <row r="1499" spans="1:6" x14ac:dyDescent="0.25">
      <c r="A1499" s="20">
        <v>45421</v>
      </c>
      <c r="B1499" s="19" t="s">
        <v>12</v>
      </c>
      <c r="C1499" s="19" t="s">
        <v>6</v>
      </c>
      <c r="D1499" s="19" t="s">
        <v>138</v>
      </c>
      <c r="E1499" s="19">
        <v>0</v>
      </c>
      <c r="F1499" s="19">
        <v>-1</v>
      </c>
    </row>
    <row r="1500" spans="1:6" x14ac:dyDescent="0.25">
      <c r="A1500" s="20">
        <v>45421</v>
      </c>
      <c r="B1500" s="19" t="s">
        <v>12</v>
      </c>
      <c r="C1500" s="19" t="s">
        <v>7</v>
      </c>
      <c r="D1500" s="19" t="s">
        <v>138</v>
      </c>
      <c r="E1500" s="19">
        <v>0</v>
      </c>
      <c r="F1500" s="19">
        <v>-1</v>
      </c>
    </row>
    <row r="1501" spans="1:6" x14ac:dyDescent="0.25">
      <c r="A1501" s="20">
        <v>45421</v>
      </c>
      <c r="B1501" s="19" t="s">
        <v>12</v>
      </c>
      <c r="C1501" s="19" t="s">
        <v>8</v>
      </c>
      <c r="D1501" s="19" t="s">
        <v>138</v>
      </c>
      <c r="E1501" s="19">
        <v>0</v>
      </c>
      <c r="F1501" s="19">
        <v>-1</v>
      </c>
    </row>
    <row r="1502" spans="1:6" x14ac:dyDescent="0.25">
      <c r="A1502" s="20">
        <v>45421</v>
      </c>
      <c r="B1502" s="19" t="s">
        <v>105</v>
      </c>
      <c r="C1502" s="19" t="s">
        <v>6</v>
      </c>
      <c r="D1502" s="19" t="s">
        <v>139</v>
      </c>
      <c r="E1502" s="19">
        <v>2279</v>
      </c>
      <c r="F1502" s="19">
        <v>-1</v>
      </c>
    </row>
    <row r="1503" spans="1:6" x14ac:dyDescent="0.25">
      <c r="A1503" s="20">
        <v>45421</v>
      </c>
      <c r="B1503" s="19" t="s">
        <v>105</v>
      </c>
      <c r="C1503" s="19" t="s">
        <v>7</v>
      </c>
      <c r="D1503" s="19" t="s">
        <v>139</v>
      </c>
      <c r="E1503" s="19">
        <v>2440</v>
      </c>
      <c r="F1503" s="19">
        <v>-1</v>
      </c>
    </row>
    <row r="1504" spans="1:6" x14ac:dyDescent="0.25">
      <c r="A1504" s="20">
        <v>45421</v>
      </c>
      <c r="B1504" s="19" t="s">
        <v>105</v>
      </c>
      <c r="C1504" s="19" t="s">
        <v>8</v>
      </c>
      <c r="D1504" s="19" t="s">
        <v>139</v>
      </c>
      <c r="E1504" s="19">
        <v>2320</v>
      </c>
      <c r="F1504" s="19">
        <v>-1</v>
      </c>
    </row>
    <row r="1505" spans="1:6" x14ac:dyDescent="0.25">
      <c r="A1505" s="20">
        <v>45421</v>
      </c>
      <c r="B1505" s="19" t="s">
        <v>104</v>
      </c>
      <c r="C1505" s="19" t="s">
        <v>6</v>
      </c>
      <c r="D1505" s="19" t="s">
        <v>138</v>
      </c>
      <c r="E1505" s="19">
        <v>0</v>
      </c>
      <c r="F1505" s="19">
        <v>-1</v>
      </c>
    </row>
    <row r="1506" spans="1:6" x14ac:dyDescent="0.25">
      <c r="A1506" s="20">
        <v>45421</v>
      </c>
      <c r="B1506" s="19" t="s">
        <v>104</v>
      </c>
      <c r="C1506" s="19" t="s">
        <v>7</v>
      </c>
      <c r="D1506" s="19" t="s">
        <v>138</v>
      </c>
      <c r="E1506" s="19">
        <v>0</v>
      </c>
      <c r="F1506" s="19">
        <v>-1</v>
      </c>
    </row>
    <row r="1507" spans="1:6" x14ac:dyDescent="0.25">
      <c r="A1507" s="20">
        <v>45421</v>
      </c>
      <c r="B1507" s="19" t="s">
        <v>104</v>
      </c>
      <c r="C1507" s="19" t="s">
        <v>8</v>
      </c>
      <c r="D1507" s="19" t="s">
        <v>138</v>
      </c>
      <c r="E1507" s="19">
        <v>0</v>
      </c>
      <c r="F1507" s="19">
        <v>-1</v>
      </c>
    </row>
    <row r="1508" spans="1:6" x14ac:dyDescent="0.25">
      <c r="A1508" s="20">
        <v>45421</v>
      </c>
      <c r="B1508" s="19" t="s">
        <v>13</v>
      </c>
      <c r="C1508" s="19" t="s">
        <v>6</v>
      </c>
      <c r="D1508" s="19" t="s">
        <v>139</v>
      </c>
      <c r="E1508" s="19">
        <v>2076</v>
      </c>
      <c r="F1508" s="19">
        <v>-1</v>
      </c>
    </row>
    <row r="1509" spans="1:6" x14ac:dyDescent="0.25">
      <c r="A1509" s="20">
        <v>45421</v>
      </c>
      <c r="B1509" s="19" t="s">
        <v>13</v>
      </c>
      <c r="C1509" s="19" t="s">
        <v>7</v>
      </c>
      <c r="D1509" s="19" t="s">
        <v>139</v>
      </c>
      <c r="E1509" s="19">
        <v>2324</v>
      </c>
      <c r="F1509" s="19">
        <v>-1</v>
      </c>
    </row>
    <row r="1510" spans="1:6" x14ac:dyDescent="0.25">
      <c r="A1510" s="20">
        <v>45421</v>
      </c>
      <c r="B1510" s="19" t="s">
        <v>13</v>
      </c>
      <c r="C1510" s="19" t="s">
        <v>8</v>
      </c>
      <c r="D1510" s="19" t="s">
        <v>139</v>
      </c>
      <c r="E1510" s="19">
        <v>2190</v>
      </c>
      <c r="F1510" s="19">
        <v>-1</v>
      </c>
    </row>
    <row r="1511" spans="1:6" x14ac:dyDescent="0.25">
      <c r="A1511" s="20">
        <v>45421</v>
      </c>
      <c r="B1511" s="19" t="s">
        <v>103</v>
      </c>
      <c r="C1511" s="19" t="s">
        <v>6</v>
      </c>
      <c r="D1511" s="19" t="s">
        <v>138</v>
      </c>
      <c r="E1511" s="19">
        <v>0</v>
      </c>
      <c r="F1511" s="19">
        <v>-1</v>
      </c>
    </row>
    <row r="1512" spans="1:6" x14ac:dyDescent="0.25">
      <c r="A1512" s="20">
        <v>45421</v>
      </c>
      <c r="B1512" s="19" t="s">
        <v>103</v>
      </c>
      <c r="C1512" s="19" t="s">
        <v>7</v>
      </c>
      <c r="D1512" s="19" t="s">
        <v>138</v>
      </c>
      <c r="E1512" s="19">
        <v>0</v>
      </c>
      <c r="F1512" s="19">
        <v>-1</v>
      </c>
    </row>
    <row r="1513" spans="1:6" x14ac:dyDescent="0.25">
      <c r="A1513" s="20">
        <v>45421</v>
      </c>
      <c r="B1513" s="19" t="s">
        <v>103</v>
      </c>
      <c r="C1513" s="19" t="s">
        <v>8</v>
      </c>
      <c r="D1513" s="19" t="s">
        <v>138</v>
      </c>
      <c r="E1513" s="19">
        <v>0</v>
      </c>
      <c r="F1513" s="19">
        <v>-1</v>
      </c>
    </row>
    <row r="1514" spans="1:6" x14ac:dyDescent="0.25">
      <c r="A1514" s="20">
        <v>45421</v>
      </c>
      <c r="B1514" s="19" t="s">
        <v>101</v>
      </c>
      <c r="C1514" s="19" t="s">
        <v>6</v>
      </c>
      <c r="D1514" s="19" t="s">
        <v>138</v>
      </c>
      <c r="E1514" s="19">
        <v>0</v>
      </c>
      <c r="F1514" s="19">
        <v>-1</v>
      </c>
    </row>
    <row r="1515" spans="1:6" x14ac:dyDescent="0.25">
      <c r="A1515" s="20">
        <v>45421</v>
      </c>
      <c r="B1515" s="19" t="s">
        <v>101</v>
      </c>
      <c r="C1515" s="19" t="s">
        <v>7</v>
      </c>
      <c r="D1515" s="19" t="s">
        <v>138</v>
      </c>
      <c r="E1515" s="19">
        <v>0</v>
      </c>
      <c r="F1515" s="19">
        <v>-1</v>
      </c>
    </row>
    <row r="1516" spans="1:6" x14ac:dyDescent="0.25">
      <c r="A1516" s="20">
        <v>45421</v>
      </c>
      <c r="B1516" s="19" t="s">
        <v>101</v>
      </c>
      <c r="C1516" s="19" t="s">
        <v>8</v>
      </c>
      <c r="D1516" s="19" t="s">
        <v>138</v>
      </c>
      <c r="E1516" s="19">
        <v>0</v>
      </c>
      <c r="F1516" s="19">
        <v>-1</v>
      </c>
    </row>
    <row r="1517" spans="1:6" x14ac:dyDescent="0.25">
      <c r="A1517" s="20">
        <v>45421</v>
      </c>
      <c r="B1517" s="19" t="s">
        <v>99</v>
      </c>
      <c r="C1517" s="19" t="s">
        <v>6</v>
      </c>
      <c r="D1517" s="19" t="s">
        <v>138</v>
      </c>
      <c r="E1517" s="19">
        <v>0</v>
      </c>
      <c r="F1517" s="19">
        <v>-1</v>
      </c>
    </row>
    <row r="1518" spans="1:6" x14ac:dyDescent="0.25">
      <c r="A1518" s="20">
        <v>45421</v>
      </c>
      <c r="B1518" s="19" t="s">
        <v>99</v>
      </c>
      <c r="C1518" s="19" t="s">
        <v>7</v>
      </c>
      <c r="D1518" s="19" t="s">
        <v>138</v>
      </c>
      <c r="E1518" s="19">
        <v>0</v>
      </c>
      <c r="F1518" s="19">
        <v>-1</v>
      </c>
    </row>
    <row r="1519" spans="1:6" x14ac:dyDescent="0.25">
      <c r="A1519" s="20">
        <v>45421</v>
      </c>
      <c r="B1519" s="19" t="s">
        <v>99</v>
      </c>
      <c r="C1519" s="19" t="s">
        <v>8</v>
      </c>
      <c r="D1519" s="19" t="s">
        <v>138</v>
      </c>
      <c r="E1519" s="19">
        <v>0</v>
      </c>
      <c r="F1519" s="19">
        <v>-1</v>
      </c>
    </row>
    <row r="1520" spans="1:6" x14ac:dyDescent="0.25">
      <c r="A1520" s="20">
        <v>45421</v>
      </c>
      <c r="B1520" s="19" t="s">
        <v>97</v>
      </c>
      <c r="C1520" s="19" t="s">
        <v>6</v>
      </c>
      <c r="D1520" s="19" t="s">
        <v>138</v>
      </c>
      <c r="E1520" s="19">
        <v>0</v>
      </c>
      <c r="F1520" s="19">
        <v>-1</v>
      </c>
    </row>
    <row r="1521" spans="1:6" x14ac:dyDescent="0.25">
      <c r="A1521" s="20">
        <v>45421</v>
      </c>
      <c r="B1521" s="19" t="s">
        <v>97</v>
      </c>
      <c r="C1521" s="19" t="s">
        <v>7</v>
      </c>
      <c r="D1521" s="19" t="s">
        <v>138</v>
      </c>
      <c r="E1521" s="19">
        <v>0</v>
      </c>
      <c r="F1521" s="19">
        <v>-1</v>
      </c>
    </row>
    <row r="1522" spans="1:6" x14ac:dyDescent="0.25">
      <c r="A1522" s="20">
        <v>45421</v>
      </c>
      <c r="B1522" s="19" t="s">
        <v>97</v>
      </c>
      <c r="C1522" s="19" t="s">
        <v>8</v>
      </c>
      <c r="D1522" s="19" t="s">
        <v>138</v>
      </c>
      <c r="E1522" s="19">
        <v>0</v>
      </c>
      <c r="F1522" s="19">
        <v>-1</v>
      </c>
    </row>
    <row r="1523" spans="1:6" x14ac:dyDescent="0.25">
      <c r="A1523" s="20">
        <v>45421</v>
      </c>
      <c r="B1523" s="19" t="s">
        <v>95</v>
      </c>
      <c r="C1523" s="19" t="s">
        <v>6</v>
      </c>
      <c r="D1523" s="19" t="s">
        <v>138</v>
      </c>
      <c r="E1523" s="19">
        <v>0</v>
      </c>
      <c r="F1523" s="19">
        <v>-1</v>
      </c>
    </row>
    <row r="1524" spans="1:6" x14ac:dyDescent="0.25">
      <c r="A1524" s="20">
        <v>45421</v>
      </c>
      <c r="B1524" s="19" t="s">
        <v>95</v>
      </c>
      <c r="C1524" s="19" t="s">
        <v>7</v>
      </c>
      <c r="D1524" s="19" t="s">
        <v>138</v>
      </c>
      <c r="E1524" s="19">
        <v>0</v>
      </c>
      <c r="F1524" s="19">
        <v>-1</v>
      </c>
    </row>
    <row r="1525" spans="1:6" x14ac:dyDescent="0.25">
      <c r="A1525" s="20">
        <v>45421</v>
      </c>
      <c r="B1525" s="19" t="s">
        <v>95</v>
      </c>
      <c r="C1525" s="19" t="s">
        <v>8</v>
      </c>
      <c r="D1525" s="19" t="s">
        <v>138</v>
      </c>
      <c r="E1525" s="19">
        <v>0</v>
      </c>
      <c r="F1525" s="19">
        <v>-1</v>
      </c>
    </row>
    <row r="1526" spans="1:6" x14ac:dyDescent="0.25">
      <c r="A1526" s="20">
        <v>45421</v>
      </c>
      <c r="B1526" s="19" t="s">
        <v>14</v>
      </c>
      <c r="C1526" s="19" t="s">
        <v>6</v>
      </c>
      <c r="D1526" s="19" t="s">
        <v>138</v>
      </c>
      <c r="E1526" s="19">
        <v>0</v>
      </c>
      <c r="F1526" s="19">
        <v>-1</v>
      </c>
    </row>
    <row r="1527" spans="1:6" x14ac:dyDescent="0.25">
      <c r="A1527" s="20">
        <v>45421</v>
      </c>
      <c r="B1527" s="19" t="s">
        <v>14</v>
      </c>
      <c r="C1527" s="19" t="s">
        <v>7</v>
      </c>
      <c r="D1527" s="19" t="s">
        <v>138</v>
      </c>
      <c r="E1527" s="19">
        <v>0</v>
      </c>
      <c r="F1527" s="19">
        <v>-1</v>
      </c>
    </row>
    <row r="1528" spans="1:6" x14ac:dyDescent="0.25">
      <c r="A1528" s="20">
        <v>45421</v>
      </c>
      <c r="B1528" s="19" t="s">
        <v>14</v>
      </c>
      <c r="C1528" s="19" t="s">
        <v>8</v>
      </c>
      <c r="D1528" s="19" t="s">
        <v>138</v>
      </c>
      <c r="E1528" s="19">
        <v>0</v>
      </c>
      <c r="F1528" s="19">
        <v>-1</v>
      </c>
    </row>
    <row r="1529" spans="1:6" x14ac:dyDescent="0.25">
      <c r="A1529" s="20">
        <v>45421</v>
      </c>
      <c r="B1529" s="19" t="s">
        <v>91</v>
      </c>
      <c r="C1529" s="19" t="s">
        <v>6</v>
      </c>
      <c r="D1529" s="19" t="s">
        <v>138</v>
      </c>
      <c r="E1529" s="19">
        <v>0</v>
      </c>
      <c r="F1529" s="19">
        <v>-1</v>
      </c>
    </row>
    <row r="1530" spans="1:6" x14ac:dyDescent="0.25">
      <c r="A1530" s="20">
        <v>45421</v>
      </c>
      <c r="B1530" s="19" t="s">
        <v>91</v>
      </c>
      <c r="C1530" s="19" t="s">
        <v>7</v>
      </c>
      <c r="D1530" s="19" t="s">
        <v>138</v>
      </c>
      <c r="E1530" s="19">
        <v>0</v>
      </c>
      <c r="F1530" s="19">
        <v>-1</v>
      </c>
    </row>
    <row r="1531" spans="1:6" x14ac:dyDescent="0.25">
      <c r="A1531" s="20">
        <v>45421</v>
      </c>
      <c r="B1531" s="19" t="s">
        <v>91</v>
      </c>
      <c r="C1531" s="19" t="s">
        <v>8</v>
      </c>
      <c r="D1531" s="19" t="s">
        <v>138</v>
      </c>
      <c r="E1531" s="19">
        <v>0</v>
      </c>
      <c r="F1531" s="19">
        <v>-1</v>
      </c>
    </row>
    <row r="1532" spans="1:6" x14ac:dyDescent="0.25">
      <c r="A1532" s="20">
        <v>45421</v>
      </c>
      <c r="B1532" s="19" t="s">
        <v>15</v>
      </c>
      <c r="C1532" s="19" t="s">
        <v>6</v>
      </c>
      <c r="D1532" s="19" t="s">
        <v>138</v>
      </c>
      <c r="E1532" s="19">
        <v>0</v>
      </c>
      <c r="F1532" s="19">
        <v>-1</v>
      </c>
    </row>
    <row r="1533" spans="1:6" x14ac:dyDescent="0.25">
      <c r="A1533" s="20">
        <v>45421</v>
      </c>
      <c r="B1533" s="19" t="s">
        <v>15</v>
      </c>
      <c r="C1533" s="19" t="s">
        <v>7</v>
      </c>
      <c r="D1533" s="19" t="s">
        <v>138</v>
      </c>
      <c r="E1533" s="19">
        <v>0</v>
      </c>
      <c r="F1533" s="19">
        <v>-1</v>
      </c>
    </row>
    <row r="1534" spans="1:6" x14ac:dyDescent="0.25">
      <c r="A1534" s="20">
        <v>45421</v>
      </c>
      <c r="B1534" s="19" t="s">
        <v>15</v>
      </c>
      <c r="C1534" s="19" t="s">
        <v>8</v>
      </c>
      <c r="D1534" s="19" t="s">
        <v>138</v>
      </c>
      <c r="E1534" s="19">
        <v>0</v>
      </c>
      <c r="F1534" s="19">
        <v>-1</v>
      </c>
    </row>
    <row r="1535" spans="1:6" x14ac:dyDescent="0.25">
      <c r="A1535" s="20">
        <v>45421</v>
      </c>
      <c r="B1535" s="19" t="s">
        <v>89</v>
      </c>
      <c r="C1535" s="19" t="s">
        <v>6</v>
      </c>
      <c r="D1535" s="19" t="s">
        <v>138</v>
      </c>
      <c r="E1535" s="19">
        <v>0</v>
      </c>
      <c r="F1535" s="19">
        <v>-1</v>
      </c>
    </row>
    <row r="1536" spans="1:6" x14ac:dyDescent="0.25">
      <c r="A1536" s="20">
        <v>45421</v>
      </c>
      <c r="B1536" s="19" t="s">
        <v>89</v>
      </c>
      <c r="C1536" s="19" t="s">
        <v>7</v>
      </c>
      <c r="D1536" s="19" t="s">
        <v>138</v>
      </c>
      <c r="E1536" s="19">
        <v>0</v>
      </c>
      <c r="F1536" s="19">
        <v>-1</v>
      </c>
    </row>
    <row r="1537" spans="1:6" x14ac:dyDescent="0.25">
      <c r="A1537" s="20">
        <v>45421</v>
      </c>
      <c r="B1537" s="19" t="s">
        <v>89</v>
      </c>
      <c r="C1537" s="19" t="s">
        <v>8</v>
      </c>
      <c r="D1537" s="19" t="s">
        <v>138</v>
      </c>
      <c r="E1537" s="19">
        <v>0</v>
      </c>
      <c r="F1537" s="19">
        <v>-1</v>
      </c>
    </row>
    <row r="1538" spans="1:6" x14ac:dyDescent="0.25">
      <c r="A1538" s="20">
        <v>45421</v>
      </c>
      <c r="B1538" s="19" t="s">
        <v>16</v>
      </c>
      <c r="C1538" s="19" t="s">
        <v>6</v>
      </c>
      <c r="D1538" s="19" t="s">
        <v>138</v>
      </c>
      <c r="E1538" s="19">
        <v>0</v>
      </c>
      <c r="F1538" s="19">
        <v>-1</v>
      </c>
    </row>
    <row r="1539" spans="1:6" x14ac:dyDescent="0.25">
      <c r="A1539" s="20">
        <v>45421</v>
      </c>
      <c r="B1539" s="19" t="s">
        <v>16</v>
      </c>
      <c r="C1539" s="19" t="s">
        <v>7</v>
      </c>
      <c r="D1539" s="19" t="s">
        <v>138</v>
      </c>
      <c r="E1539" s="19">
        <v>0</v>
      </c>
      <c r="F1539" s="19">
        <v>-1</v>
      </c>
    </row>
    <row r="1540" spans="1:6" x14ac:dyDescent="0.25">
      <c r="A1540" s="20">
        <v>45421</v>
      </c>
      <c r="B1540" s="19" t="s">
        <v>16</v>
      </c>
      <c r="C1540" s="19" t="s">
        <v>8</v>
      </c>
      <c r="D1540" s="19" t="s">
        <v>138</v>
      </c>
      <c r="E1540" s="19">
        <v>0</v>
      </c>
      <c r="F1540" s="19">
        <v>-1</v>
      </c>
    </row>
    <row r="1541" spans="1:6" x14ac:dyDescent="0.25">
      <c r="A1541" s="20">
        <v>45421</v>
      </c>
      <c r="B1541" s="19" t="s">
        <v>88</v>
      </c>
      <c r="C1541" s="19" t="s">
        <v>6</v>
      </c>
      <c r="D1541" s="19" t="s">
        <v>138</v>
      </c>
      <c r="E1541" s="19">
        <v>0</v>
      </c>
      <c r="F1541" s="19">
        <v>-1</v>
      </c>
    </row>
    <row r="1542" spans="1:6" x14ac:dyDescent="0.25">
      <c r="A1542" s="20">
        <v>45421</v>
      </c>
      <c r="B1542" s="19" t="s">
        <v>88</v>
      </c>
      <c r="C1542" s="19" t="s">
        <v>7</v>
      </c>
      <c r="D1542" s="19" t="s">
        <v>138</v>
      </c>
      <c r="E1542" s="19">
        <v>0</v>
      </c>
      <c r="F1542" s="19">
        <v>-1</v>
      </c>
    </row>
    <row r="1543" spans="1:6" x14ac:dyDescent="0.25">
      <c r="A1543" s="20">
        <v>45421</v>
      </c>
      <c r="B1543" s="19" t="s">
        <v>88</v>
      </c>
      <c r="C1543" s="19" t="s">
        <v>8</v>
      </c>
      <c r="D1543" s="19" t="s">
        <v>138</v>
      </c>
      <c r="E1543" s="19">
        <v>0</v>
      </c>
      <c r="F1543" s="19">
        <v>-1</v>
      </c>
    </row>
    <row r="1544" spans="1:6" x14ac:dyDescent="0.25">
      <c r="A1544" s="20">
        <v>45421</v>
      </c>
      <c r="B1544" s="19" t="s">
        <v>17</v>
      </c>
      <c r="C1544" s="19" t="s">
        <v>6</v>
      </c>
      <c r="D1544" s="19" t="s">
        <v>138</v>
      </c>
      <c r="E1544" s="19">
        <v>0</v>
      </c>
      <c r="F1544" s="19">
        <v>-1</v>
      </c>
    </row>
    <row r="1545" spans="1:6" x14ac:dyDescent="0.25">
      <c r="A1545" s="20">
        <v>45421</v>
      </c>
      <c r="B1545" s="19" t="s">
        <v>17</v>
      </c>
      <c r="C1545" s="19" t="s">
        <v>7</v>
      </c>
      <c r="D1545" s="19" t="s">
        <v>138</v>
      </c>
      <c r="E1545" s="19">
        <v>0</v>
      </c>
      <c r="F1545" s="19">
        <v>-1</v>
      </c>
    </row>
    <row r="1546" spans="1:6" x14ac:dyDescent="0.25">
      <c r="A1546" s="20">
        <v>45421</v>
      </c>
      <c r="B1546" s="19" t="s">
        <v>17</v>
      </c>
      <c r="C1546" s="19" t="s">
        <v>8</v>
      </c>
      <c r="D1546" s="19" t="s">
        <v>138</v>
      </c>
      <c r="E1546" s="19">
        <v>0</v>
      </c>
      <c r="F1546" s="19">
        <v>-1</v>
      </c>
    </row>
    <row r="1547" spans="1:6" x14ac:dyDescent="0.25">
      <c r="A1547" s="20">
        <v>45421</v>
      </c>
      <c r="B1547" s="19" t="s">
        <v>19</v>
      </c>
      <c r="C1547" s="19" t="s">
        <v>6</v>
      </c>
      <c r="D1547" s="19" t="s">
        <v>138</v>
      </c>
      <c r="E1547" s="19">
        <v>0</v>
      </c>
      <c r="F1547" s="19">
        <v>-1</v>
      </c>
    </row>
    <row r="1548" spans="1:6" x14ac:dyDescent="0.25">
      <c r="A1548" s="20">
        <v>45421</v>
      </c>
      <c r="B1548" s="19" t="s">
        <v>19</v>
      </c>
      <c r="C1548" s="19" t="s">
        <v>7</v>
      </c>
      <c r="D1548" s="19" t="s">
        <v>138</v>
      </c>
      <c r="E1548" s="19">
        <v>0</v>
      </c>
      <c r="F1548" s="19">
        <v>-1</v>
      </c>
    </row>
    <row r="1549" spans="1:6" x14ac:dyDescent="0.25">
      <c r="A1549" s="20">
        <v>45421</v>
      </c>
      <c r="B1549" s="19" t="s">
        <v>19</v>
      </c>
      <c r="C1549" s="19" t="s">
        <v>8</v>
      </c>
      <c r="D1549" s="19" t="s">
        <v>138</v>
      </c>
      <c r="E1549" s="19">
        <v>0</v>
      </c>
      <c r="F1549" s="19">
        <v>-1</v>
      </c>
    </row>
    <row r="1550" spans="1:6" x14ac:dyDescent="0.25">
      <c r="A1550" s="20">
        <v>45421</v>
      </c>
      <c r="B1550" s="19" t="s">
        <v>18</v>
      </c>
      <c r="C1550" s="19" t="s">
        <v>6</v>
      </c>
      <c r="D1550" s="19" t="s">
        <v>138</v>
      </c>
      <c r="E1550" s="19">
        <v>0</v>
      </c>
      <c r="F1550" s="19">
        <v>-1</v>
      </c>
    </row>
    <row r="1551" spans="1:6" x14ac:dyDescent="0.25">
      <c r="A1551" s="20">
        <v>45421</v>
      </c>
      <c r="B1551" s="19" t="s">
        <v>18</v>
      </c>
      <c r="C1551" s="19" t="s">
        <v>7</v>
      </c>
      <c r="D1551" s="19" t="s">
        <v>138</v>
      </c>
      <c r="E1551" s="19">
        <v>0</v>
      </c>
      <c r="F1551" s="19">
        <v>-1</v>
      </c>
    </row>
    <row r="1552" spans="1:6" x14ac:dyDescent="0.25">
      <c r="A1552" s="20">
        <v>45421</v>
      </c>
      <c r="B1552" s="19" t="s">
        <v>18</v>
      </c>
      <c r="C1552" s="19" t="s">
        <v>8</v>
      </c>
      <c r="D1552" s="19" t="s">
        <v>138</v>
      </c>
      <c r="E1552" s="19">
        <v>0</v>
      </c>
      <c r="F1552" s="19">
        <v>-1</v>
      </c>
    </row>
    <row r="1553" spans="1:6" x14ac:dyDescent="0.25">
      <c r="A1553" s="20">
        <v>45421</v>
      </c>
      <c r="B1553" s="19" t="s">
        <v>87</v>
      </c>
      <c r="C1553" s="19" t="s">
        <v>6</v>
      </c>
      <c r="D1553" s="19" t="s">
        <v>138</v>
      </c>
      <c r="E1553" s="19">
        <v>0</v>
      </c>
      <c r="F1553" s="19">
        <v>-1</v>
      </c>
    </row>
    <row r="1554" spans="1:6" x14ac:dyDescent="0.25">
      <c r="A1554" s="20">
        <v>45421</v>
      </c>
      <c r="B1554" s="19" t="s">
        <v>87</v>
      </c>
      <c r="C1554" s="19" t="s">
        <v>7</v>
      </c>
      <c r="D1554" s="19" t="s">
        <v>138</v>
      </c>
      <c r="E1554" s="19">
        <v>0</v>
      </c>
      <c r="F1554" s="19">
        <v>-1</v>
      </c>
    </row>
    <row r="1555" spans="1:6" x14ac:dyDescent="0.25">
      <c r="A1555" s="20">
        <v>45421</v>
      </c>
      <c r="B1555" s="19" t="s">
        <v>87</v>
      </c>
      <c r="C1555" s="19" t="s">
        <v>8</v>
      </c>
      <c r="D1555" s="19" t="s">
        <v>138</v>
      </c>
      <c r="E1555" s="19">
        <v>0</v>
      </c>
      <c r="F1555" s="19">
        <v>-1</v>
      </c>
    </row>
    <row r="1556" spans="1:6" x14ac:dyDescent="0.25">
      <c r="A1556" s="20">
        <v>45421</v>
      </c>
      <c r="B1556" s="19" t="s">
        <v>42</v>
      </c>
      <c r="C1556" s="19" t="s">
        <v>6</v>
      </c>
      <c r="D1556" s="19" t="s">
        <v>138</v>
      </c>
      <c r="E1556" s="19">
        <v>0</v>
      </c>
      <c r="F1556" s="19">
        <v>-1</v>
      </c>
    </row>
    <row r="1557" spans="1:6" x14ac:dyDescent="0.25">
      <c r="A1557" s="20">
        <v>45421</v>
      </c>
      <c r="B1557" s="19" t="s">
        <v>42</v>
      </c>
      <c r="C1557" s="19" t="s">
        <v>7</v>
      </c>
      <c r="D1557" s="19" t="s">
        <v>138</v>
      </c>
      <c r="E1557" s="19">
        <v>0</v>
      </c>
      <c r="F1557" s="19">
        <v>-1</v>
      </c>
    </row>
    <row r="1558" spans="1:6" x14ac:dyDescent="0.25">
      <c r="A1558" s="20">
        <v>45421</v>
      </c>
      <c r="B1558" s="19" t="s">
        <v>42</v>
      </c>
      <c r="C1558" s="19" t="s">
        <v>8</v>
      </c>
      <c r="D1558" s="19" t="s">
        <v>138</v>
      </c>
      <c r="E1558" s="19">
        <v>0</v>
      </c>
      <c r="F1558" s="19">
        <v>-1</v>
      </c>
    </row>
    <row r="1559" spans="1:6" x14ac:dyDescent="0.25">
      <c r="A1559" s="20">
        <v>45421</v>
      </c>
      <c r="B1559" s="19" t="s">
        <v>86</v>
      </c>
      <c r="C1559" s="19" t="s">
        <v>6</v>
      </c>
      <c r="D1559" s="19" t="s">
        <v>138</v>
      </c>
      <c r="E1559" s="19">
        <v>0</v>
      </c>
      <c r="F1559" s="19">
        <v>-1</v>
      </c>
    </row>
    <row r="1560" spans="1:6" x14ac:dyDescent="0.25">
      <c r="A1560" s="20">
        <v>45421</v>
      </c>
      <c r="B1560" s="19" t="s">
        <v>86</v>
      </c>
      <c r="C1560" s="19" t="s">
        <v>7</v>
      </c>
      <c r="D1560" s="19" t="s">
        <v>138</v>
      </c>
      <c r="E1560" s="19">
        <v>0</v>
      </c>
      <c r="F1560" s="19">
        <v>-1</v>
      </c>
    </row>
    <row r="1561" spans="1:6" x14ac:dyDescent="0.25">
      <c r="A1561" s="20">
        <v>45421</v>
      </c>
      <c r="B1561" s="19" t="s">
        <v>86</v>
      </c>
      <c r="C1561" s="19" t="s">
        <v>8</v>
      </c>
      <c r="D1561" s="19" t="s">
        <v>138</v>
      </c>
      <c r="E1561" s="19">
        <v>0</v>
      </c>
      <c r="F1561" s="19">
        <v>-1</v>
      </c>
    </row>
    <row r="1562" spans="1:6" x14ac:dyDescent="0.25">
      <c r="A1562" s="20">
        <v>45421</v>
      </c>
      <c r="B1562" s="19" t="s">
        <v>38</v>
      </c>
      <c r="C1562" s="19" t="s">
        <v>6</v>
      </c>
      <c r="D1562" s="19" t="s">
        <v>138</v>
      </c>
      <c r="E1562" s="19">
        <v>0</v>
      </c>
      <c r="F1562" s="19">
        <v>-1</v>
      </c>
    </row>
    <row r="1563" spans="1:6" x14ac:dyDescent="0.25">
      <c r="A1563" s="20">
        <v>45421</v>
      </c>
      <c r="B1563" s="19" t="s">
        <v>38</v>
      </c>
      <c r="C1563" s="19" t="s">
        <v>7</v>
      </c>
      <c r="D1563" s="19" t="s">
        <v>138</v>
      </c>
      <c r="E1563" s="19">
        <v>0</v>
      </c>
      <c r="F1563" s="19">
        <v>-1</v>
      </c>
    </row>
    <row r="1564" spans="1:6" x14ac:dyDescent="0.25">
      <c r="A1564" s="20">
        <v>45421</v>
      </c>
      <c r="B1564" s="19" t="s">
        <v>38</v>
      </c>
      <c r="C1564" s="19" t="s">
        <v>8</v>
      </c>
      <c r="D1564" s="19" t="s">
        <v>138</v>
      </c>
      <c r="E1564" s="19">
        <v>0</v>
      </c>
      <c r="F1564" s="19">
        <v>-1</v>
      </c>
    </row>
    <row r="1565" spans="1:6" x14ac:dyDescent="0.25">
      <c r="A1565" s="20">
        <v>45421</v>
      </c>
      <c r="B1565" s="19" t="s">
        <v>83</v>
      </c>
      <c r="C1565" s="19" t="s">
        <v>6</v>
      </c>
      <c r="D1565" s="19" t="s">
        <v>138</v>
      </c>
      <c r="E1565" s="19">
        <v>0</v>
      </c>
      <c r="F1565" s="19">
        <v>-1</v>
      </c>
    </row>
    <row r="1566" spans="1:6" x14ac:dyDescent="0.25">
      <c r="A1566" s="20">
        <v>45421</v>
      </c>
      <c r="B1566" s="19" t="s">
        <v>83</v>
      </c>
      <c r="C1566" s="19" t="s">
        <v>7</v>
      </c>
      <c r="D1566" s="19" t="s">
        <v>138</v>
      </c>
      <c r="E1566" s="19">
        <v>0</v>
      </c>
      <c r="F1566" s="19">
        <v>-1</v>
      </c>
    </row>
    <row r="1567" spans="1:6" x14ac:dyDescent="0.25">
      <c r="A1567" s="20">
        <v>45421</v>
      </c>
      <c r="B1567" s="19" t="s">
        <v>83</v>
      </c>
      <c r="C1567" s="19" t="s">
        <v>8</v>
      </c>
      <c r="D1567" s="19" t="s">
        <v>138</v>
      </c>
      <c r="E1567" s="19">
        <v>0</v>
      </c>
      <c r="F1567" s="19">
        <v>-1</v>
      </c>
    </row>
    <row r="1568" spans="1:6" x14ac:dyDescent="0.25">
      <c r="A1568" s="20">
        <v>45421</v>
      </c>
      <c r="B1568" s="19" t="s">
        <v>20</v>
      </c>
      <c r="C1568" s="19" t="s">
        <v>6</v>
      </c>
      <c r="D1568" s="19" t="s">
        <v>138</v>
      </c>
      <c r="E1568" s="19">
        <v>0</v>
      </c>
      <c r="F1568" s="19">
        <v>-1</v>
      </c>
    </row>
    <row r="1569" spans="1:6" x14ac:dyDescent="0.25">
      <c r="A1569" s="20">
        <v>45421</v>
      </c>
      <c r="B1569" s="19" t="s">
        <v>20</v>
      </c>
      <c r="C1569" s="19" t="s">
        <v>7</v>
      </c>
      <c r="D1569" s="19" t="s">
        <v>138</v>
      </c>
      <c r="E1569" s="19">
        <v>0</v>
      </c>
      <c r="F1569" s="19">
        <v>-1</v>
      </c>
    </row>
    <row r="1570" spans="1:6" x14ac:dyDescent="0.25">
      <c r="A1570" s="20">
        <v>45421</v>
      </c>
      <c r="B1570" s="19" t="s">
        <v>20</v>
      </c>
      <c r="C1570" s="19" t="s">
        <v>8</v>
      </c>
      <c r="D1570" s="19" t="s">
        <v>138</v>
      </c>
      <c r="E1570" s="19">
        <v>0</v>
      </c>
      <c r="F1570" s="19">
        <v>-1</v>
      </c>
    </row>
    <row r="1571" spans="1:6" x14ac:dyDescent="0.25">
      <c r="A1571" s="20">
        <v>45421</v>
      </c>
      <c r="B1571" s="19" t="s">
        <v>21</v>
      </c>
      <c r="C1571" s="19" t="s">
        <v>6</v>
      </c>
      <c r="D1571" s="19" t="s">
        <v>138</v>
      </c>
      <c r="E1571" s="19">
        <v>0</v>
      </c>
      <c r="F1571" s="19">
        <v>-1</v>
      </c>
    </row>
    <row r="1572" spans="1:6" x14ac:dyDescent="0.25">
      <c r="A1572" s="20">
        <v>45421</v>
      </c>
      <c r="B1572" s="19" t="s">
        <v>21</v>
      </c>
      <c r="C1572" s="19" t="s">
        <v>7</v>
      </c>
      <c r="D1572" s="19" t="s">
        <v>138</v>
      </c>
      <c r="E1572" s="19">
        <v>0</v>
      </c>
      <c r="F1572" s="19">
        <v>-1</v>
      </c>
    </row>
    <row r="1573" spans="1:6" x14ac:dyDescent="0.25">
      <c r="A1573" s="20">
        <v>45421</v>
      </c>
      <c r="B1573" s="19" t="s">
        <v>21</v>
      </c>
      <c r="C1573" s="19" t="s">
        <v>8</v>
      </c>
      <c r="D1573" s="19" t="s">
        <v>138</v>
      </c>
      <c r="E1573" s="19">
        <v>0</v>
      </c>
      <c r="F1573" s="19">
        <v>-1</v>
      </c>
    </row>
    <row r="1574" spans="1:6" x14ac:dyDescent="0.25">
      <c r="A1574" s="20">
        <v>45421</v>
      </c>
      <c r="B1574" s="19" t="s">
        <v>22</v>
      </c>
      <c r="C1574" s="19" t="s">
        <v>6</v>
      </c>
      <c r="D1574" s="19" t="s">
        <v>138</v>
      </c>
      <c r="E1574" s="19">
        <v>0</v>
      </c>
      <c r="F1574" s="19">
        <v>-1</v>
      </c>
    </row>
    <row r="1575" spans="1:6" x14ac:dyDescent="0.25">
      <c r="A1575" s="20">
        <v>45421</v>
      </c>
      <c r="B1575" s="19" t="s">
        <v>22</v>
      </c>
      <c r="C1575" s="19" t="s">
        <v>7</v>
      </c>
      <c r="D1575" s="19" t="s">
        <v>138</v>
      </c>
      <c r="E1575" s="19">
        <v>0</v>
      </c>
      <c r="F1575" s="19">
        <v>-1</v>
      </c>
    </row>
    <row r="1576" spans="1:6" x14ac:dyDescent="0.25">
      <c r="A1576" s="20">
        <v>45421</v>
      </c>
      <c r="B1576" s="19" t="s">
        <v>22</v>
      </c>
      <c r="C1576" s="19" t="s">
        <v>8</v>
      </c>
      <c r="D1576" s="19" t="s">
        <v>138</v>
      </c>
      <c r="E1576" s="19">
        <v>0</v>
      </c>
      <c r="F1576" s="19">
        <v>-1</v>
      </c>
    </row>
    <row r="1577" spans="1:6" x14ac:dyDescent="0.25">
      <c r="A1577" s="20">
        <v>45421</v>
      </c>
      <c r="B1577" s="19" t="s">
        <v>77</v>
      </c>
      <c r="C1577" s="19" t="s">
        <v>6</v>
      </c>
      <c r="D1577" s="19" t="s">
        <v>138</v>
      </c>
      <c r="E1577" s="19">
        <v>0</v>
      </c>
      <c r="F1577" s="19">
        <v>-1</v>
      </c>
    </row>
    <row r="1578" spans="1:6" x14ac:dyDescent="0.25">
      <c r="A1578" s="20">
        <v>45421</v>
      </c>
      <c r="B1578" s="19" t="s">
        <v>77</v>
      </c>
      <c r="C1578" s="19" t="s">
        <v>7</v>
      </c>
      <c r="D1578" s="19" t="s">
        <v>138</v>
      </c>
      <c r="E1578" s="19">
        <v>0</v>
      </c>
      <c r="F1578" s="19">
        <v>-1</v>
      </c>
    </row>
    <row r="1579" spans="1:6" x14ac:dyDescent="0.25">
      <c r="A1579" s="20">
        <v>45421</v>
      </c>
      <c r="B1579" s="19" t="s">
        <v>77</v>
      </c>
      <c r="C1579" s="19" t="s">
        <v>8</v>
      </c>
      <c r="D1579" s="19" t="s">
        <v>138</v>
      </c>
      <c r="E1579" s="19">
        <v>0</v>
      </c>
      <c r="F1579" s="19">
        <v>-1</v>
      </c>
    </row>
    <row r="1580" spans="1:6" x14ac:dyDescent="0.25">
      <c r="A1580" s="20">
        <v>45421</v>
      </c>
      <c r="B1580" s="19" t="s">
        <v>23</v>
      </c>
      <c r="C1580" s="19" t="s">
        <v>6</v>
      </c>
      <c r="D1580" s="19" t="s">
        <v>138</v>
      </c>
      <c r="E1580" s="19">
        <v>0</v>
      </c>
      <c r="F1580" s="19">
        <v>-1</v>
      </c>
    </row>
    <row r="1581" spans="1:6" x14ac:dyDescent="0.25">
      <c r="A1581" s="20">
        <v>45421</v>
      </c>
      <c r="B1581" s="19" t="s">
        <v>23</v>
      </c>
      <c r="C1581" s="19" t="s">
        <v>7</v>
      </c>
      <c r="D1581" s="19" t="s">
        <v>138</v>
      </c>
      <c r="E1581" s="19">
        <v>0</v>
      </c>
      <c r="F1581" s="19">
        <v>-1</v>
      </c>
    </row>
    <row r="1582" spans="1:6" x14ac:dyDescent="0.25">
      <c r="A1582" s="20">
        <v>45421</v>
      </c>
      <c r="B1582" s="19" t="s">
        <v>23</v>
      </c>
      <c r="C1582" s="19" t="s">
        <v>8</v>
      </c>
      <c r="D1582" s="19" t="s">
        <v>138</v>
      </c>
      <c r="E1582" s="19">
        <v>0</v>
      </c>
      <c r="F1582" s="19">
        <v>-1</v>
      </c>
    </row>
    <row r="1583" spans="1:6" x14ac:dyDescent="0.25">
      <c r="A1583" s="20">
        <v>45421</v>
      </c>
      <c r="B1583" s="19" t="s">
        <v>24</v>
      </c>
      <c r="C1583" s="19" t="s">
        <v>6</v>
      </c>
      <c r="D1583" s="19" t="s">
        <v>138</v>
      </c>
      <c r="E1583" s="19">
        <v>0</v>
      </c>
      <c r="F1583" s="19">
        <v>-1</v>
      </c>
    </row>
    <row r="1584" spans="1:6" x14ac:dyDescent="0.25">
      <c r="A1584" s="20">
        <v>45421</v>
      </c>
      <c r="B1584" s="19" t="s">
        <v>24</v>
      </c>
      <c r="C1584" s="19" t="s">
        <v>7</v>
      </c>
      <c r="D1584" s="19" t="s">
        <v>138</v>
      </c>
      <c r="E1584" s="19">
        <v>0</v>
      </c>
      <c r="F1584" s="19">
        <v>-1</v>
      </c>
    </row>
    <row r="1585" spans="1:6" x14ac:dyDescent="0.25">
      <c r="A1585" s="20">
        <v>45421</v>
      </c>
      <c r="B1585" s="19" t="s">
        <v>24</v>
      </c>
      <c r="C1585" s="19" t="s">
        <v>8</v>
      </c>
      <c r="D1585" s="19" t="s">
        <v>138</v>
      </c>
      <c r="E1585" s="19">
        <v>0</v>
      </c>
      <c r="F1585" s="19">
        <v>-1</v>
      </c>
    </row>
    <row r="1586" spans="1:6" x14ac:dyDescent="0.25">
      <c r="A1586" s="20">
        <v>45421</v>
      </c>
      <c r="B1586" s="19" t="s">
        <v>75</v>
      </c>
      <c r="C1586" s="19" t="s">
        <v>6</v>
      </c>
      <c r="D1586" s="19" t="s">
        <v>138</v>
      </c>
      <c r="E1586" s="19">
        <v>0</v>
      </c>
      <c r="F1586" s="19">
        <v>-1</v>
      </c>
    </row>
    <row r="1587" spans="1:6" x14ac:dyDescent="0.25">
      <c r="A1587" s="20">
        <v>45421</v>
      </c>
      <c r="B1587" s="19" t="s">
        <v>75</v>
      </c>
      <c r="C1587" s="19" t="s">
        <v>7</v>
      </c>
      <c r="D1587" s="19" t="s">
        <v>138</v>
      </c>
      <c r="E1587" s="19">
        <v>0</v>
      </c>
      <c r="F1587" s="19">
        <v>-1</v>
      </c>
    </row>
    <row r="1588" spans="1:6" x14ac:dyDescent="0.25">
      <c r="A1588" s="20">
        <v>45421</v>
      </c>
      <c r="B1588" s="19" t="s">
        <v>75</v>
      </c>
      <c r="C1588" s="19" t="s">
        <v>8</v>
      </c>
      <c r="D1588" s="19" t="s">
        <v>138</v>
      </c>
      <c r="E1588" s="19">
        <v>0</v>
      </c>
      <c r="F1588" s="19">
        <v>-1</v>
      </c>
    </row>
    <row r="1589" spans="1:6" x14ac:dyDescent="0.25">
      <c r="A1589" s="20">
        <v>45421</v>
      </c>
      <c r="B1589" s="19" t="s">
        <v>25</v>
      </c>
      <c r="C1589" s="19" t="s">
        <v>6</v>
      </c>
      <c r="D1589" s="19" t="s">
        <v>138</v>
      </c>
      <c r="E1589" s="19">
        <v>0</v>
      </c>
      <c r="F1589" s="19">
        <v>-1</v>
      </c>
    </row>
    <row r="1590" spans="1:6" x14ac:dyDescent="0.25">
      <c r="A1590" s="20">
        <v>45421</v>
      </c>
      <c r="B1590" s="19" t="s">
        <v>25</v>
      </c>
      <c r="C1590" s="19" t="s">
        <v>7</v>
      </c>
      <c r="D1590" s="19" t="s">
        <v>138</v>
      </c>
      <c r="E1590" s="19">
        <v>0</v>
      </c>
      <c r="F1590" s="19">
        <v>-1</v>
      </c>
    </row>
    <row r="1591" spans="1:6" x14ac:dyDescent="0.25">
      <c r="A1591" s="20">
        <v>45421</v>
      </c>
      <c r="B1591" s="19" t="s">
        <v>25</v>
      </c>
      <c r="C1591" s="19" t="s">
        <v>8</v>
      </c>
      <c r="D1591" s="19" t="s">
        <v>138</v>
      </c>
      <c r="E1591" s="19">
        <v>0</v>
      </c>
      <c r="F1591" s="19">
        <v>-1</v>
      </c>
    </row>
    <row r="1592" spans="1:6" x14ac:dyDescent="0.25">
      <c r="A1592" s="20">
        <v>45421</v>
      </c>
      <c r="B1592" s="19" t="s">
        <v>74</v>
      </c>
      <c r="C1592" s="19" t="s">
        <v>6</v>
      </c>
      <c r="D1592" s="19" t="s">
        <v>139</v>
      </c>
      <c r="E1592" s="19">
        <v>1516</v>
      </c>
      <c r="F1592" s="19">
        <v>-1</v>
      </c>
    </row>
    <row r="1593" spans="1:6" x14ac:dyDescent="0.25">
      <c r="A1593" s="20">
        <v>45421</v>
      </c>
      <c r="B1593" s="19" t="s">
        <v>74</v>
      </c>
      <c r="C1593" s="19" t="s">
        <v>7</v>
      </c>
      <c r="D1593" s="19" t="s">
        <v>139</v>
      </c>
      <c r="E1593" s="19">
        <v>1820</v>
      </c>
      <c r="F1593" s="19">
        <v>-1</v>
      </c>
    </row>
    <row r="1594" spans="1:6" x14ac:dyDescent="0.25">
      <c r="A1594" s="20">
        <v>45421</v>
      </c>
      <c r="B1594" s="19" t="s">
        <v>74</v>
      </c>
      <c r="C1594" s="19" t="s">
        <v>8</v>
      </c>
      <c r="D1594" s="19" t="s">
        <v>139</v>
      </c>
      <c r="E1594" s="19">
        <v>1342</v>
      </c>
      <c r="F1594" s="19">
        <v>-1</v>
      </c>
    </row>
    <row r="1595" spans="1:6" x14ac:dyDescent="0.25">
      <c r="A1595" s="20">
        <v>45421</v>
      </c>
      <c r="B1595" s="19" t="s">
        <v>26</v>
      </c>
      <c r="C1595" s="19" t="s">
        <v>6</v>
      </c>
      <c r="D1595" s="19" t="s">
        <v>138</v>
      </c>
      <c r="E1595" s="19">
        <v>0</v>
      </c>
      <c r="F1595" s="19">
        <v>-1</v>
      </c>
    </row>
    <row r="1596" spans="1:6" x14ac:dyDescent="0.25">
      <c r="A1596" s="20">
        <v>45421</v>
      </c>
      <c r="B1596" s="19" t="s">
        <v>26</v>
      </c>
      <c r="C1596" s="19" t="s">
        <v>7</v>
      </c>
      <c r="D1596" s="19" t="s">
        <v>138</v>
      </c>
      <c r="E1596" s="19">
        <v>0</v>
      </c>
      <c r="F1596" s="19">
        <v>-1</v>
      </c>
    </row>
    <row r="1597" spans="1:6" x14ac:dyDescent="0.25">
      <c r="A1597" s="20">
        <v>45421</v>
      </c>
      <c r="B1597" s="19" t="s">
        <v>26</v>
      </c>
      <c r="C1597" s="19" t="s">
        <v>8</v>
      </c>
      <c r="D1597" s="19" t="s">
        <v>138</v>
      </c>
      <c r="E1597" s="19">
        <v>0</v>
      </c>
      <c r="F1597" s="19">
        <v>-1</v>
      </c>
    </row>
    <row r="1598" spans="1:6" x14ac:dyDescent="0.25">
      <c r="A1598" s="20">
        <v>45421</v>
      </c>
      <c r="B1598" s="19" t="s">
        <v>27</v>
      </c>
      <c r="C1598" s="19" t="s">
        <v>6</v>
      </c>
      <c r="D1598" s="19" t="s">
        <v>139</v>
      </c>
      <c r="E1598" s="19">
        <v>2011</v>
      </c>
      <c r="F1598" s="19">
        <v>-1</v>
      </c>
    </row>
    <row r="1599" spans="1:6" x14ac:dyDescent="0.25">
      <c r="A1599" s="20">
        <v>45421</v>
      </c>
      <c r="B1599" s="19" t="s">
        <v>27</v>
      </c>
      <c r="C1599" s="19" t="s">
        <v>7</v>
      </c>
      <c r="D1599" s="19" t="s">
        <v>139</v>
      </c>
      <c r="E1599" s="19">
        <v>2126</v>
      </c>
      <c r="F1599" s="19">
        <v>-1</v>
      </c>
    </row>
    <row r="1600" spans="1:6" x14ac:dyDescent="0.25">
      <c r="A1600" s="20">
        <v>45421</v>
      </c>
      <c r="B1600" s="19" t="s">
        <v>27</v>
      </c>
      <c r="C1600" s="19" t="s">
        <v>8</v>
      </c>
      <c r="D1600" s="19" t="s">
        <v>139</v>
      </c>
      <c r="E1600" s="19">
        <v>2066</v>
      </c>
      <c r="F1600" s="19">
        <v>-1</v>
      </c>
    </row>
    <row r="1601" spans="1:6" x14ac:dyDescent="0.25">
      <c r="A1601" s="20">
        <v>45421</v>
      </c>
      <c r="B1601" s="19" t="s">
        <v>28</v>
      </c>
      <c r="C1601" s="19" t="s">
        <v>6</v>
      </c>
      <c r="D1601" s="19" t="s">
        <v>139</v>
      </c>
      <c r="E1601" s="19">
        <v>2063</v>
      </c>
      <c r="F1601" s="19">
        <v>-1</v>
      </c>
    </row>
    <row r="1602" spans="1:6" x14ac:dyDescent="0.25">
      <c r="A1602" s="20">
        <v>45421</v>
      </c>
      <c r="B1602" s="19" t="s">
        <v>28</v>
      </c>
      <c r="C1602" s="19" t="s">
        <v>7</v>
      </c>
      <c r="D1602" s="19" t="s">
        <v>139</v>
      </c>
      <c r="E1602" s="19">
        <v>1976</v>
      </c>
      <c r="F1602" s="19">
        <v>-1</v>
      </c>
    </row>
    <row r="1603" spans="1:6" x14ac:dyDescent="0.25">
      <c r="A1603" s="20">
        <v>45421</v>
      </c>
      <c r="B1603" s="19" t="s">
        <v>28</v>
      </c>
      <c r="C1603" s="19" t="s">
        <v>8</v>
      </c>
      <c r="D1603" s="19" t="s">
        <v>139</v>
      </c>
      <c r="E1603" s="19">
        <v>2012</v>
      </c>
      <c r="F1603" s="19">
        <v>-1</v>
      </c>
    </row>
    <row r="1604" spans="1:6" x14ac:dyDescent="0.25">
      <c r="A1604" s="20">
        <v>45421</v>
      </c>
      <c r="B1604" s="19" t="s">
        <v>72</v>
      </c>
      <c r="C1604" s="19" t="s">
        <v>6</v>
      </c>
      <c r="D1604" s="19" t="s">
        <v>138</v>
      </c>
      <c r="E1604" s="19">
        <v>0</v>
      </c>
      <c r="F1604" s="19">
        <v>-1</v>
      </c>
    </row>
    <row r="1605" spans="1:6" x14ac:dyDescent="0.25">
      <c r="A1605" s="20">
        <v>45421</v>
      </c>
      <c r="B1605" s="19" t="s">
        <v>72</v>
      </c>
      <c r="C1605" s="19" t="s">
        <v>7</v>
      </c>
      <c r="D1605" s="19" t="s">
        <v>138</v>
      </c>
      <c r="E1605" s="19">
        <v>0</v>
      </c>
      <c r="F1605" s="19">
        <v>-1</v>
      </c>
    </row>
    <row r="1606" spans="1:6" x14ac:dyDescent="0.25">
      <c r="A1606" s="20">
        <v>45421</v>
      </c>
      <c r="B1606" s="19" t="s">
        <v>72</v>
      </c>
      <c r="C1606" s="19" t="s">
        <v>8</v>
      </c>
      <c r="D1606" s="19" t="s">
        <v>138</v>
      </c>
      <c r="E1606" s="19">
        <v>0</v>
      </c>
      <c r="F1606" s="19">
        <v>-1</v>
      </c>
    </row>
    <row r="1607" spans="1:6" x14ac:dyDescent="0.25">
      <c r="A1607" s="20">
        <v>45421</v>
      </c>
      <c r="B1607" s="19" t="s">
        <v>29</v>
      </c>
      <c r="C1607" s="19" t="s">
        <v>6</v>
      </c>
      <c r="D1607" s="19" t="s">
        <v>139</v>
      </c>
      <c r="E1607" s="19">
        <v>1819</v>
      </c>
      <c r="F1607" s="19">
        <v>-1</v>
      </c>
    </row>
    <row r="1608" spans="1:6" x14ac:dyDescent="0.25">
      <c r="A1608" s="20">
        <v>45421</v>
      </c>
      <c r="B1608" s="19" t="s">
        <v>29</v>
      </c>
      <c r="C1608" s="19" t="s">
        <v>7</v>
      </c>
      <c r="D1608" s="19" t="s">
        <v>139</v>
      </c>
      <c r="E1608" s="19">
        <v>2057</v>
      </c>
      <c r="F1608" s="19">
        <v>-1</v>
      </c>
    </row>
    <row r="1609" spans="1:6" x14ac:dyDescent="0.25">
      <c r="A1609" s="20">
        <v>45421</v>
      </c>
      <c r="B1609" s="19" t="s">
        <v>29</v>
      </c>
      <c r="C1609" s="19" t="s">
        <v>8</v>
      </c>
      <c r="D1609" s="19" t="s">
        <v>139</v>
      </c>
      <c r="E1609" s="19">
        <v>1970</v>
      </c>
      <c r="F1609" s="19">
        <v>-1</v>
      </c>
    </row>
    <row r="1610" spans="1:6" x14ac:dyDescent="0.25">
      <c r="A1610" s="20">
        <v>45421</v>
      </c>
      <c r="B1610" s="19" t="s">
        <v>30</v>
      </c>
      <c r="C1610" s="19" t="s">
        <v>6</v>
      </c>
      <c r="D1610" s="19" t="s">
        <v>138</v>
      </c>
      <c r="E1610" s="19">
        <v>0</v>
      </c>
      <c r="F1610" s="19">
        <v>-1</v>
      </c>
    </row>
    <row r="1611" spans="1:6" x14ac:dyDescent="0.25">
      <c r="A1611" s="20">
        <v>45421</v>
      </c>
      <c r="B1611" s="19" t="s">
        <v>30</v>
      </c>
      <c r="C1611" s="19" t="s">
        <v>7</v>
      </c>
      <c r="D1611" s="19" t="s">
        <v>138</v>
      </c>
      <c r="E1611" s="19">
        <v>0</v>
      </c>
      <c r="F1611" s="19">
        <v>-1</v>
      </c>
    </row>
    <row r="1612" spans="1:6" x14ac:dyDescent="0.25">
      <c r="A1612" s="20">
        <v>45421</v>
      </c>
      <c r="B1612" s="19" t="s">
        <v>30</v>
      </c>
      <c r="C1612" s="19" t="s">
        <v>8</v>
      </c>
      <c r="D1612" s="19" t="s">
        <v>138</v>
      </c>
      <c r="E1612" s="19">
        <v>0</v>
      </c>
      <c r="F1612" s="19">
        <v>-1</v>
      </c>
    </row>
    <row r="1613" spans="1:6" x14ac:dyDescent="0.25">
      <c r="A1613" s="20">
        <v>45421</v>
      </c>
      <c r="B1613" s="19" t="s">
        <v>31</v>
      </c>
      <c r="C1613" s="19" t="s">
        <v>6</v>
      </c>
      <c r="D1613" s="19" t="s">
        <v>138</v>
      </c>
      <c r="E1613" s="19">
        <v>0</v>
      </c>
      <c r="F1613" s="19">
        <v>-1</v>
      </c>
    </row>
    <row r="1614" spans="1:6" x14ac:dyDescent="0.25">
      <c r="A1614" s="20">
        <v>45421</v>
      </c>
      <c r="B1614" s="19" t="s">
        <v>31</v>
      </c>
      <c r="C1614" s="19" t="s">
        <v>7</v>
      </c>
      <c r="D1614" s="19" t="s">
        <v>138</v>
      </c>
      <c r="E1614" s="19">
        <v>0</v>
      </c>
      <c r="F1614" s="19">
        <v>-1</v>
      </c>
    </row>
    <row r="1615" spans="1:6" x14ac:dyDescent="0.25">
      <c r="A1615" s="20">
        <v>45421</v>
      </c>
      <c r="B1615" s="19" t="s">
        <v>31</v>
      </c>
      <c r="C1615" s="19" t="s">
        <v>8</v>
      </c>
      <c r="D1615" s="19" t="s">
        <v>138</v>
      </c>
      <c r="E1615" s="19">
        <v>0</v>
      </c>
      <c r="F1615" s="19">
        <v>-1</v>
      </c>
    </row>
    <row r="1616" spans="1:6" x14ac:dyDescent="0.25">
      <c r="A1616" s="20">
        <v>45421</v>
      </c>
      <c r="B1616" s="19" t="s">
        <v>32</v>
      </c>
      <c r="C1616" s="19" t="s">
        <v>6</v>
      </c>
      <c r="D1616" s="19" t="s">
        <v>138</v>
      </c>
      <c r="E1616" s="19">
        <v>0</v>
      </c>
      <c r="F1616" s="19">
        <v>-1</v>
      </c>
    </row>
    <row r="1617" spans="1:6" x14ac:dyDescent="0.25">
      <c r="A1617" s="20">
        <v>45421</v>
      </c>
      <c r="B1617" s="19" t="s">
        <v>32</v>
      </c>
      <c r="C1617" s="19" t="s">
        <v>7</v>
      </c>
      <c r="D1617" s="19" t="s">
        <v>138</v>
      </c>
      <c r="E1617" s="19">
        <v>0</v>
      </c>
      <c r="F1617" s="19">
        <v>-1</v>
      </c>
    </row>
    <row r="1618" spans="1:6" x14ac:dyDescent="0.25">
      <c r="A1618" s="20">
        <v>45421</v>
      </c>
      <c r="B1618" s="19" t="s">
        <v>32</v>
      </c>
      <c r="C1618" s="19" t="s">
        <v>8</v>
      </c>
      <c r="D1618" s="19" t="s">
        <v>138</v>
      </c>
      <c r="E1618" s="19">
        <v>0</v>
      </c>
      <c r="F1618" s="19">
        <v>-1</v>
      </c>
    </row>
    <row r="1619" spans="1:6" x14ac:dyDescent="0.25">
      <c r="A1619" s="20">
        <v>45421</v>
      </c>
      <c r="B1619" s="19" t="s">
        <v>67</v>
      </c>
      <c r="C1619" s="19" t="s">
        <v>6</v>
      </c>
      <c r="D1619" s="19" t="s">
        <v>139</v>
      </c>
      <c r="E1619" s="19">
        <v>825</v>
      </c>
      <c r="F1619" s="19">
        <v>-1</v>
      </c>
    </row>
    <row r="1620" spans="1:6" x14ac:dyDescent="0.25">
      <c r="A1620" s="20">
        <v>45421</v>
      </c>
      <c r="B1620" s="19" t="s">
        <v>67</v>
      </c>
      <c r="C1620" s="19" t="s">
        <v>7</v>
      </c>
      <c r="D1620" s="19" t="s">
        <v>139</v>
      </c>
      <c r="E1620" s="19">
        <v>2009</v>
      </c>
      <c r="F1620" s="19">
        <v>-1</v>
      </c>
    </row>
    <row r="1621" spans="1:6" x14ac:dyDescent="0.25">
      <c r="A1621" s="20">
        <v>45421</v>
      </c>
      <c r="B1621" s="19" t="s">
        <v>67</v>
      </c>
      <c r="C1621" s="19" t="s">
        <v>8</v>
      </c>
      <c r="D1621" s="19" t="s">
        <v>139</v>
      </c>
      <c r="E1621" s="19">
        <v>2011</v>
      </c>
      <c r="F1621" s="19">
        <v>-1</v>
      </c>
    </row>
    <row r="1622" spans="1:6" x14ac:dyDescent="0.25">
      <c r="A1622" s="20">
        <v>45421</v>
      </c>
      <c r="B1622" s="19" t="s">
        <v>33</v>
      </c>
      <c r="C1622" s="19" t="s">
        <v>6</v>
      </c>
      <c r="D1622" s="19" t="s">
        <v>138</v>
      </c>
      <c r="E1622" s="19">
        <v>0</v>
      </c>
      <c r="F1622" s="19">
        <v>-1</v>
      </c>
    </row>
    <row r="1623" spans="1:6" x14ac:dyDescent="0.25">
      <c r="A1623" s="20">
        <v>45421</v>
      </c>
      <c r="B1623" s="19" t="s">
        <v>33</v>
      </c>
      <c r="C1623" s="19" t="s">
        <v>7</v>
      </c>
      <c r="D1623" s="19" t="s">
        <v>138</v>
      </c>
      <c r="E1623" s="19">
        <v>0</v>
      </c>
      <c r="F1623" s="19">
        <v>-1</v>
      </c>
    </row>
    <row r="1624" spans="1:6" x14ac:dyDescent="0.25">
      <c r="A1624" s="20">
        <v>45421</v>
      </c>
      <c r="B1624" s="19" t="s">
        <v>33</v>
      </c>
      <c r="C1624" s="19" t="s">
        <v>8</v>
      </c>
      <c r="D1624" s="19" t="s">
        <v>138</v>
      </c>
      <c r="E1624" s="19">
        <v>0</v>
      </c>
      <c r="F1624" s="19">
        <v>-1</v>
      </c>
    </row>
    <row r="1625" spans="1:6" x14ac:dyDescent="0.25">
      <c r="A1625" s="20">
        <v>45421</v>
      </c>
      <c r="B1625" s="19" t="s">
        <v>34</v>
      </c>
      <c r="C1625" s="19" t="s">
        <v>6</v>
      </c>
      <c r="D1625" s="19" t="s">
        <v>138</v>
      </c>
      <c r="E1625" s="19">
        <v>0</v>
      </c>
      <c r="F1625" s="19">
        <v>-1</v>
      </c>
    </row>
    <row r="1626" spans="1:6" x14ac:dyDescent="0.25">
      <c r="A1626" s="20">
        <v>45421</v>
      </c>
      <c r="B1626" s="19" t="s">
        <v>34</v>
      </c>
      <c r="C1626" s="19" t="s">
        <v>7</v>
      </c>
      <c r="D1626" s="19" t="s">
        <v>138</v>
      </c>
      <c r="E1626" s="19">
        <v>0</v>
      </c>
      <c r="F1626" s="19">
        <v>-1</v>
      </c>
    </row>
    <row r="1627" spans="1:6" x14ac:dyDescent="0.25">
      <c r="A1627" s="20">
        <v>45421</v>
      </c>
      <c r="B1627" s="19" t="s">
        <v>34</v>
      </c>
      <c r="C1627" s="19" t="s">
        <v>8</v>
      </c>
      <c r="D1627" s="19" t="s">
        <v>138</v>
      </c>
      <c r="E1627" s="19">
        <v>0</v>
      </c>
      <c r="F1627" s="19">
        <v>-1</v>
      </c>
    </row>
    <row r="1628" spans="1:6" x14ac:dyDescent="0.25">
      <c r="A1628" s="20">
        <v>45421</v>
      </c>
      <c r="B1628" s="19" t="s">
        <v>35</v>
      </c>
      <c r="C1628" s="19" t="s">
        <v>6</v>
      </c>
      <c r="D1628" s="19" t="s">
        <v>138</v>
      </c>
      <c r="E1628" s="19">
        <v>0</v>
      </c>
      <c r="F1628" s="19">
        <v>-1</v>
      </c>
    </row>
    <row r="1629" spans="1:6" x14ac:dyDescent="0.25">
      <c r="A1629" s="20">
        <v>45421</v>
      </c>
      <c r="B1629" s="19" t="s">
        <v>35</v>
      </c>
      <c r="C1629" s="19" t="s">
        <v>7</v>
      </c>
      <c r="D1629" s="19" t="s">
        <v>138</v>
      </c>
      <c r="E1629" s="19">
        <v>0</v>
      </c>
      <c r="F1629" s="19">
        <v>-1</v>
      </c>
    </row>
    <row r="1630" spans="1:6" x14ac:dyDescent="0.25">
      <c r="A1630" s="20">
        <v>45421</v>
      </c>
      <c r="B1630" s="19" t="s">
        <v>35</v>
      </c>
      <c r="C1630" s="19" t="s">
        <v>8</v>
      </c>
      <c r="D1630" s="19" t="s">
        <v>138</v>
      </c>
      <c r="E1630" s="19">
        <v>0</v>
      </c>
      <c r="F1630" s="19">
        <v>-1</v>
      </c>
    </row>
    <row r="1631" spans="1:6" x14ac:dyDescent="0.25">
      <c r="A1631" s="20">
        <v>45421</v>
      </c>
      <c r="B1631" s="19" t="s">
        <v>63</v>
      </c>
      <c r="C1631" s="19" t="s">
        <v>6</v>
      </c>
      <c r="D1631" s="19" t="s">
        <v>138</v>
      </c>
      <c r="E1631" s="19">
        <v>0</v>
      </c>
      <c r="F1631" s="19">
        <v>-1</v>
      </c>
    </row>
    <row r="1632" spans="1:6" x14ac:dyDescent="0.25">
      <c r="A1632" s="20">
        <v>45421</v>
      </c>
      <c r="B1632" s="19" t="s">
        <v>63</v>
      </c>
      <c r="C1632" s="19" t="s">
        <v>7</v>
      </c>
      <c r="D1632" s="19" t="s">
        <v>138</v>
      </c>
      <c r="E1632" s="19">
        <v>0</v>
      </c>
      <c r="F1632" s="19">
        <v>-1</v>
      </c>
    </row>
    <row r="1633" spans="1:6" x14ac:dyDescent="0.25">
      <c r="A1633" s="20">
        <v>45421</v>
      </c>
      <c r="B1633" s="19" t="s">
        <v>63</v>
      </c>
      <c r="C1633" s="19" t="s">
        <v>8</v>
      </c>
      <c r="D1633" s="19" t="s">
        <v>138</v>
      </c>
      <c r="E1633" s="19">
        <v>0</v>
      </c>
      <c r="F1633" s="19">
        <v>-1</v>
      </c>
    </row>
    <row r="1634" spans="1:6" x14ac:dyDescent="0.25">
      <c r="A1634" s="20">
        <v>45421</v>
      </c>
      <c r="B1634" s="19" t="s">
        <v>36</v>
      </c>
      <c r="C1634" s="19" t="s">
        <v>6</v>
      </c>
      <c r="D1634" s="19" t="s">
        <v>139</v>
      </c>
      <c r="E1634" s="19">
        <v>1639</v>
      </c>
      <c r="F1634" s="19">
        <v>13.2</v>
      </c>
    </row>
    <row r="1635" spans="1:6" x14ac:dyDescent="0.25">
      <c r="A1635" s="20">
        <v>45421</v>
      </c>
      <c r="B1635" s="19" t="s">
        <v>36</v>
      </c>
      <c r="C1635" s="19" t="s">
        <v>7</v>
      </c>
      <c r="D1635" s="19" t="s">
        <v>139</v>
      </c>
      <c r="E1635" s="19">
        <v>2261</v>
      </c>
      <c r="F1635" s="19">
        <v>13.2</v>
      </c>
    </row>
    <row r="1636" spans="1:6" x14ac:dyDescent="0.25">
      <c r="A1636" s="20">
        <v>45421</v>
      </c>
      <c r="B1636" s="19" t="s">
        <v>36</v>
      </c>
      <c r="C1636" s="19" t="s">
        <v>8</v>
      </c>
      <c r="D1636" s="19" t="s">
        <v>139</v>
      </c>
      <c r="E1636" s="19">
        <v>2024</v>
      </c>
      <c r="F1636" s="19">
        <v>13.2</v>
      </c>
    </row>
    <row r="1637" spans="1:6" x14ac:dyDescent="0.25">
      <c r="A1637" s="20">
        <v>45421</v>
      </c>
      <c r="B1637" s="19" t="s">
        <v>256</v>
      </c>
      <c r="C1637" s="19" t="s">
        <v>6</v>
      </c>
      <c r="D1637" s="19" t="s">
        <v>138</v>
      </c>
      <c r="E1637" s="19">
        <v>0</v>
      </c>
      <c r="F1637" s="19">
        <v>-1</v>
      </c>
    </row>
    <row r="1638" spans="1:6" x14ac:dyDescent="0.25">
      <c r="A1638" s="20">
        <v>45421</v>
      </c>
      <c r="B1638" s="19" t="s">
        <v>256</v>
      </c>
      <c r="C1638" s="19" t="s">
        <v>7</v>
      </c>
      <c r="D1638" s="19" t="s">
        <v>138</v>
      </c>
      <c r="E1638" s="19">
        <v>0</v>
      </c>
      <c r="F1638" s="19">
        <v>-1</v>
      </c>
    </row>
    <row r="1639" spans="1:6" x14ac:dyDescent="0.25">
      <c r="A1639" s="20">
        <v>45421</v>
      </c>
      <c r="B1639" s="19" t="s">
        <v>256</v>
      </c>
      <c r="C1639" s="19" t="s">
        <v>8</v>
      </c>
      <c r="D1639" s="19" t="s">
        <v>138</v>
      </c>
      <c r="E1639" s="19">
        <v>0</v>
      </c>
      <c r="F1639" s="19">
        <v>-1</v>
      </c>
    </row>
    <row r="1640" spans="1:6" x14ac:dyDescent="0.25">
      <c r="A1640" s="20">
        <v>45421</v>
      </c>
      <c r="B1640" s="19" t="s">
        <v>257</v>
      </c>
      <c r="C1640" s="19" t="s">
        <v>6</v>
      </c>
      <c r="D1640" s="19" t="s">
        <v>138</v>
      </c>
      <c r="E1640" s="19">
        <v>0</v>
      </c>
      <c r="F1640" s="19">
        <v>-1</v>
      </c>
    </row>
    <row r="1641" spans="1:6" x14ac:dyDescent="0.25">
      <c r="A1641" s="20">
        <v>45421</v>
      </c>
      <c r="B1641" s="19" t="s">
        <v>257</v>
      </c>
      <c r="C1641" s="19" t="s">
        <v>7</v>
      </c>
      <c r="D1641" s="19" t="s">
        <v>138</v>
      </c>
      <c r="E1641" s="19">
        <v>0</v>
      </c>
      <c r="F1641" s="19">
        <v>-1</v>
      </c>
    </row>
    <row r="1642" spans="1:6" x14ac:dyDescent="0.25">
      <c r="A1642" s="20">
        <v>45421</v>
      </c>
      <c r="B1642" s="19" t="s">
        <v>257</v>
      </c>
      <c r="C1642" s="19" t="s">
        <v>8</v>
      </c>
      <c r="D1642" s="19" t="s">
        <v>138</v>
      </c>
      <c r="E1642" s="19">
        <v>0</v>
      </c>
      <c r="F1642" s="19">
        <v>-1</v>
      </c>
    </row>
    <row r="1643" spans="1:6" x14ac:dyDescent="0.25">
      <c r="A1643" s="20">
        <v>45421</v>
      </c>
      <c r="B1643" s="19" t="s">
        <v>37</v>
      </c>
      <c r="C1643" s="19" t="s">
        <v>6</v>
      </c>
      <c r="D1643" s="19" t="s">
        <v>138</v>
      </c>
      <c r="E1643" s="19">
        <v>0</v>
      </c>
      <c r="F1643" s="19">
        <v>-1</v>
      </c>
    </row>
    <row r="1644" spans="1:6" x14ac:dyDescent="0.25">
      <c r="A1644" s="20">
        <v>45421</v>
      </c>
      <c r="B1644" s="19" t="s">
        <v>37</v>
      </c>
      <c r="C1644" s="19" t="s">
        <v>7</v>
      </c>
      <c r="D1644" s="19" t="s">
        <v>138</v>
      </c>
      <c r="E1644" s="19">
        <v>0</v>
      </c>
      <c r="F1644" s="19">
        <v>-1</v>
      </c>
    </row>
    <row r="1645" spans="1:6" x14ac:dyDescent="0.25">
      <c r="A1645" s="20">
        <v>45421</v>
      </c>
      <c r="B1645" s="19" t="s">
        <v>37</v>
      </c>
      <c r="C1645" s="19" t="s">
        <v>8</v>
      </c>
      <c r="D1645" s="19" t="s">
        <v>138</v>
      </c>
      <c r="E1645" s="19">
        <v>0</v>
      </c>
      <c r="F1645" s="19">
        <v>-1</v>
      </c>
    </row>
    <row r="1646" spans="1:6" x14ac:dyDescent="0.25">
      <c r="A1646" s="20">
        <v>45421</v>
      </c>
      <c r="B1646" s="19" t="s">
        <v>258</v>
      </c>
      <c r="C1646" s="19" t="s">
        <v>6</v>
      </c>
      <c r="D1646" s="19" t="s">
        <v>138</v>
      </c>
      <c r="E1646" s="19">
        <v>0</v>
      </c>
      <c r="F1646" s="19">
        <v>-1</v>
      </c>
    </row>
    <row r="1647" spans="1:6" x14ac:dyDescent="0.25">
      <c r="A1647" s="20">
        <v>45421</v>
      </c>
      <c r="B1647" s="19" t="s">
        <v>258</v>
      </c>
      <c r="C1647" s="19" t="s">
        <v>7</v>
      </c>
      <c r="D1647" s="19" t="s">
        <v>138</v>
      </c>
      <c r="E1647" s="19">
        <v>0</v>
      </c>
      <c r="F1647" s="19">
        <v>-1</v>
      </c>
    </row>
    <row r="1648" spans="1:6" x14ac:dyDescent="0.25">
      <c r="A1648" s="20">
        <v>45421</v>
      </c>
      <c r="B1648" s="19" t="s">
        <v>258</v>
      </c>
      <c r="C1648" s="19" t="s">
        <v>8</v>
      </c>
      <c r="D1648" s="19" t="s">
        <v>138</v>
      </c>
      <c r="E1648" s="19">
        <v>0</v>
      </c>
      <c r="F1648" s="19">
        <v>-1</v>
      </c>
    </row>
    <row r="1649" spans="1:6" x14ac:dyDescent="0.25">
      <c r="A1649" s="20">
        <v>45421</v>
      </c>
      <c r="B1649" s="19" t="s">
        <v>259</v>
      </c>
      <c r="C1649" s="19" t="s">
        <v>6</v>
      </c>
      <c r="D1649" s="19" t="s">
        <v>138</v>
      </c>
      <c r="E1649" s="19">
        <v>0</v>
      </c>
      <c r="F1649" s="19">
        <v>-1</v>
      </c>
    </row>
    <row r="1650" spans="1:6" x14ac:dyDescent="0.25">
      <c r="A1650" s="20">
        <v>45421</v>
      </c>
      <c r="B1650" s="19" t="s">
        <v>259</v>
      </c>
      <c r="C1650" s="19" t="s">
        <v>7</v>
      </c>
      <c r="D1650" s="19" t="s">
        <v>138</v>
      </c>
      <c r="E1650" s="19">
        <v>0</v>
      </c>
      <c r="F1650" s="19">
        <v>-1</v>
      </c>
    </row>
    <row r="1651" spans="1:6" x14ac:dyDescent="0.25">
      <c r="A1651" s="20">
        <v>45421</v>
      </c>
      <c r="B1651" s="19" t="s">
        <v>259</v>
      </c>
      <c r="C1651" s="19" t="s">
        <v>8</v>
      </c>
      <c r="D1651" s="19" t="s">
        <v>138</v>
      </c>
      <c r="E1651" s="19">
        <v>0</v>
      </c>
      <c r="F1651" s="19">
        <v>-1</v>
      </c>
    </row>
    <row r="1652" spans="1:6" x14ac:dyDescent="0.25">
      <c r="A1652" s="20">
        <v>45421</v>
      </c>
      <c r="B1652" s="19" t="s">
        <v>260</v>
      </c>
      <c r="C1652" s="19" t="s">
        <v>6</v>
      </c>
      <c r="D1652" s="19" t="s">
        <v>138</v>
      </c>
      <c r="E1652" s="19">
        <v>0</v>
      </c>
      <c r="F1652" s="19">
        <v>-1</v>
      </c>
    </row>
    <row r="1653" spans="1:6" x14ac:dyDescent="0.25">
      <c r="A1653" s="20">
        <v>45421</v>
      </c>
      <c r="B1653" s="19" t="s">
        <v>260</v>
      </c>
      <c r="C1653" s="19" t="s">
        <v>7</v>
      </c>
      <c r="D1653" s="19" t="s">
        <v>138</v>
      </c>
      <c r="E1653" s="19">
        <v>0</v>
      </c>
      <c r="F1653" s="19">
        <v>-1</v>
      </c>
    </row>
    <row r="1654" spans="1:6" x14ac:dyDescent="0.25">
      <c r="A1654" s="20">
        <v>45421</v>
      </c>
      <c r="B1654" s="19" t="s">
        <v>260</v>
      </c>
      <c r="C1654" s="19" t="s">
        <v>8</v>
      </c>
      <c r="D1654" s="19" t="s">
        <v>138</v>
      </c>
      <c r="E1654" s="19">
        <v>0</v>
      </c>
      <c r="F1654" s="19">
        <v>-1</v>
      </c>
    </row>
    <row r="1655" spans="1:6" x14ac:dyDescent="0.25">
      <c r="A1655" s="20">
        <v>45421</v>
      </c>
      <c r="B1655" s="19" t="s">
        <v>261</v>
      </c>
      <c r="C1655" s="19" t="s">
        <v>6</v>
      </c>
      <c r="D1655" s="19" t="s">
        <v>138</v>
      </c>
      <c r="E1655" s="19">
        <v>0</v>
      </c>
      <c r="F1655" s="19">
        <v>-1</v>
      </c>
    </row>
    <row r="1656" spans="1:6" x14ac:dyDescent="0.25">
      <c r="A1656" s="20">
        <v>45421</v>
      </c>
      <c r="B1656" s="19" t="s">
        <v>261</v>
      </c>
      <c r="C1656" s="19" t="s">
        <v>7</v>
      </c>
      <c r="D1656" s="19" t="s">
        <v>138</v>
      </c>
      <c r="E1656" s="19">
        <v>0</v>
      </c>
      <c r="F1656" s="19">
        <v>-1</v>
      </c>
    </row>
    <row r="1657" spans="1:6" x14ac:dyDescent="0.25">
      <c r="A1657" s="20">
        <v>45421</v>
      </c>
      <c r="B1657" s="19" t="s">
        <v>261</v>
      </c>
      <c r="C1657" s="19" t="s">
        <v>8</v>
      </c>
      <c r="D1657" s="19" t="s">
        <v>138</v>
      </c>
      <c r="E1657" s="19">
        <v>0</v>
      </c>
      <c r="F1657" s="19">
        <v>-1</v>
      </c>
    </row>
    <row r="1658" spans="1:6" x14ac:dyDescent="0.25">
      <c r="A1658" s="20">
        <v>45421</v>
      </c>
      <c r="B1658" s="19" t="s">
        <v>54</v>
      </c>
      <c r="C1658" s="19" t="s">
        <v>6</v>
      </c>
      <c r="D1658" s="19" t="s">
        <v>138</v>
      </c>
      <c r="E1658" s="19">
        <v>0</v>
      </c>
      <c r="F1658" s="19">
        <v>-1</v>
      </c>
    </row>
    <row r="1659" spans="1:6" x14ac:dyDescent="0.25">
      <c r="A1659" s="20">
        <v>45421</v>
      </c>
      <c r="B1659" s="19" t="s">
        <v>54</v>
      </c>
      <c r="C1659" s="19" t="s">
        <v>7</v>
      </c>
      <c r="D1659" s="19" t="s">
        <v>138</v>
      </c>
      <c r="E1659" s="19">
        <v>0</v>
      </c>
      <c r="F1659" s="19">
        <v>-1</v>
      </c>
    </row>
    <row r="1660" spans="1:6" x14ac:dyDescent="0.25">
      <c r="A1660" s="20">
        <v>45421</v>
      </c>
      <c r="B1660" s="19" t="s">
        <v>54</v>
      </c>
      <c r="C1660" s="19" t="s">
        <v>8</v>
      </c>
      <c r="D1660" s="19" t="s">
        <v>138</v>
      </c>
      <c r="E1660" s="19">
        <v>0</v>
      </c>
      <c r="F1660" s="19">
        <v>-1</v>
      </c>
    </row>
    <row r="1661" spans="1:6" x14ac:dyDescent="0.25">
      <c r="A1661" s="20">
        <v>45422</v>
      </c>
      <c r="B1661" s="19" t="s">
        <v>136</v>
      </c>
      <c r="C1661" s="19" t="s">
        <v>6</v>
      </c>
      <c r="D1661" s="19" t="s">
        <v>138</v>
      </c>
      <c r="E1661" s="19">
        <v>0</v>
      </c>
      <c r="F1661" s="19">
        <v>-1</v>
      </c>
    </row>
    <row r="1662" spans="1:6" x14ac:dyDescent="0.25">
      <c r="A1662" s="20">
        <v>45422</v>
      </c>
      <c r="B1662" s="19" t="s">
        <v>136</v>
      </c>
      <c r="C1662" s="19" t="s">
        <v>7</v>
      </c>
      <c r="D1662" s="19" t="s">
        <v>138</v>
      </c>
      <c r="E1662" s="19">
        <v>0</v>
      </c>
      <c r="F1662" s="19">
        <v>-1</v>
      </c>
    </row>
    <row r="1663" spans="1:6" x14ac:dyDescent="0.25">
      <c r="A1663" s="20">
        <v>45422</v>
      </c>
      <c r="B1663" s="19" t="s">
        <v>136</v>
      </c>
      <c r="C1663" s="19" t="s">
        <v>8</v>
      </c>
      <c r="D1663" s="19" t="s">
        <v>138</v>
      </c>
      <c r="E1663" s="19">
        <v>0</v>
      </c>
      <c r="F1663" s="19">
        <v>-1</v>
      </c>
    </row>
    <row r="1664" spans="1:6" x14ac:dyDescent="0.25">
      <c r="A1664" s="20">
        <v>45422</v>
      </c>
      <c r="B1664" s="19" t="s">
        <v>135</v>
      </c>
      <c r="C1664" s="19" t="s">
        <v>6</v>
      </c>
      <c r="D1664" s="19" t="s">
        <v>138</v>
      </c>
      <c r="E1664" s="19">
        <v>0</v>
      </c>
      <c r="F1664" s="19">
        <v>-1</v>
      </c>
    </row>
    <row r="1665" spans="1:6" x14ac:dyDescent="0.25">
      <c r="A1665" s="20">
        <v>45422</v>
      </c>
      <c r="B1665" s="19" t="s">
        <v>135</v>
      </c>
      <c r="C1665" s="19" t="s">
        <v>7</v>
      </c>
      <c r="D1665" s="19" t="s">
        <v>138</v>
      </c>
      <c r="E1665" s="19">
        <v>0</v>
      </c>
      <c r="F1665" s="19">
        <v>-1</v>
      </c>
    </row>
    <row r="1666" spans="1:6" x14ac:dyDescent="0.25">
      <c r="A1666" s="20">
        <v>45422</v>
      </c>
      <c r="B1666" s="19" t="s">
        <v>135</v>
      </c>
      <c r="C1666" s="19" t="s">
        <v>8</v>
      </c>
      <c r="D1666" s="19" t="s">
        <v>138</v>
      </c>
      <c r="E1666" s="19">
        <v>0</v>
      </c>
      <c r="F1666" s="19">
        <v>-1</v>
      </c>
    </row>
    <row r="1667" spans="1:6" x14ac:dyDescent="0.25">
      <c r="A1667" s="20">
        <v>45422</v>
      </c>
      <c r="B1667" s="19" t="s">
        <v>134</v>
      </c>
      <c r="C1667" s="19" t="s">
        <v>6</v>
      </c>
      <c r="D1667" s="19" t="s">
        <v>138</v>
      </c>
      <c r="E1667" s="19">
        <v>0</v>
      </c>
      <c r="F1667" s="19">
        <v>-1</v>
      </c>
    </row>
    <row r="1668" spans="1:6" x14ac:dyDescent="0.25">
      <c r="A1668" s="20">
        <v>45422</v>
      </c>
      <c r="B1668" s="19" t="s">
        <v>134</v>
      </c>
      <c r="C1668" s="19" t="s">
        <v>7</v>
      </c>
      <c r="D1668" s="19" t="s">
        <v>138</v>
      </c>
      <c r="E1668" s="19">
        <v>0</v>
      </c>
      <c r="F1668" s="19">
        <v>-1</v>
      </c>
    </row>
    <row r="1669" spans="1:6" x14ac:dyDescent="0.25">
      <c r="A1669" s="20">
        <v>45422</v>
      </c>
      <c r="B1669" s="19" t="s">
        <v>134</v>
      </c>
      <c r="C1669" s="19" t="s">
        <v>8</v>
      </c>
      <c r="D1669" s="19" t="s">
        <v>138</v>
      </c>
      <c r="E1669" s="19">
        <v>0</v>
      </c>
      <c r="F1669" s="19">
        <v>-1</v>
      </c>
    </row>
    <row r="1670" spans="1:6" x14ac:dyDescent="0.25">
      <c r="A1670" s="20">
        <v>45422</v>
      </c>
      <c r="B1670" s="19" t="s">
        <v>132</v>
      </c>
      <c r="C1670" s="19" t="s">
        <v>6</v>
      </c>
      <c r="D1670" s="19" t="s">
        <v>138</v>
      </c>
      <c r="E1670" s="19">
        <v>0</v>
      </c>
      <c r="F1670" s="19">
        <v>-1</v>
      </c>
    </row>
    <row r="1671" spans="1:6" x14ac:dyDescent="0.25">
      <c r="A1671" s="20">
        <v>45422</v>
      </c>
      <c r="B1671" s="19" t="s">
        <v>132</v>
      </c>
      <c r="C1671" s="19" t="s">
        <v>7</v>
      </c>
      <c r="D1671" s="19" t="s">
        <v>138</v>
      </c>
      <c r="E1671" s="19">
        <v>0</v>
      </c>
      <c r="F1671" s="19">
        <v>-1</v>
      </c>
    </row>
    <row r="1672" spans="1:6" x14ac:dyDescent="0.25">
      <c r="A1672" s="20">
        <v>45422</v>
      </c>
      <c r="B1672" s="19" t="s">
        <v>132</v>
      </c>
      <c r="C1672" s="19" t="s">
        <v>8</v>
      </c>
      <c r="D1672" s="19" t="s">
        <v>138</v>
      </c>
      <c r="E1672" s="19">
        <v>0</v>
      </c>
      <c r="F1672" s="19">
        <v>-1</v>
      </c>
    </row>
    <row r="1673" spans="1:6" x14ac:dyDescent="0.25">
      <c r="A1673" s="20">
        <v>45422</v>
      </c>
      <c r="B1673" s="19" t="s">
        <v>131</v>
      </c>
      <c r="C1673" s="19" t="s">
        <v>6</v>
      </c>
      <c r="D1673" s="19" t="s">
        <v>138</v>
      </c>
      <c r="E1673" s="19">
        <v>0</v>
      </c>
      <c r="F1673" s="19">
        <v>-1</v>
      </c>
    </row>
    <row r="1674" spans="1:6" x14ac:dyDescent="0.25">
      <c r="A1674" s="20">
        <v>45422</v>
      </c>
      <c r="B1674" s="19" t="s">
        <v>131</v>
      </c>
      <c r="C1674" s="19" t="s">
        <v>7</v>
      </c>
      <c r="D1674" s="19" t="s">
        <v>138</v>
      </c>
      <c r="E1674" s="19">
        <v>0</v>
      </c>
      <c r="F1674" s="19">
        <v>-1</v>
      </c>
    </row>
    <row r="1675" spans="1:6" x14ac:dyDescent="0.25">
      <c r="A1675" s="20">
        <v>45422</v>
      </c>
      <c r="B1675" s="19" t="s">
        <v>131</v>
      </c>
      <c r="C1675" s="19" t="s">
        <v>8</v>
      </c>
      <c r="D1675" s="19" t="s">
        <v>138</v>
      </c>
      <c r="E1675" s="19">
        <v>0</v>
      </c>
      <c r="F1675" s="19">
        <v>-1</v>
      </c>
    </row>
    <row r="1676" spans="1:6" x14ac:dyDescent="0.25">
      <c r="A1676" s="20">
        <v>45422</v>
      </c>
      <c r="B1676" s="19" t="s">
        <v>130</v>
      </c>
      <c r="C1676" s="19" t="s">
        <v>6</v>
      </c>
      <c r="D1676" s="19" t="s">
        <v>138</v>
      </c>
      <c r="E1676" s="19">
        <v>0</v>
      </c>
      <c r="F1676" s="19">
        <v>-1</v>
      </c>
    </row>
    <row r="1677" spans="1:6" x14ac:dyDescent="0.25">
      <c r="A1677" s="20">
        <v>45422</v>
      </c>
      <c r="B1677" s="19" t="s">
        <v>130</v>
      </c>
      <c r="C1677" s="19" t="s">
        <v>7</v>
      </c>
      <c r="D1677" s="19" t="s">
        <v>138</v>
      </c>
      <c r="E1677" s="19">
        <v>0</v>
      </c>
      <c r="F1677" s="19">
        <v>-1</v>
      </c>
    </row>
    <row r="1678" spans="1:6" x14ac:dyDescent="0.25">
      <c r="A1678" s="20">
        <v>45422</v>
      </c>
      <c r="B1678" s="19" t="s">
        <v>130</v>
      </c>
      <c r="C1678" s="19" t="s">
        <v>8</v>
      </c>
      <c r="D1678" s="19" t="s">
        <v>138</v>
      </c>
      <c r="E1678" s="19">
        <v>0</v>
      </c>
      <c r="F1678" s="19">
        <v>-1</v>
      </c>
    </row>
    <row r="1679" spans="1:6" x14ac:dyDescent="0.25">
      <c r="A1679" s="20">
        <v>45422</v>
      </c>
      <c r="B1679" s="19" t="s">
        <v>128</v>
      </c>
      <c r="C1679" s="19" t="s">
        <v>6</v>
      </c>
      <c r="D1679" s="19" t="s">
        <v>138</v>
      </c>
      <c r="E1679" s="19">
        <v>0</v>
      </c>
      <c r="F1679" s="19">
        <v>-1</v>
      </c>
    </row>
    <row r="1680" spans="1:6" x14ac:dyDescent="0.25">
      <c r="A1680" s="20">
        <v>45422</v>
      </c>
      <c r="B1680" s="19" t="s">
        <v>128</v>
      </c>
      <c r="C1680" s="19" t="s">
        <v>7</v>
      </c>
      <c r="D1680" s="19" t="s">
        <v>138</v>
      </c>
      <c r="E1680" s="19">
        <v>0</v>
      </c>
      <c r="F1680" s="19">
        <v>-1</v>
      </c>
    </row>
    <row r="1681" spans="1:6" x14ac:dyDescent="0.25">
      <c r="A1681" s="20">
        <v>45422</v>
      </c>
      <c r="B1681" s="19" t="s">
        <v>128</v>
      </c>
      <c r="C1681" s="19" t="s">
        <v>8</v>
      </c>
      <c r="D1681" s="19" t="s">
        <v>138</v>
      </c>
      <c r="E1681" s="19">
        <v>0</v>
      </c>
      <c r="F1681" s="19">
        <v>-1</v>
      </c>
    </row>
    <row r="1682" spans="1:6" x14ac:dyDescent="0.25">
      <c r="A1682" s="20">
        <v>45422</v>
      </c>
      <c r="B1682" s="19" t="s">
        <v>40</v>
      </c>
      <c r="C1682" s="19" t="s">
        <v>6</v>
      </c>
      <c r="D1682" s="19" t="s">
        <v>138</v>
      </c>
      <c r="E1682" s="19">
        <v>0</v>
      </c>
      <c r="F1682" s="19">
        <v>-1</v>
      </c>
    </row>
    <row r="1683" spans="1:6" x14ac:dyDescent="0.25">
      <c r="A1683" s="20">
        <v>45422</v>
      </c>
      <c r="B1683" s="19" t="s">
        <v>40</v>
      </c>
      <c r="C1683" s="19" t="s">
        <v>7</v>
      </c>
      <c r="D1683" s="19" t="s">
        <v>138</v>
      </c>
      <c r="E1683" s="19">
        <v>0</v>
      </c>
      <c r="F1683" s="19">
        <v>-1</v>
      </c>
    </row>
    <row r="1684" spans="1:6" x14ac:dyDescent="0.25">
      <c r="A1684" s="20">
        <v>45422</v>
      </c>
      <c r="B1684" s="19" t="s">
        <v>40</v>
      </c>
      <c r="C1684" s="19" t="s">
        <v>8</v>
      </c>
      <c r="D1684" s="19" t="s">
        <v>138</v>
      </c>
      <c r="E1684" s="19">
        <v>0</v>
      </c>
      <c r="F1684" s="19">
        <v>-1</v>
      </c>
    </row>
    <row r="1685" spans="1:6" x14ac:dyDescent="0.25">
      <c r="A1685" s="20">
        <v>45422</v>
      </c>
      <c r="B1685" s="19" t="s">
        <v>127</v>
      </c>
      <c r="C1685" s="19" t="s">
        <v>6</v>
      </c>
      <c r="D1685" s="19" t="s">
        <v>138</v>
      </c>
      <c r="E1685" s="19">
        <v>0</v>
      </c>
      <c r="F1685" s="19">
        <v>-1</v>
      </c>
    </row>
    <row r="1686" spans="1:6" x14ac:dyDescent="0.25">
      <c r="A1686" s="20">
        <v>45422</v>
      </c>
      <c r="B1686" s="19" t="s">
        <v>127</v>
      </c>
      <c r="C1686" s="19" t="s">
        <v>7</v>
      </c>
      <c r="D1686" s="19" t="s">
        <v>138</v>
      </c>
      <c r="E1686" s="19">
        <v>0</v>
      </c>
      <c r="F1686" s="19">
        <v>-1</v>
      </c>
    </row>
    <row r="1687" spans="1:6" x14ac:dyDescent="0.25">
      <c r="A1687" s="20">
        <v>45422</v>
      </c>
      <c r="B1687" s="19" t="s">
        <v>127</v>
      </c>
      <c r="C1687" s="19" t="s">
        <v>8</v>
      </c>
      <c r="D1687" s="19" t="s">
        <v>138</v>
      </c>
      <c r="E1687" s="19">
        <v>0</v>
      </c>
      <c r="F1687" s="19">
        <v>-1</v>
      </c>
    </row>
    <row r="1688" spans="1:6" x14ac:dyDescent="0.25">
      <c r="A1688" s="20">
        <v>45422</v>
      </c>
      <c r="B1688" s="19" t="s">
        <v>124</v>
      </c>
      <c r="C1688" s="19" t="s">
        <v>6</v>
      </c>
      <c r="D1688" s="19" t="s">
        <v>138</v>
      </c>
      <c r="E1688" s="19">
        <v>0</v>
      </c>
      <c r="F1688" s="19">
        <v>-1</v>
      </c>
    </row>
    <row r="1689" spans="1:6" x14ac:dyDescent="0.25">
      <c r="A1689" s="20">
        <v>45422</v>
      </c>
      <c r="B1689" s="19" t="s">
        <v>124</v>
      </c>
      <c r="C1689" s="19" t="s">
        <v>7</v>
      </c>
      <c r="D1689" s="19" t="s">
        <v>138</v>
      </c>
      <c r="E1689" s="19">
        <v>0</v>
      </c>
      <c r="F1689" s="19">
        <v>-1</v>
      </c>
    </row>
    <row r="1690" spans="1:6" x14ac:dyDescent="0.25">
      <c r="A1690" s="20">
        <v>45422</v>
      </c>
      <c r="B1690" s="19" t="s">
        <v>124</v>
      </c>
      <c r="C1690" s="19" t="s">
        <v>8</v>
      </c>
      <c r="D1690" s="19" t="s">
        <v>138</v>
      </c>
      <c r="E1690" s="19">
        <v>0</v>
      </c>
      <c r="F1690" s="19">
        <v>-1</v>
      </c>
    </row>
    <row r="1691" spans="1:6" x14ac:dyDescent="0.25">
      <c r="A1691" s="20">
        <v>45422</v>
      </c>
      <c r="B1691" s="19" t="s">
        <v>122</v>
      </c>
      <c r="C1691" s="19" t="s">
        <v>6</v>
      </c>
      <c r="D1691" s="19" t="s">
        <v>138</v>
      </c>
      <c r="E1691" s="19">
        <v>0</v>
      </c>
      <c r="F1691" s="19">
        <v>-1</v>
      </c>
    </row>
    <row r="1692" spans="1:6" x14ac:dyDescent="0.25">
      <c r="A1692" s="20">
        <v>45422</v>
      </c>
      <c r="B1692" s="19" t="s">
        <v>122</v>
      </c>
      <c r="C1692" s="19" t="s">
        <v>7</v>
      </c>
      <c r="D1692" s="19" t="s">
        <v>138</v>
      </c>
      <c r="E1692" s="19">
        <v>0</v>
      </c>
      <c r="F1692" s="19">
        <v>-1</v>
      </c>
    </row>
    <row r="1693" spans="1:6" x14ac:dyDescent="0.25">
      <c r="A1693" s="20">
        <v>45422</v>
      </c>
      <c r="B1693" s="19" t="s">
        <v>122</v>
      </c>
      <c r="C1693" s="19" t="s">
        <v>8</v>
      </c>
      <c r="D1693" s="19" t="s">
        <v>138</v>
      </c>
      <c r="E1693" s="19">
        <v>0</v>
      </c>
      <c r="F1693" s="19">
        <v>-1</v>
      </c>
    </row>
    <row r="1694" spans="1:6" x14ac:dyDescent="0.25">
      <c r="A1694" s="20">
        <v>45422</v>
      </c>
      <c r="B1694" s="19" t="s">
        <v>120</v>
      </c>
      <c r="C1694" s="19" t="s">
        <v>6</v>
      </c>
      <c r="D1694" s="19" t="s">
        <v>138</v>
      </c>
      <c r="E1694" s="19">
        <v>0</v>
      </c>
      <c r="F1694" s="19">
        <v>-1</v>
      </c>
    </row>
    <row r="1695" spans="1:6" x14ac:dyDescent="0.25">
      <c r="A1695" s="20">
        <v>45422</v>
      </c>
      <c r="B1695" s="19" t="s">
        <v>120</v>
      </c>
      <c r="C1695" s="19" t="s">
        <v>7</v>
      </c>
      <c r="D1695" s="19" t="s">
        <v>138</v>
      </c>
      <c r="E1695" s="19">
        <v>0</v>
      </c>
      <c r="F1695" s="19">
        <v>-1</v>
      </c>
    </row>
    <row r="1696" spans="1:6" x14ac:dyDescent="0.25">
      <c r="A1696" s="20">
        <v>45422</v>
      </c>
      <c r="B1696" s="19" t="s">
        <v>120</v>
      </c>
      <c r="C1696" s="19" t="s">
        <v>8</v>
      </c>
      <c r="D1696" s="19" t="s">
        <v>138</v>
      </c>
      <c r="E1696" s="19">
        <v>0</v>
      </c>
      <c r="F1696" s="19">
        <v>-1</v>
      </c>
    </row>
    <row r="1697" spans="1:6" x14ac:dyDescent="0.25">
      <c r="A1697" s="20">
        <v>45422</v>
      </c>
      <c r="B1697" s="19" t="s">
        <v>119</v>
      </c>
      <c r="C1697" s="19" t="s">
        <v>6</v>
      </c>
      <c r="D1697" s="19" t="s">
        <v>138</v>
      </c>
      <c r="E1697" s="19">
        <v>0</v>
      </c>
      <c r="F1697" s="19">
        <v>-1</v>
      </c>
    </row>
    <row r="1698" spans="1:6" x14ac:dyDescent="0.25">
      <c r="A1698" s="20">
        <v>45422</v>
      </c>
      <c r="B1698" s="19" t="s">
        <v>119</v>
      </c>
      <c r="C1698" s="19" t="s">
        <v>7</v>
      </c>
      <c r="D1698" s="19" t="s">
        <v>138</v>
      </c>
      <c r="E1698" s="19">
        <v>0</v>
      </c>
      <c r="F1698" s="19">
        <v>-1</v>
      </c>
    </row>
    <row r="1699" spans="1:6" x14ac:dyDescent="0.25">
      <c r="A1699" s="20">
        <v>45422</v>
      </c>
      <c r="B1699" s="19" t="s">
        <v>119</v>
      </c>
      <c r="C1699" s="19" t="s">
        <v>8</v>
      </c>
      <c r="D1699" s="19" t="s">
        <v>138</v>
      </c>
      <c r="E1699" s="19">
        <v>0</v>
      </c>
      <c r="F1699" s="19">
        <v>-1</v>
      </c>
    </row>
    <row r="1700" spans="1:6" x14ac:dyDescent="0.25">
      <c r="A1700" s="20">
        <v>45422</v>
      </c>
      <c r="B1700" s="19" t="s">
        <v>117</v>
      </c>
      <c r="C1700" s="19" t="s">
        <v>6</v>
      </c>
      <c r="D1700" s="19" t="s">
        <v>138</v>
      </c>
      <c r="E1700" s="19">
        <v>0</v>
      </c>
      <c r="F1700" s="19">
        <v>-1</v>
      </c>
    </row>
    <row r="1701" spans="1:6" x14ac:dyDescent="0.25">
      <c r="A1701" s="20">
        <v>45422</v>
      </c>
      <c r="B1701" s="19" t="s">
        <v>117</v>
      </c>
      <c r="C1701" s="19" t="s">
        <v>7</v>
      </c>
      <c r="D1701" s="19" t="s">
        <v>138</v>
      </c>
      <c r="E1701" s="19">
        <v>0</v>
      </c>
      <c r="F1701" s="19">
        <v>-1</v>
      </c>
    </row>
    <row r="1702" spans="1:6" x14ac:dyDescent="0.25">
      <c r="A1702" s="20">
        <v>45422</v>
      </c>
      <c r="B1702" s="19" t="s">
        <v>117</v>
      </c>
      <c r="C1702" s="19" t="s">
        <v>8</v>
      </c>
      <c r="D1702" s="19" t="s">
        <v>138</v>
      </c>
      <c r="E1702" s="19">
        <v>0</v>
      </c>
      <c r="F1702" s="19">
        <v>-1</v>
      </c>
    </row>
    <row r="1703" spans="1:6" x14ac:dyDescent="0.25">
      <c r="A1703" s="20">
        <v>45422</v>
      </c>
      <c r="B1703" s="19" t="s">
        <v>39</v>
      </c>
      <c r="C1703" s="19" t="s">
        <v>6</v>
      </c>
      <c r="D1703" s="19" t="s">
        <v>138</v>
      </c>
      <c r="E1703" s="19">
        <v>0</v>
      </c>
      <c r="F1703" s="19">
        <v>-1</v>
      </c>
    </row>
    <row r="1704" spans="1:6" x14ac:dyDescent="0.25">
      <c r="A1704" s="20">
        <v>45422</v>
      </c>
      <c r="B1704" s="19" t="s">
        <v>39</v>
      </c>
      <c r="C1704" s="19" t="s">
        <v>7</v>
      </c>
      <c r="D1704" s="19" t="s">
        <v>138</v>
      </c>
      <c r="E1704" s="19">
        <v>0</v>
      </c>
      <c r="F1704" s="19">
        <v>-1</v>
      </c>
    </row>
    <row r="1705" spans="1:6" x14ac:dyDescent="0.25">
      <c r="A1705" s="20">
        <v>45422</v>
      </c>
      <c r="B1705" s="19" t="s">
        <v>39</v>
      </c>
      <c r="C1705" s="19" t="s">
        <v>8</v>
      </c>
      <c r="D1705" s="19" t="s">
        <v>138</v>
      </c>
      <c r="E1705" s="19">
        <v>0</v>
      </c>
      <c r="F1705" s="19">
        <v>-1</v>
      </c>
    </row>
    <row r="1706" spans="1:6" x14ac:dyDescent="0.25">
      <c r="A1706" s="20">
        <v>45422</v>
      </c>
      <c r="B1706" s="19" t="s">
        <v>113</v>
      </c>
      <c r="C1706" s="19" t="s">
        <v>6</v>
      </c>
      <c r="D1706" s="19" t="s">
        <v>138</v>
      </c>
      <c r="E1706" s="19">
        <v>0</v>
      </c>
      <c r="F1706" s="19">
        <v>-1</v>
      </c>
    </row>
    <row r="1707" spans="1:6" x14ac:dyDescent="0.25">
      <c r="A1707" s="20">
        <v>45422</v>
      </c>
      <c r="B1707" s="19" t="s">
        <v>113</v>
      </c>
      <c r="C1707" s="19" t="s">
        <v>7</v>
      </c>
      <c r="D1707" s="19" t="s">
        <v>138</v>
      </c>
      <c r="E1707" s="19">
        <v>0</v>
      </c>
      <c r="F1707" s="19">
        <v>-1</v>
      </c>
    </row>
    <row r="1708" spans="1:6" x14ac:dyDescent="0.25">
      <c r="A1708" s="20">
        <v>45422</v>
      </c>
      <c r="B1708" s="19" t="s">
        <v>113</v>
      </c>
      <c r="C1708" s="19" t="s">
        <v>8</v>
      </c>
      <c r="D1708" s="19" t="s">
        <v>138</v>
      </c>
      <c r="E1708" s="19">
        <v>0</v>
      </c>
      <c r="F1708" s="19">
        <v>-1</v>
      </c>
    </row>
    <row r="1709" spans="1:6" x14ac:dyDescent="0.25">
      <c r="A1709" s="20">
        <v>45422</v>
      </c>
      <c r="B1709" s="19" t="s">
        <v>111</v>
      </c>
      <c r="C1709" s="19" t="s">
        <v>6</v>
      </c>
      <c r="D1709" s="19" t="s">
        <v>138</v>
      </c>
      <c r="E1709" s="19">
        <v>0</v>
      </c>
      <c r="F1709" s="19">
        <v>-1</v>
      </c>
    </row>
    <row r="1710" spans="1:6" x14ac:dyDescent="0.25">
      <c r="A1710" s="20">
        <v>45422</v>
      </c>
      <c r="B1710" s="19" t="s">
        <v>111</v>
      </c>
      <c r="C1710" s="19" t="s">
        <v>7</v>
      </c>
      <c r="D1710" s="19" t="s">
        <v>138</v>
      </c>
      <c r="E1710" s="19">
        <v>0</v>
      </c>
      <c r="F1710" s="19">
        <v>-1</v>
      </c>
    </row>
    <row r="1711" spans="1:6" x14ac:dyDescent="0.25">
      <c r="A1711" s="20">
        <v>45422</v>
      </c>
      <c r="B1711" s="19" t="s">
        <v>111</v>
      </c>
      <c r="C1711" s="19" t="s">
        <v>8</v>
      </c>
      <c r="D1711" s="19" t="s">
        <v>138</v>
      </c>
      <c r="E1711" s="19">
        <v>0</v>
      </c>
      <c r="F1711" s="19">
        <v>-1</v>
      </c>
    </row>
    <row r="1712" spans="1:6" x14ac:dyDescent="0.25">
      <c r="A1712" s="20">
        <v>45422</v>
      </c>
      <c r="B1712" s="19" t="s">
        <v>109</v>
      </c>
      <c r="C1712" s="19" t="s">
        <v>6</v>
      </c>
      <c r="D1712" s="19" t="s">
        <v>138</v>
      </c>
      <c r="E1712" s="19">
        <v>0</v>
      </c>
      <c r="F1712" s="19">
        <v>-1</v>
      </c>
    </row>
    <row r="1713" spans="1:6" x14ac:dyDescent="0.25">
      <c r="A1713" s="20">
        <v>45422</v>
      </c>
      <c r="B1713" s="19" t="s">
        <v>109</v>
      </c>
      <c r="C1713" s="19" t="s">
        <v>7</v>
      </c>
      <c r="D1713" s="19" t="s">
        <v>138</v>
      </c>
      <c r="E1713" s="19">
        <v>0</v>
      </c>
      <c r="F1713" s="19">
        <v>-1</v>
      </c>
    </row>
    <row r="1714" spans="1:6" x14ac:dyDescent="0.25">
      <c r="A1714" s="20">
        <v>45422</v>
      </c>
      <c r="B1714" s="19" t="s">
        <v>109</v>
      </c>
      <c r="C1714" s="19" t="s">
        <v>8</v>
      </c>
      <c r="D1714" s="19" t="s">
        <v>138</v>
      </c>
      <c r="E1714" s="19">
        <v>0</v>
      </c>
      <c r="F1714" s="19">
        <v>-1</v>
      </c>
    </row>
    <row r="1715" spans="1:6" x14ac:dyDescent="0.25">
      <c r="A1715" s="20">
        <v>45422</v>
      </c>
      <c r="B1715" s="19" t="s">
        <v>107</v>
      </c>
      <c r="C1715" s="19" t="s">
        <v>6</v>
      </c>
      <c r="D1715" s="19" t="s">
        <v>139</v>
      </c>
      <c r="E1715" s="19">
        <v>2223</v>
      </c>
      <c r="F1715" s="19">
        <v>-1</v>
      </c>
    </row>
    <row r="1716" spans="1:6" x14ac:dyDescent="0.25">
      <c r="A1716" s="20">
        <v>45422</v>
      </c>
      <c r="B1716" s="19" t="s">
        <v>107</v>
      </c>
      <c r="C1716" s="19" t="s">
        <v>7</v>
      </c>
      <c r="D1716" s="19" t="s">
        <v>139</v>
      </c>
      <c r="E1716" s="19">
        <v>2232</v>
      </c>
      <c r="F1716" s="19">
        <v>-1</v>
      </c>
    </row>
    <row r="1717" spans="1:6" x14ac:dyDescent="0.25">
      <c r="A1717" s="20">
        <v>45422</v>
      </c>
      <c r="B1717" s="19" t="s">
        <v>107</v>
      </c>
      <c r="C1717" s="19" t="s">
        <v>8</v>
      </c>
      <c r="D1717" s="19" t="s">
        <v>139</v>
      </c>
      <c r="E1717" s="19">
        <v>2243</v>
      </c>
      <c r="F1717" s="19">
        <v>-1</v>
      </c>
    </row>
    <row r="1718" spans="1:6" x14ac:dyDescent="0.25">
      <c r="A1718" s="20">
        <v>45422</v>
      </c>
      <c r="B1718" s="19" t="s">
        <v>41</v>
      </c>
      <c r="C1718" s="19" t="s">
        <v>6</v>
      </c>
      <c r="D1718" s="19" t="s">
        <v>138</v>
      </c>
      <c r="E1718" s="19">
        <v>0</v>
      </c>
      <c r="F1718" s="19">
        <v>-1</v>
      </c>
    </row>
    <row r="1719" spans="1:6" x14ac:dyDescent="0.25">
      <c r="A1719" s="20">
        <v>45422</v>
      </c>
      <c r="B1719" s="19" t="s">
        <v>41</v>
      </c>
      <c r="C1719" s="19" t="s">
        <v>7</v>
      </c>
      <c r="D1719" s="19" t="s">
        <v>138</v>
      </c>
      <c r="E1719" s="19">
        <v>0</v>
      </c>
      <c r="F1719" s="19">
        <v>-1</v>
      </c>
    </row>
    <row r="1720" spans="1:6" x14ac:dyDescent="0.25">
      <c r="A1720" s="20">
        <v>45422</v>
      </c>
      <c r="B1720" s="19" t="s">
        <v>41</v>
      </c>
      <c r="C1720" s="19" t="s">
        <v>8</v>
      </c>
      <c r="D1720" s="19" t="s">
        <v>138</v>
      </c>
      <c r="E1720" s="19">
        <v>0</v>
      </c>
      <c r="F1720" s="19">
        <v>-1</v>
      </c>
    </row>
    <row r="1721" spans="1:6" x14ac:dyDescent="0.25">
      <c r="A1721" s="20">
        <v>45422</v>
      </c>
      <c r="B1721" s="19" t="s">
        <v>43</v>
      </c>
      <c r="C1721" s="19" t="s">
        <v>6</v>
      </c>
      <c r="D1721" s="19" t="s">
        <v>138</v>
      </c>
      <c r="E1721" s="19">
        <v>0</v>
      </c>
      <c r="F1721" s="19">
        <v>-1</v>
      </c>
    </row>
    <row r="1722" spans="1:6" x14ac:dyDescent="0.25">
      <c r="A1722" s="20">
        <v>45422</v>
      </c>
      <c r="B1722" s="19" t="s">
        <v>43</v>
      </c>
      <c r="C1722" s="19" t="s">
        <v>7</v>
      </c>
      <c r="D1722" s="19" t="s">
        <v>138</v>
      </c>
      <c r="E1722" s="19">
        <v>0</v>
      </c>
      <c r="F1722" s="19">
        <v>-1</v>
      </c>
    </row>
    <row r="1723" spans="1:6" x14ac:dyDescent="0.25">
      <c r="A1723" s="20">
        <v>45422</v>
      </c>
      <c r="B1723" s="19" t="s">
        <v>43</v>
      </c>
      <c r="C1723" s="19" t="s">
        <v>8</v>
      </c>
      <c r="D1723" s="19" t="s">
        <v>138</v>
      </c>
      <c r="E1723" s="19">
        <v>0</v>
      </c>
      <c r="F1723" s="19">
        <v>-1</v>
      </c>
    </row>
    <row r="1724" spans="1:6" x14ac:dyDescent="0.25">
      <c r="A1724" s="20">
        <v>45422</v>
      </c>
      <c r="B1724" s="19" t="s">
        <v>5</v>
      </c>
      <c r="C1724" s="19" t="s">
        <v>6</v>
      </c>
      <c r="D1724" s="19" t="s">
        <v>138</v>
      </c>
      <c r="E1724" s="19">
        <v>0</v>
      </c>
      <c r="F1724" s="19">
        <v>-1</v>
      </c>
    </row>
    <row r="1725" spans="1:6" x14ac:dyDescent="0.25">
      <c r="A1725" s="20">
        <v>45422</v>
      </c>
      <c r="B1725" s="19" t="s">
        <v>5</v>
      </c>
      <c r="C1725" s="19" t="s">
        <v>7</v>
      </c>
      <c r="D1725" s="19" t="s">
        <v>138</v>
      </c>
      <c r="E1725" s="19">
        <v>0</v>
      </c>
      <c r="F1725" s="19">
        <v>-1</v>
      </c>
    </row>
    <row r="1726" spans="1:6" x14ac:dyDescent="0.25">
      <c r="A1726" s="20">
        <v>45422</v>
      </c>
      <c r="B1726" s="19" t="s">
        <v>5</v>
      </c>
      <c r="C1726" s="19" t="s">
        <v>8</v>
      </c>
      <c r="D1726" s="19" t="s">
        <v>138</v>
      </c>
      <c r="E1726" s="19">
        <v>0</v>
      </c>
      <c r="F1726" s="19">
        <v>-1</v>
      </c>
    </row>
    <row r="1727" spans="1:6" x14ac:dyDescent="0.25">
      <c r="A1727" s="20">
        <v>45422</v>
      </c>
      <c r="B1727" s="19" t="s">
        <v>9</v>
      </c>
      <c r="C1727" s="19" t="s">
        <v>6</v>
      </c>
      <c r="D1727" s="19" t="s">
        <v>138</v>
      </c>
      <c r="E1727" s="19">
        <v>0</v>
      </c>
      <c r="F1727" s="19">
        <v>-1</v>
      </c>
    </row>
    <row r="1728" spans="1:6" x14ac:dyDescent="0.25">
      <c r="A1728" s="20">
        <v>45422</v>
      </c>
      <c r="B1728" s="19" t="s">
        <v>9</v>
      </c>
      <c r="C1728" s="19" t="s">
        <v>7</v>
      </c>
      <c r="D1728" s="19" t="s">
        <v>138</v>
      </c>
      <c r="E1728" s="19">
        <v>0</v>
      </c>
      <c r="F1728" s="19">
        <v>-1</v>
      </c>
    </row>
    <row r="1729" spans="1:6" x14ac:dyDescent="0.25">
      <c r="A1729" s="20">
        <v>45422</v>
      </c>
      <c r="B1729" s="19" t="s">
        <v>9</v>
      </c>
      <c r="C1729" s="19" t="s">
        <v>8</v>
      </c>
      <c r="D1729" s="19" t="s">
        <v>138</v>
      </c>
      <c r="E1729" s="19">
        <v>0</v>
      </c>
      <c r="F1729" s="19">
        <v>-1</v>
      </c>
    </row>
    <row r="1730" spans="1:6" x14ac:dyDescent="0.25">
      <c r="A1730" s="20">
        <v>45422</v>
      </c>
      <c r="B1730" s="19" t="s">
        <v>10</v>
      </c>
      <c r="C1730" s="19" t="s">
        <v>6</v>
      </c>
      <c r="D1730" s="19" t="s">
        <v>138</v>
      </c>
      <c r="E1730" s="19">
        <v>0</v>
      </c>
      <c r="F1730" s="19">
        <v>-1</v>
      </c>
    </row>
    <row r="1731" spans="1:6" x14ac:dyDescent="0.25">
      <c r="A1731" s="20">
        <v>45422</v>
      </c>
      <c r="B1731" s="19" t="s">
        <v>10</v>
      </c>
      <c r="C1731" s="19" t="s">
        <v>7</v>
      </c>
      <c r="D1731" s="19" t="s">
        <v>138</v>
      </c>
      <c r="E1731" s="19">
        <v>0</v>
      </c>
      <c r="F1731" s="19">
        <v>-1</v>
      </c>
    </row>
    <row r="1732" spans="1:6" x14ac:dyDescent="0.25">
      <c r="A1732" s="20">
        <v>45422</v>
      </c>
      <c r="B1732" s="19" t="s">
        <v>10</v>
      </c>
      <c r="C1732" s="19" t="s">
        <v>8</v>
      </c>
      <c r="D1732" s="19" t="s">
        <v>138</v>
      </c>
      <c r="E1732" s="19">
        <v>0</v>
      </c>
      <c r="F1732" s="19">
        <v>-1</v>
      </c>
    </row>
    <row r="1733" spans="1:6" x14ac:dyDescent="0.25">
      <c r="A1733" s="20">
        <v>45422</v>
      </c>
      <c r="B1733" s="19" t="s">
        <v>11</v>
      </c>
      <c r="C1733" s="19" t="s">
        <v>6</v>
      </c>
      <c r="D1733" s="19" t="s">
        <v>139</v>
      </c>
      <c r="E1733" s="19">
        <v>2533</v>
      </c>
      <c r="F1733" s="19">
        <v>-1</v>
      </c>
    </row>
    <row r="1734" spans="1:6" x14ac:dyDescent="0.25">
      <c r="A1734" s="20">
        <v>45422</v>
      </c>
      <c r="B1734" s="19" t="s">
        <v>12</v>
      </c>
      <c r="C1734" s="19" t="s">
        <v>6</v>
      </c>
      <c r="D1734" s="19" t="s">
        <v>138</v>
      </c>
      <c r="E1734" s="19">
        <v>0</v>
      </c>
      <c r="F1734" s="19">
        <v>-1</v>
      </c>
    </row>
    <row r="1735" spans="1:6" x14ac:dyDescent="0.25">
      <c r="A1735" s="20">
        <v>45422</v>
      </c>
      <c r="B1735" s="19" t="s">
        <v>12</v>
      </c>
      <c r="C1735" s="19" t="s">
        <v>7</v>
      </c>
      <c r="D1735" s="19" t="s">
        <v>138</v>
      </c>
      <c r="E1735" s="19">
        <v>0</v>
      </c>
      <c r="F1735" s="19">
        <v>-1</v>
      </c>
    </row>
    <row r="1736" spans="1:6" x14ac:dyDescent="0.25">
      <c r="A1736" s="20">
        <v>45422</v>
      </c>
      <c r="B1736" s="19" t="s">
        <v>12</v>
      </c>
      <c r="C1736" s="19" t="s">
        <v>8</v>
      </c>
      <c r="D1736" s="19" t="s">
        <v>138</v>
      </c>
      <c r="E1736" s="19">
        <v>0</v>
      </c>
      <c r="F1736" s="19">
        <v>-1</v>
      </c>
    </row>
    <row r="1737" spans="1:6" x14ac:dyDescent="0.25">
      <c r="A1737" s="20">
        <v>45422</v>
      </c>
      <c r="B1737" s="19" t="s">
        <v>105</v>
      </c>
      <c r="C1737" s="19" t="s">
        <v>6</v>
      </c>
      <c r="D1737" s="19" t="s">
        <v>139</v>
      </c>
      <c r="E1737" s="19">
        <v>2378</v>
      </c>
      <c r="F1737" s="19">
        <v>-1</v>
      </c>
    </row>
    <row r="1738" spans="1:6" x14ac:dyDescent="0.25">
      <c r="A1738" s="20">
        <v>45422</v>
      </c>
      <c r="B1738" s="19" t="s">
        <v>105</v>
      </c>
      <c r="C1738" s="19" t="s">
        <v>7</v>
      </c>
      <c r="D1738" s="19" t="s">
        <v>139</v>
      </c>
      <c r="E1738" s="19">
        <v>2445</v>
      </c>
      <c r="F1738" s="19">
        <v>-1</v>
      </c>
    </row>
    <row r="1739" spans="1:6" x14ac:dyDescent="0.25">
      <c r="A1739" s="20">
        <v>45422</v>
      </c>
      <c r="B1739" s="19" t="s">
        <v>105</v>
      </c>
      <c r="C1739" s="19" t="s">
        <v>8</v>
      </c>
      <c r="D1739" s="19" t="s">
        <v>139</v>
      </c>
      <c r="E1739" s="19">
        <v>2313</v>
      </c>
      <c r="F1739" s="19">
        <v>-1</v>
      </c>
    </row>
    <row r="1740" spans="1:6" x14ac:dyDescent="0.25">
      <c r="A1740" s="20">
        <v>45422</v>
      </c>
      <c r="B1740" s="19" t="s">
        <v>104</v>
      </c>
      <c r="C1740" s="19" t="s">
        <v>6</v>
      </c>
      <c r="D1740" s="19" t="s">
        <v>138</v>
      </c>
      <c r="E1740" s="19">
        <v>0</v>
      </c>
      <c r="F1740" s="19">
        <v>-1</v>
      </c>
    </row>
    <row r="1741" spans="1:6" x14ac:dyDescent="0.25">
      <c r="A1741" s="20">
        <v>45422</v>
      </c>
      <c r="B1741" s="19" t="s">
        <v>104</v>
      </c>
      <c r="C1741" s="19" t="s">
        <v>7</v>
      </c>
      <c r="D1741" s="19" t="s">
        <v>138</v>
      </c>
      <c r="E1741" s="19">
        <v>0</v>
      </c>
      <c r="F1741" s="19">
        <v>-1</v>
      </c>
    </row>
    <row r="1742" spans="1:6" x14ac:dyDescent="0.25">
      <c r="A1742" s="20">
        <v>45422</v>
      </c>
      <c r="B1742" s="19" t="s">
        <v>104</v>
      </c>
      <c r="C1742" s="19" t="s">
        <v>8</v>
      </c>
      <c r="D1742" s="19" t="s">
        <v>138</v>
      </c>
      <c r="E1742" s="19">
        <v>0</v>
      </c>
      <c r="F1742" s="19">
        <v>-1</v>
      </c>
    </row>
    <row r="1743" spans="1:6" x14ac:dyDescent="0.25">
      <c r="A1743" s="20">
        <v>45422</v>
      </c>
      <c r="B1743" s="19" t="s">
        <v>13</v>
      </c>
      <c r="C1743" s="19" t="s">
        <v>6</v>
      </c>
      <c r="D1743" s="19" t="s">
        <v>139</v>
      </c>
      <c r="E1743" s="19">
        <v>2269</v>
      </c>
      <c r="F1743" s="19">
        <v>-1</v>
      </c>
    </row>
    <row r="1744" spans="1:6" x14ac:dyDescent="0.25">
      <c r="A1744" s="20">
        <v>45422</v>
      </c>
      <c r="B1744" s="19" t="s">
        <v>13</v>
      </c>
      <c r="C1744" s="19" t="s">
        <v>7</v>
      </c>
      <c r="D1744" s="19" t="s">
        <v>139</v>
      </c>
      <c r="E1744" s="19">
        <v>2324</v>
      </c>
      <c r="F1744" s="19">
        <v>-1</v>
      </c>
    </row>
    <row r="1745" spans="1:6" x14ac:dyDescent="0.25">
      <c r="A1745" s="20">
        <v>45422</v>
      </c>
      <c r="B1745" s="19" t="s">
        <v>13</v>
      </c>
      <c r="C1745" s="19" t="s">
        <v>8</v>
      </c>
      <c r="D1745" s="19" t="s">
        <v>139</v>
      </c>
      <c r="E1745" s="19">
        <v>2043</v>
      </c>
      <c r="F1745" s="19">
        <v>-1</v>
      </c>
    </row>
    <row r="1746" spans="1:6" x14ac:dyDescent="0.25">
      <c r="A1746" s="20">
        <v>45422</v>
      </c>
      <c r="B1746" s="19" t="s">
        <v>103</v>
      </c>
      <c r="C1746" s="19" t="s">
        <v>6</v>
      </c>
      <c r="D1746" s="19" t="s">
        <v>138</v>
      </c>
      <c r="E1746" s="19">
        <v>0</v>
      </c>
      <c r="F1746" s="19">
        <v>-1</v>
      </c>
    </row>
    <row r="1747" spans="1:6" x14ac:dyDescent="0.25">
      <c r="A1747" s="20">
        <v>45422</v>
      </c>
      <c r="B1747" s="19" t="s">
        <v>103</v>
      </c>
      <c r="C1747" s="19" t="s">
        <v>7</v>
      </c>
      <c r="D1747" s="19" t="s">
        <v>138</v>
      </c>
      <c r="E1747" s="19">
        <v>0</v>
      </c>
      <c r="F1747" s="19">
        <v>-1</v>
      </c>
    </row>
    <row r="1748" spans="1:6" x14ac:dyDescent="0.25">
      <c r="A1748" s="20">
        <v>45422</v>
      </c>
      <c r="B1748" s="19" t="s">
        <v>103</v>
      </c>
      <c r="C1748" s="19" t="s">
        <v>8</v>
      </c>
      <c r="D1748" s="19" t="s">
        <v>138</v>
      </c>
      <c r="E1748" s="19">
        <v>0</v>
      </c>
      <c r="F1748" s="19">
        <v>-1</v>
      </c>
    </row>
    <row r="1749" spans="1:6" x14ac:dyDescent="0.25">
      <c r="A1749" s="20">
        <v>45422</v>
      </c>
      <c r="B1749" s="19" t="s">
        <v>101</v>
      </c>
      <c r="C1749" s="19" t="s">
        <v>6</v>
      </c>
      <c r="D1749" s="19" t="s">
        <v>138</v>
      </c>
      <c r="E1749" s="19">
        <v>0</v>
      </c>
      <c r="F1749" s="19">
        <v>-1</v>
      </c>
    </row>
    <row r="1750" spans="1:6" x14ac:dyDescent="0.25">
      <c r="A1750" s="20">
        <v>45422</v>
      </c>
      <c r="B1750" s="19" t="s">
        <v>101</v>
      </c>
      <c r="C1750" s="19" t="s">
        <v>7</v>
      </c>
      <c r="D1750" s="19" t="s">
        <v>138</v>
      </c>
      <c r="E1750" s="19">
        <v>0</v>
      </c>
      <c r="F1750" s="19">
        <v>-1</v>
      </c>
    </row>
    <row r="1751" spans="1:6" x14ac:dyDescent="0.25">
      <c r="A1751" s="20">
        <v>45422</v>
      </c>
      <c r="B1751" s="19" t="s">
        <v>101</v>
      </c>
      <c r="C1751" s="19" t="s">
        <v>8</v>
      </c>
      <c r="D1751" s="19" t="s">
        <v>138</v>
      </c>
      <c r="E1751" s="19">
        <v>0</v>
      </c>
      <c r="F1751" s="19">
        <v>-1</v>
      </c>
    </row>
    <row r="1752" spans="1:6" x14ac:dyDescent="0.25">
      <c r="A1752" s="20">
        <v>45422</v>
      </c>
      <c r="B1752" s="19" t="s">
        <v>99</v>
      </c>
      <c r="C1752" s="19" t="s">
        <v>6</v>
      </c>
      <c r="D1752" s="19" t="s">
        <v>138</v>
      </c>
      <c r="E1752" s="19">
        <v>0</v>
      </c>
      <c r="F1752" s="19">
        <v>-1</v>
      </c>
    </row>
    <row r="1753" spans="1:6" x14ac:dyDescent="0.25">
      <c r="A1753" s="20">
        <v>45422</v>
      </c>
      <c r="B1753" s="19" t="s">
        <v>99</v>
      </c>
      <c r="C1753" s="19" t="s">
        <v>7</v>
      </c>
      <c r="D1753" s="19" t="s">
        <v>138</v>
      </c>
      <c r="E1753" s="19">
        <v>0</v>
      </c>
      <c r="F1753" s="19">
        <v>-1</v>
      </c>
    </row>
    <row r="1754" spans="1:6" x14ac:dyDescent="0.25">
      <c r="A1754" s="20">
        <v>45422</v>
      </c>
      <c r="B1754" s="19" t="s">
        <v>99</v>
      </c>
      <c r="C1754" s="19" t="s">
        <v>8</v>
      </c>
      <c r="D1754" s="19" t="s">
        <v>138</v>
      </c>
      <c r="E1754" s="19">
        <v>0</v>
      </c>
      <c r="F1754" s="19">
        <v>-1</v>
      </c>
    </row>
    <row r="1755" spans="1:6" x14ac:dyDescent="0.25">
      <c r="A1755" s="20">
        <v>45422</v>
      </c>
      <c r="B1755" s="19" t="s">
        <v>97</v>
      </c>
      <c r="C1755" s="19" t="s">
        <v>6</v>
      </c>
      <c r="D1755" s="19" t="s">
        <v>138</v>
      </c>
      <c r="E1755" s="19">
        <v>0</v>
      </c>
      <c r="F1755" s="19">
        <v>-1</v>
      </c>
    </row>
    <row r="1756" spans="1:6" x14ac:dyDescent="0.25">
      <c r="A1756" s="20">
        <v>45422</v>
      </c>
      <c r="B1756" s="19" t="s">
        <v>97</v>
      </c>
      <c r="C1756" s="19" t="s">
        <v>7</v>
      </c>
      <c r="D1756" s="19" t="s">
        <v>138</v>
      </c>
      <c r="E1756" s="19">
        <v>0</v>
      </c>
      <c r="F1756" s="19">
        <v>-1</v>
      </c>
    </row>
    <row r="1757" spans="1:6" x14ac:dyDescent="0.25">
      <c r="A1757" s="20">
        <v>45422</v>
      </c>
      <c r="B1757" s="19" t="s">
        <v>97</v>
      </c>
      <c r="C1757" s="19" t="s">
        <v>8</v>
      </c>
      <c r="D1757" s="19" t="s">
        <v>138</v>
      </c>
      <c r="E1757" s="19">
        <v>0</v>
      </c>
      <c r="F1757" s="19">
        <v>-1</v>
      </c>
    </row>
    <row r="1758" spans="1:6" x14ac:dyDescent="0.25">
      <c r="A1758" s="20">
        <v>45422</v>
      </c>
      <c r="B1758" s="19" t="s">
        <v>95</v>
      </c>
      <c r="C1758" s="19" t="s">
        <v>6</v>
      </c>
      <c r="D1758" s="19" t="s">
        <v>138</v>
      </c>
      <c r="E1758" s="19">
        <v>0</v>
      </c>
      <c r="F1758" s="19">
        <v>-1</v>
      </c>
    </row>
    <row r="1759" spans="1:6" x14ac:dyDescent="0.25">
      <c r="A1759" s="20">
        <v>45422</v>
      </c>
      <c r="B1759" s="19" t="s">
        <v>95</v>
      </c>
      <c r="C1759" s="19" t="s">
        <v>7</v>
      </c>
      <c r="D1759" s="19" t="s">
        <v>138</v>
      </c>
      <c r="E1759" s="19">
        <v>0</v>
      </c>
      <c r="F1759" s="19">
        <v>-1</v>
      </c>
    </row>
    <row r="1760" spans="1:6" x14ac:dyDescent="0.25">
      <c r="A1760" s="20">
        <v>45422</v>
      </c>
      <c r="B1760" s="19" t="s">
        <v>95</v>
      </c>
      <c r="C1760" s="19" t="s">
        <v>8</v>
      </c>
      <c r="D1760" s="19" t="s">
        <v>138</v>
      </c>
      <c r="E1760" s="19">
        <v>0</v>
      </c>
      <c r="F1760" s="19">
        <v>-1</v>
      </c>
    </row>
    <row r="1761" spans="1:6" x14ac:dyDescent="0.25">
      <c r="A1761" s="20">
        <v>45422</v>
      </c>
      <c r="B1761" s="19" t="s">
        <v>14</v>
      </c>
      <c r="C1761" s="19" t="s">
        <v>6</v>
      </c>
      <c r="D1761" s="19" t="s">
        <v>138</v>
      </c>
      <c r="E1761" s="19">
        <v>0</v>
      </c>
      <c r="F1761" s="19">
        <v>-1</v>
      </c>
    </row>
    <row r="1762" spans="1:6" x14ac:dyDescent="0.25">
      <c r="A1762" s="20">
        <v>45422</v>
      </c>
      <c r="B1762" s="19" t="s">
        <v>14</v>
      </c>
      <c r="C1762" s="19" t="s">
        <v>7</v>
      </c>
      <c r="D1762" s="19" t="s">
        <v>138</v>
      </c>
      <c r="E1762" s="19">
        <v>0</v>
      </c>
      <c r="F1762" s="19">
        <v>-1</v>
      </c>
    </row>
    <row r="1763" spans="1:6" x14ac:dyDescent="0.25">
      <c r="A1763" s="20">
        <v>45422</v>
      </c>
      <c r="B1763" s="19" t="s">
        <v>14</v>
      </c>
      <c r="C1763" s="19" t="s">
        <v>8</v>
      </c>
      <c r="D1763" s="19" t="s">
        <v>138</v>
      </c>
      <c r="E1763" s="19">
        <v>0</v>
      </c>
      <c r="F1763" s="19">
        <v>-1</v>
      </c>
    </row>
    <row r="1764" spans="1:6" x14ac:dyDescent="0.25">
      <c r="A1764" s="20">
        <v>45422</v>
      </c>
      <c r="B1764" s="19" t="s">
        <v>91</v>
      </c>
      <c r="C1764" s="19" t="s">
        <v>6</v>
      </c>
      <c r="D1764" s="19" t="s">
        <v>138</v>
      </c>
      <c r="E1764" s="19">
        <v>0</v>
      </c>
      <c r="F1764" s="19">
        <v>-1</v>
      </c>
    </row>
    <row r="1765" spans="1:6" x14ac:dyDescent="0.25">
      <c r="A1765" s="20">
        <v>45422</v>
      </c>
      <c r="B1765" s="19" t="s">
        <v>91</v>
      </c>
      <c r="C1765" s="19" t="s">
        <v>7</v>
      </c>
      <c r="D1765" s="19" t="s">
        <v>138</v>
      </c>
      <c r="E1765" s="19">
        <v>0</v>
      </c>
      <c r="F1765" s="19">
        <v>-1</v>
      </c>
    </row>
    <row r="1766" spans="1:6" x14ac:dyDescent="0.25">
      <c r="A1766" s="20">
        <v>45422</v>
      </c>
      <c r="B1766" s="19" t="s">
        <v>91</v>
      </c>
      <c r="C1766" s="19" t="s">
        <v>8</v>
      </c>
      <c r="D1766" s="19" t="s">
        <v>138</v>
      </c>
      <c r="E1766" s="19">
        <v>0</v>
      </c>
      <c r="F1766" s="19">
        <v>-1</v>
      </c>
    </row>
    <row r="1767" spans="1:6" x14ac:dyDescent="0.25">
      <c r="A1767" s="20">
        <v>45422</v>
      </c>
      <c r="B1767" s="19" t="s">
        <v>15</v>
      </c>
      <c r="C1767" s="19" t="s">
        <v>6</v>
      </c>
      <c r="D1767" s="19" t="s">
        <v>138</v>
      </c>
      <c r="E1767" s="19">
        <v>0</v>
      </c>
      <c r="F1767" s="19">
        <v>-1</v>
      </c>
    </row>
    <row r="1768" spans="1:6" x14ac:dyDescent="0.25">
      <c r="A1768" s="20">
        <v>45422</v>
      </c>
      <c r="B1768" s="19" t="s">
        <v>15</v>
      </c>
      <c r="C1768" s="19" t="s">
        <v>7</v>
      </c>
      <c r="D1768" s="19" t="s">
        <v>138</v>
      </c>
      <c r="E1768" s="19">
        <v>0</v>
      </c>
      <c r="F1768" s="19">
        <v>-1</v>
      </c>
    </row>
    <row r="1769" spans="1:6" x14ac:dyDescent="0.25">
      <c r="A1769" s="20">
        <v>45422</v>
      </c>
      <c r="B1769" s="19" t="s">
        <v>15</v>
      </c>
      <c r="C1769" s="19" t="s">
        <v>8</v>
      </c>
      <c r="D1769" s="19" t="s">
        <v>138</v>
      </c>
      <c r="E1769" s="19">
        <v>0</v>
      </c>
      <c r="F1769" s="19">
        <v>-1</v>
      </c>
    </row>
    <row r="1770" spans="1:6" x14ac:dyDescent="0.25">
      <c r="A1770" s="20">
        <v>45422</v>
      </c>
      <c r="B1770" s="19" t="s">
        <v>89</v>
      </c>
      <c r="C1770" s="19" t="s">
        <v>6</v>
      </c>
      <c r="D1770" s="19" t="s">
        <v>138</v>
      </c>
      <c r="E1770" s="19">
        <v>0</v>
      </c>
      <c r="F1770" s="19">
        <v>-1</v>
      </c>
    </row>
    <row r="1771" spans="1:6" x14ac:dyDescent="0.25">
      <c r="A1771" s="20">
        <v>45422</v>
      </c>
      <c r="B1771" s="19" t="s">
        <v>89</v>
      </c>
      <c r="C1771" s="19" t="s">
        <v>7</v>
      </c>
      <c r="D1771" s="19" t="s">
        <v>138</v>
      </c>
      <c r="E1771" s="19">
        <v>0</v>
      </c>
      <c r="F1771" s="19">
        <v>-1</v>
      </c>
    </row>
    <row r="1772" spans="1:6" x14ac:dyDescent="0.25">
      <c r="A1772" s="20">
        <v>45422</v>
      </c>
      <c r="B1772" s="19" t="s">
        <v>89</v>
      </c>
      <c r="C1772" s="19" t="s">
        <v>8</v>
      </c>
      <c r="D1772" s="19" t="s">
        <v>138</v>
      </c>
      <c r="E1772" s="19">
        <v>0</v>
      </c>
      <c r="F1772" s="19">
        <v>-1</v>
      </c>
    </row>
    <row r="1773" spans="1:6" x14ac:dyDescent="0.25">
      <c r="A1773" s="20">
        <v>45422</v>
      </c>
      <c r="B1773" s="19" t="s">
        <v>16</v>
      </c>
      <c r="C1773" s="19" t="s">
        <v>6</v>
      </c>
      <c r="D1773" s="19" t="s">
        <v>138</v>
      </c>
      <c r="E1773" s="19">
        <v>0</v>
      </c>
      <c r="F1773" s="19">
        <v>-1</v>
      </c>
    </row>
    <row r="1774" spans="1:6" x14ac:dyDescent="0.25">
      <c r="A1774" s="20">
        <v>45422</v>
      </c>
      <c r="B1774" s="19" t="s">
        <v>16</v>
      </c>
      <c r="C1774" s="19" t="s">
        <v>7</v>
      </c>
      <c r="D1774" s="19" t="s">
        <v>138</v>
      </c>
      <c r="E1774" s="19">
        <v>0</v>
      </c>
      <c r="F1774" s="19">
        <v>-1</v>
      </c>
    </row>
    <row r="1775" spans="1:6" x14ac:dyDescent="0.25">
      <c r="A1775" s="20">
        <v>45422</v>
      </c>
      <c r="B1775" s="19" t="s">
        <v>16</v>
      </c>
      <c r="C1775" s="19" t="s">
        <v>8</v>
      </c>
      <c r="D1775" s="19" t="s">
        <v>138</v>
      </c>
      <c r="E1775" s="19">
        <v>0</v>
      </c>
      <c r="F1775" s="19">
        <v>-1</v>
      </c>
    </row>
    <row r="1776" spans="1:6" x14ac:dyDescent="0.25">
      <c r="A1776" s="20">
        <v>45422</v>
      </c>
      <c r="B1776" s="19" t="s">
        <v>88</v>
      </c>
      <c r="C1776" s="19" t="s">
        <v>6</v>
      </c>
      <c r="D1776" s="19" t="s">
        <v>138</v>
      </c>
      <c r="E1776" s="19">
        <v>0</v>
      </c>
      <c r="F1776" s="19">
        <v>-1</v>
      </c>
    </row>
    <row r="1777" spans="1:6" x14ac:dyDescent="0.25">
      <c r="A1777" s="20">
        <v>45422</v>
      </c>
      <c r="B1777" s="19" t="s">
        <v>88</v>
      </c>
      <c r="C1777" s="19" t="s">
        <v>7</v>
      </c>
      <c r="D1777" s="19" t="s">
        <v>138</v>
      </c>
      <c r="E1777" s="19">
        <v>0</v>
      </c>
      <c r="F1777" s="19">
        <v>-1</v>
      </c>
    </row>
    <row r="1778" spans="1:6" x14ac:dyDescent="0.25">
      <c r="A1778" s="20">
        <v>45422</v>
      </c>
      <c r="B1778" s="19" t="s">
        <v>88</v>
      </c>
      <c r="C1778" s="19" t="s">
        <v>8</v>
      </c>
      <c r="D1778" s="19" t="s">
        <v>138</v>
      </c>
      <c r="E1778" s="19">
        <v>0</v>
      </c>
      <c r="F1778" s="19">
        <v>-1</v>
      </c>
    </row>
    <row r="1779" spans="1:6" x14ac:dyDescent="0.25">
      <c r="A1779" s="20">
        <v>45422</v>
      </c>
      <c r="B1779" s="19" t="s">
        <v>17</v>
      </c>
      <c r="C1779" s="19" t="s">
        <v>6</v>
      </c>
      <c r="D1779" s="19" t="s">
        <v>138</v>
      </c>
      <c r="E1779" s="19">
        <v>0</v>
      </c>
      <c r="F1779" s="19">
        <v>-1</v>
      </c>
    </row>
    <row r="1780" spans="1:6" x14ac:dyDescent="0.25">
      <c r="A1780" s="20">
        <v>45422</v>
      </c>
      <c r="B1780" s="19" t="s">
        <v>17</v>
      </c>
      <c r="C1780" s="19" t="s">
        <v>7</v>
      </c>
      <c r="D1780" s="19" t="s">
        <v>138</v>
      </c>
      <c r="E1780" s="19">
        <v>0</v>
      </c>
      <c r="F1780" s="19">
        <v>-1</v>
      </c>
    </row>
    <row r="1781" spans="1:6" x14ac:dyDescent="0.25">
      <c r="A1781" s="20">
        <v>45422</v>
      </c>
      <c r="B1781" s="19" t="s">
        <v>17</v>
      </c>
      <c r="C1781" s="19" t="s">
        <v>8</v>
      </c>
      <c r="D1781" s="19" t="s">
        <v>138</v>
      </c>
      <c r="E1781" s="19">
        <v>0</v>
      </c>
      <c r="F1781" s="19">
        <v>-1</v>
      </c>
    </row>
    <row r="1782" spans="1:6" x14ac:dyDescent="0.25">
      <c r="A1782" s="20">
        <v>45422</v>
      </c>
      <c r="B1782" s="19" t="s">
        <v>19</v>
      </c>
      <c r="C1782" s="19" t="s">
        <v>6</v>
      </c>
      <c r="D1782" s="19" t="s">
        <v>138</v>
      </c>
      <c r="E1782" s="19">
        <v>0</v>
      </c>
      <c r="F1782" s="19">
        <v>-1</v>
      </c>
    </row>
    <row r="1783" spans="1:6" x14ac:dyDescent="0.25">
      <c r="A1783" s="20">
        <v>45422</v>
      </c>
      <c r="B1783" s="19" t="s">
        <v>19</v>
      </c>
      <c r="C1783" s="19" t="s">
        <v>7</v>
      </c>
      <c r="D1783" s="19" t="s">
        <v>138</v>
      </c>
      <c r="E1783" s="19">
        <v>0</v>
      </c>
      <c r="F1783" s="19">
        <v>-1</v>
      </c>
    </row>
    <row r="1784" spans="1:6" x14ac:dyDescent="0.25">
      <c r="A1784" s="20">
        <v>45422</v>
      </c>
      <c r="B1784" s="19" t="s">
        <v>19</v>
      </c>
      <c r="C1784" s="19" t="s">
        <v>8</v>
      </c>
      <c r="D1784" s="19" t="s">
        <v>138</v>
      </c>
      <c r="E1784" s="19">
        <v>0</v>
      </c>
      <c r="F1784" s="19">
        <v>-1</v>
      </c>
    </row>
    <row r="1785" spans="1:6" x14ac:dyDescent="0.25">
      <c r="A1785" s="20">
        <v>45422</v>
      </c>
      <c r="B1785" s="19" t="s">
        <v>18</v>
      </c>
      <c r="C1785" s="19" t="s">
        <v>6</v>
      </c>
      <c r="D1785" s="19" t="s">
        <v>138</v>
      </c>
      <c r="E1785" s="19">
        <v>0</v>
      </c>
      <c r="F1785" s="19">
        <v>-1</v>
      </c>
    </row>
    <row r="1786" spans="1:6" x14ac:dyDescent="0.25">
      <c r="A1786" s="20">
        <v>45422</v>
      </c>
      <c r="B1786" s="19" t="s">
        <v>18</v>
      </c>
      <c r="C1786" s="19" t="s">
        <v>7</v>
      </c>
      <c r="D1786" s="19" t="s">
        <v>138</v>
      </c>
      <c r="E1786" s="19">
        <v>0</v>
      </c>
      <c r="F1786" s="19">
        <v>-1</v>
      </c>
    </row>
    <row r="1787" spans="1:6" x14ac:dyDescent="0.25">
      <c r="A1787" s="20">
        <v>45422</v>
      </c>
      <c r="B1787" s="19" t="s">
        <v>18</v>
      </c>
      <c r="C1787" s="19" t="s">
        <v>8</v>
      </c>
      <c r="D1787" s="19" t="s">
        <v>138</v>
      </c>
      <c r="E1787" s="19">
        <v>0</v>
      </c>
      <c r="F1787" s="19">
        <v>-1</v>
      </c>
    </row>
    <row r="1788" spans="1:6" x14ac:dyDescent="0.25">
      <c r="A1788" s="20">
        <v>45422</v>
      </c>
      <c r="B1788" s="19" t="s">
        <v>87</v>
      </c>
      <c r="C1788" s="19" t="s">
        <v>6</v>
      </c>
      <c r="D1788" s="19" t="s">
        <v>138</v>
      </c>
      <c r="E1788" s="19">
        <v>0</v>
      </c>
      <c r="F1788" s="19">
        <v>-1</v>
      </c>
    </row>
    <row r="1789" spans="1:6" x14ac:dyDescent="0.25">
      <c r="A1789" s="20">
        <v>45422</v>
      </c>
      <c r="B1789" s="19" t="s">
        <v>87</v>
      </c>
      <c r="C1789" s="19" t="s">
        <v>7</v>
      </c>
      <c r="D1789" s="19" t="s">
        <v>138</v>
      </c>
      <c r="E1789" s="19">
        <v>0</v>
      </c>
      <c r="F1789" s="19">
        <v>-1</v>
      </c>
    </row>
    <row r="1790" spans="1:6" x14ac:dyDescent="0.25">
      <c r="A1790" s="20">
        <v>45422</v>
      </c>
      <c r="B1790" s="19" t="s">
        <v>87</v>
      </c>
      <c r="C1790" s="19" t="s">
        <v>8</v>
      </c>
      <c r="D1790" s="19" t="s">
        <v>138</v>
      </c>
      <c r="E1790" s="19">
        <v>0</v>
      </c>
      <c r="F1790" s="19">
        <v>-1</v>
      </c>
    </row>
    <row r="1791" spans="1:6" x14ac:dyDescent="0.25">
      <c r="A1791" s="20">
        <v>45422</v>
      </c>
      <c r="B1791" s="19" t="s">
        <v>42</v>
      </c>
      <c r="C1791" s="19" t="s">
        <v>6</v>
      </c>
      <c r="D1791" s="19" t="s">
        <v>138</v>
      </c>
      <c r="E1791" s="19">
        <v>0</v>
      </c>
      <c r="F1791" s="19">
        <v>-1</v>
      </c>
    </row>
    <row r="1792" spans="1:6" x14ac:dyDescent="0.25">
      <c r="A1792" s="20">
        <v>45422</v>
      </c>
      <c r="B1792" s="19" t="s">
        <v>42</v>
      </c>
      <c r="C1792" s="19" t="s">
        <v>7</v>
      </c>
      <c r="D1792" s="19" t="s">
        <v>138</v>
      </c>
      <c r="E1792" s="19">
        <v>0</v>
      </c>
      <c r="F1792" s="19">
        <v>-1</v>
      </c>
    </row>
    <row r="1793" spans="1:6" x14ac:dyDescent="0.25">
      <c r="A1793" s="20">
        <v>45422</v>
      </c>
      <c r="B1793" s="19" t="s">
        <v>42</v>
      </c>
      <c r="C1793" s="19" t="s">
        <v>8</v>
      </c>
      <c r="D1793" s="19" t="s">
        <v>138</v>
      </c>
      <c r="E1793" s="19">
        <v>0</v>
      </c>
      <c r="F1793" s="19">
        <v>-1</v>
      </c>
    </row>
    <row r="1794" spans="1:6" x14ac:dyDescent="0.25">
      <c r="A1794" s="20">
        <v>45422</v>
      </c>
      <c r="B1794" s="19" t="s">
        <v>86</v>
      </c>
      <c r="C1794" s="19" t="s">
        <v>6</v>
      </c>
      <c r="D1794" s="19" t="s">
        <v>138</v>
      </c>
      <c r="E1794" s="19">
        <v>0</v>
      </c>
      <c r="F1794" s="19">
        <v>-1</v>
      </c>
    </row>
    <row r="1795" spans="1:6" x14ac:dyDescent="0.25">
      <c r="A1795" s="20">
        <v>45422</v>
      </c>
      <c r="B1795" s="19" t="s">
        <v>86</v>
      </c>
      <c r="C1795" s="19" t="s">
        <v>7</v>
      </c>
      <c r="D1795" s="19" t="s">
        <v>138</v>
      </c>
      <c r="E1795" s="19">
        <v>0</v>
      </c>
      <c r="F1795" s="19">
        <v>-1</v>
      </c>
    </row>
    <row r="1796" spans="1:6" x14ac:dyDescent="0.25">
      <c r="A1796" s="20">
        <v>45422</v>
      </c>
      <c r="B1796" s="19" t="s">
        <v>86</v>
      </c>
      <c r="C1796" s="19" t="s">
        <v>8</v>
      </c>
      <c r="D1796" s="19" t="s">
        <v>138</v>
      </c>
      <c r="E1796" s="19">
        <v>0</v>
      </c>
      <c r="F1796" s="19">
        <v>-1</v>
      </c>
    </row>
    <row r="1797" spans="1:6" x14ac:dyDescent="0.25">
      <c r="A1797" s="20">
        <v>45422</v>
      </c>
      <c r="B1797" s="19" t="s">
        <v>38</v>
      </c>
      <c r="C1797" s="19" t="s">
        <v>6</v>
      </c>
      <c r="D1797" s="19" t="s">
        <v>138</v>
      </c>
      <c r="E1797" s="19">
        <v>0</v>
      </c>
      <c r="F1797" s="19">
        <v>-1</v>
      </c>
    </row>
    <row r="1798" spans="1:6" x14ac:dyDescent="0.25">
      <c r="A1798" s="20">
        <v>45422</v>
      </c>
      <c r="B1798" s="19" t="s">
        <v>38</v>
      </c>
      <c r="C1798" s="19" t="s">
        <v>7</v>
      </c>
      <c r="D1798" s="19" t="s">
        <v>138</v>
      </c>
      <c r="E1798" s="19">
        <v>0</v>
      </c>
      <c r="F1798" s="19">
        <v>-1</v>
      </c>
    </row>
    <row r="1799" spans="1:6" x14ac:dyDescent="0.25">
      <c r="A1799" s="20">
        <v>45422</v>
      </c>
      <c r="B1799" s="19" t="s">
        <v>38</v>
      </c>
      <c r="C1799" s="19" t="s">
        <v>8</v>
      </c>
      <c r="D1799" s="19" t="s">
        <v>138</v>
      </c>
      <c r="E1799" s="19">
        <v>0</v>
      </c>
      <c r="F1799" s="19">
        <v>-1</v>
      </c>
    </row>
    <row r="1800" spans="1:6" x14ac:dyDescent="0.25">
      <c r="A1800" s="20">
        <v>45422</v>
      </c>
      <c r="B1800" s="19" t="s">
        <v>83</v>
      </c>
      <c r="C1800" s="19" t="s">
        <v>6</v>
      </c>
      <c r="D1800" s="19" t="s">
        <v>138</v>
      </c>
      <c r="E1800" s="19">
        <v>0</v>
      </c>
      <c r="F1800" s="19">
        <v>-1</v>
      </c>
    </row>
    <row r="1801" spans="1:6" x14ac:dyDescent="0.25">
      <c r="A1801" s="20">
        <v>45422</v>
      </c>
      <c r="B1801" s="19" t="s">
        <v>83</v>
      </c>
      <c r="C1801" s="19" t="s">
        <v>7</v>
      </c>
      <c r="D1801" s="19" t="s">
        <v>138</v>
      </c>
      <c r="E1801" s="19">
        <v>0</v>
      </c>
      <c r="F1801" s="19">
        <v>-1</v>
      </c>
    </row>
    <row r="1802" spans="1:6" x14ac:dyDescent="0.25">
      <c r="A1802" s="20">
        <v>45422</v>
      </c>
      <c r="B1802" s="19" t="s">
        <v>83</v>
      </c>
      <c r="C1802" s="19" t="s">
        <v>8</v>
      </c>
      <c r="D1802" s="19" t="s">
        <v>138</v>
      </c>
      <c r="E1802" s="19">
        <v>0</v>
      </c>
      <c r="F1802" s="19">
        <v>-1</v>
      </c>
    </row>
    <row r="1803" spans="1:6" x14ac:dyDescent="0.25">
      <c r="A1803" s="20">
        <v>45422</v>
      </c>
      <c r="B1803" s="19" t="s">
        <v>20</v>
      </c>
      <c r="C1803" s="19" t="s">
        <v>6</v>
      </c>
      <c r="D1803" s="19" t="s">
        <v>138</v>
      </c>
      <c r="E1803" s="19">
        <v>0</v>
      </c>
      <c r="F1803" s="19">
        <v>-1</v>
      </c>
    </row>
    <row r="1804" spans="1:6" x14ac:dyDescent="0.25">
      <c r="A1804" s="20">
        <v>45422</v>
      </c>
      <c r="B1804" s="19" t="s">
        <v>20</v>
      </c>
      <c r="C1804" s="19" t="s">
        <v>7</v>
      </c>
      <c r="D1804" s="19" t="s">
        <v>138</v>
      </c>
      <c r="E1804" s="19">
        <v>0</v>
      </c>
      <c r="F1804" s="19">
        <v>-1</v>
      </c>
    </row>
    <row r="1805" spans="1:6" x14ac:dyDescent="0.25">
      <c r="A1805" s="20">
        <v>45422</v>
      </c>
      <c r="B1805" s="19" t="s">
        <v>20</v>
      </c>
      <c r="C1805" s="19" t="s">
        <v>8</v>
      </c>
      <c r="D1805" s="19" t="s">
        <v>138</v>
      </c>
      <c r="E1805" s="19">
        <v>0</v>
      </c>
      <c r="F1805" s="19">
        <v>-1</v>
      </c>
    </row>
    <row r="1806" spans="1:6" x14ac:dyDescent="0.25">
      <c r="A1806" s="20">
        <v>45422</v>
      </c>
      <c r="B1806" s="19" t="s">
        <v>21</v>
      </c>
      <c r="C1806" s="19" t="s">
        <v>6</v>
      </c>
      <c r="D1806" s="19" t="s">
        <v>138</v>
      </c>
      <c r="E1806" s="19">
        <v>0</v>
      </c>
      <c r="F1806" s="19">
        <v>-1</v>
      </c>
    </row>
    <row r="1807" spans="1:6" x14ac:dyDescent="0.25">
      <c r="A1807" s="20">
        <v>45422</v>
      </c>
      <c r="B1807" s="19" t="s">
        <v>21</v>
      </c>
      <c r="C1807" s="19" t="s">
        <v>7</v>
      </c>
      <c r="D1807" s="19" t="s">
        <v>138</v>
      </c>
      <c r="E1807" s="19">
        <v>0</v>
      </c>
      <c r="F1807" s="19">
        <v>-1</v>
      </c>
    </row>
    <row r="1808" spans="1:6" x14ac:dyDescent="0.25">
      <c r="A1808" s="20">
        <v>45422</v>
      </c>
      <c r="B1808" s="19" t="s">
        <v>21</v>
      </c>
      <c r="C1808" s="19" t="s">
        <v>8</v>
      </c>
      <c r="D1808" s="19" t="s">
        <v>138</v>
      </c>
      <c r="E1808" s="19">
        <v>0</v>
      </c>
      <c r="F1808" s="19">
        <v>-1</v>
      </c>
    </row>
    <row r="1809" spans="1:6" x14ac:dyDescent="0.25">
      <c r="A1809" s="20">
        <v>45422</v>
      </c>
      <c r="B1809" s="19" t="s">
        <v>22</v>
      </c>
      <c r="C1809" s="19" t="s">
        <v>6</v>
      </c>
      <c r="D1809" s="19" t="s">
        <v>138</v>
      </c>
      <c r="E1809" s="19">
        <v>0</v>
      </c>
      <c r="F1809" s="19">
        <v>-1</v>
      </c>
    </row>
    <row r="1810" spans="1:6" x14ac:dyDescent="0.25">
      <c r="A1810" s="20">
        <v>45422</v>
      </c>
      <c r="B1810" s="19" t="s">
        <v>22</v>
      </c>
      <c r="C1810" s="19" t="s">
        <v>7</v>
      </c>
      <c r="D1810" s="19" t="s">
        <v>138</v>
      </c>
      <c r="E1810" s="19">
        <v>0</v>
      </c>
      <c r="F1810" s="19">
        <v>-1</v>
      </c>
    </row>
    <row r="1811" spans="1:6" x14ac:dyDescent="0.25">
      <c r="A1811" s="20">
        <v>45422</v>
      </c>
      <c r="B1811" s="19" t="s">
        <v>22</v>
      </c>
      <c r="C1811" s="19" t="s">
        <v>8</v>
      </c>
      <c r="D1811" s="19" t="s">
        <v>138</v>
      </c>
      <c r="E1811" s="19">
        <v>0</v>
      </c>
      <c r="F1811" s="19">
        <v>-1</v>
      </c>
    </row>
    <row r="1812" spans="1:6" x14ac:dyDescent="0.25">
      <c r="A1812" s="20">
        <v>45422</v>
      </c>
      <c r="B1812" s="19" t="s">
        <v>77</v>
      </c>
      <c r="C1812" s="19" t="s">
        <v>6</v>
      </c>
      <c r="D1812" s="19" t="s">
        <v>138</v>
      </c>
      <c r="E1812" s="19">
        <v>0</v>
      </c>
      <c r="F1812" s="19">
        <v>-1</v>
      </c>
    </row>
    <row r="1813" spans="1:6" x14ac:dyDescent="0.25">
      <c r="A1813" s="20">
        <v>45422</v>
      </c>
      <c r="B1813" s="19" t="s">
        <v>77</v>
      </c>
      <c r="C1813" s="19" t="s">
        <v>7</v>
      </c>
      <c r="D1813" s="19" t="s">
        <v>138</v>
      </c>
      <c r="E1813" s="19">
        <v>0</v>
      </c>
      <c r="F1813" s="19">
        <v>-1</v>
      </c>
    </row>
    <row r="1814" spans="1:6" x14ac:dyDescent="0.25">
      <c r="A1814" s="20">
        <v>45422</v>
      </c>
      <c r="B1814" s="19" t="s">
        <v>77</v>
      </c>
      <c r="C1814" s="19" t="s">
        <v>8</v>
      </c>
      <c r="D1814" s="19" t="s">
        <v>138</v>
      </c>
      <c r="E1814" s="19">
        <v>0</v>
      </c>
      <c r="F1814" s="19">
        <v>-1</v>
      </c>
    </row>
    <row r="1815" spans="1:6" x14ac:dyDescent="0.25">
      <c r="A1815" s="20">
        <v>45422</v>
      </c>
      <c r="B1815" s="19" t="s">
        <v>23</v>
      </c>
      <c r="C1815" s="19" t="s">
        <v>6</v>
      </c>
      <c r="D1815" s="19" t="s">
        <v>138</v>
      </c>
      <c r="E1815" s="19">
        <v>0</v>
      </c>
      <c r="F1815" s="19">
        <v>-1</v>
      </c>
    </row>
    <row r="1816" spans="1:6" x14ac:dyDescent="0.25">
      <c r="A1816" s="20">
        <v>45422</v>
      </c>
      <c r="B1816" s="19" t="s">
        <v>23</v>
      </c>
      <c r="C1816" s="19" t="s">
        <v>7</v>
      </c>
      <c r="D1816" s="19" t="s">
        <v>138</v>
      </c>
      <c r="E1816" s="19">
        <v>0</v>
      </c>
      <c r="F1816" s="19">
        <v>-1</v>
      </c>
    </row>
    <row r="1817" spans="1:6" x14ac:dyDescent="0.25">
      <c r="A1817" s="20">
        <v>45422</v>
      </c>
      <c r="B1817" s="19" t="s">
        <v>23</v>
      </c>
      <c r="C1817" s="19" t="s">
        <v>8</v>
      </c>
      <c r="D1817" s="19" t="s">
        <v>138</v>
      </c>
      <c r="E1817" s="19">
        <v>0</v>
      </c>
      <c r="F1817" s="19">
        <v>-1</v>
      </c>
    </row>
    <row r="1818" spans="1:6" x14ac:dyDescent="0.25">
      <c r="A1818" s="20">
        <v>45422</v>
      </c>
      <c r="B1818" s="19" t="s">
        <v>24</v>
      </c>
      <c r="C1818" s="19" t="s">
        <v>6</v>
      </c>
      <c r="D1818" s="19" t="s">
        <v>138</v>
      </c>
      <c r="E1818" s="19">
        <v>0</v>
      </c>
      <c r="F1818" s="19">
        <v>-1</v>
      </c>
    </row>
    <row r="1819" spans="1:6" x14ac:dyDescent="0.25">
      <c r="A1819" s="20">
        <v>45422</v>
      </c>
      <c r="B1819" s="19" t="s">
        <v>24</v>
      </c>
      <c r="C1819" s="19" t="s">
        <v>7</v>
      </c>
      <c r="D1819" s="19" t="s">
        <v>138</v>
      </c>
      <c r="E1819" s="19">
        <v>0</v>
      </c>
      <c r="F1819" s="19">
        <v>-1</v>
      </c>
    </row>
    <row r="1820" spans="1:6" x14ac:dyDescent="0.25">
      <c r="A1820" s="20">
        <v>45422</v>
      </c>
      <c r="B1820" s="19" t="s">
        <v>24</v>
      </c>
      <c r="C1820" s="19" t="s">
        <v>8</v>
      </c>
      <c r="D1820" s="19" t="s">
        <v>138</v>
      </c>
      <c r="E1820" s="19">
        <v>0</v>
      </c>
      <c r="F1820" s="19">
        <v>-1</v>
      </c>
    </row>
    <row r="1821" spans="1:6" x14ac:dyDescent="0.25">
      <c r="A1821" s="20">
        <v>45422</v>
      </c>
      <c r="B1821" s="19" t="s">
        <v>75</v>
      </c>
      <c r="C1821" s="19" t="s">
        <v>6</v>
      </c>
      <c r="D1821" s="19" t="s">
        <v>138</v>
      </c>
      <c r="E1821" s="19">
        <v>0</v>
      </c>
      <c r="F1821" s="19">
        <v>-1</v>
      </c>
    </row>
    <row r="1822" spans="1:6" x14ac:dyDescent="0.25">
      <c r="A1822" s="20">
        <v>45422</v>
      </c>
      <c r="B1822" s="19" t="s">
        <v>75</v>
      </c>
      <c r="C1822" s="19" t="s">
        <v>7</v>
      </c>
      <c r="D1822" s="19" t="s">
        <v>138</v>
      </c>
      <c r="E1822" s="19">
        <v>0</v>
      </c>
      <c r="F1822" s="19">
        <v>-1</v>
      </c>
    </row>
    <row r="1823" spans="1:6" x14ac:dyDescent="0.25">
      <c r="A1823" s="20">
        <v>45422</v>
      </c>
      <c r="B1823" s="19" t="s">
        <v>75</v>
      </c>
      <c r="C1823" s="19" t="s">
        <v>8</v>
      </c>
      <c r="D1823" s="19" t="s">
        <v>138</v>
      </c>
      <c r="E1823" s="19">
        <v>0</v>
      </c>
      <c r="F1823" s="19">
        <v>-1</v>
      </c>
    </row>
    <row r="1824" spans="1:6" x14ac:dyDescent="0.25">
      <c r="A1824" s="20">
        <v>45422</v>
      </c>
      <c r="B1824" s="19" t="s">
        <v>25</v>
      </c>
      <c r="C1824" s="19" t="s">
        <v>6</v>
      </c>
      <c r="D1824" s="19" t="s">
        <v>138</v>
      </c>
      <c r="E1824" s="19">
        <v>0</v>
      </c>
      <c r="F1824" s="19">
        <v>-1</v>
      </c>
    </row>
    <row r="1825" spans="1:6" x14ac:dyDescent="0.25">
      <c r="A1825" s="20">
        <v>45422</v>
      </c>
      <c r="B1825" s="19" t="s">
        <v>25</v>
      </c>
      <c r="C1825" s="19" t="s">
        <v>7</v>
      </c>
      <c r="D1825" s="19" t="s">
        <v>138</v>
      </c>
      <c r="E1825" s="19">
        <v>0</v>
      </c>
      <c r="F1825" s="19">
        <v>-1</v>
      </c>
    </row>
    <row r="1826" spans="1:6" x14ac:dyDescent="0.25">
      <c r="A1826" s="20">
        <v>45422</v>
      </c>
      <c r="B1826" s="19" t="s">
        <v>25</v>
      </c>
      <c r="C1826" s="19" t="s">
        <v>8</v>
      </c>
      <c r="D1826" s="19" t="s">
        <v>138</v>
      </c>
      <c r="E1826" s="19">
        <v>0</v>
      </c>
      <c r="F1826" s="19">
        <v>-1</v>
      </c>
    </row>
    <row r="1827" spans="1:6" x14ac:dyDescent="0.25">
      <c r="A1827" s="20">
        <v>45422</v>
      </c>
      <c r="B1827" s="19" t="s">
        <v>74</v>
      </c>
      <c r="C1827" s="19" t="s">
        <v>6</v>
      </c>
      <c r="D1827" s="19" t="s">
        <v>139</v>
      </c>
      <c r="E1827" s="19">
        <v>1632</v>
      </c>
      <c r="F1827" s="19">
        <v>-1</v>
      </c>
    </row>
    <row r="1828" spans="1:6" x14ac:dyDescent="0.25">
      <c r="A1828" s="20">
        <v>45422</v>
      </c>
      <c r="B1828" s="19" t="s">
        <v>26</v>
      </c>
      <c r="C1828" s="19" t="s">
        <v>6</v>
      </c>
      <c r="D1828" s="19" t="s">
        <v>138</v>
      </c>
      <c r="E1828" s="19">
        <v>0</v>
      </c>
      <c r="F1828" s="19">
        <v>-1</v>
      </c>
    </row>
    <row r="1829" spans="1:6" x14ac:dyDescent="0.25">
      <c r="A1829" s="20">
        <v>45422</v>
      </c>
      <c r="B1829" s="19" t="s">
        <v>26</v>
      </c>
      <c r="C1829" s="19" t="s">
        <v>7</v>
      </c>
      <c r="D1829" s="19" t="s">
        <v>138</v>
      </c>
      <c r="E1829" s="19">
        <v>0</v>
      </c>
      <c r="F1829" s="19">
        <v>-1</v>
      </c>
    </row>
    <row r="1830" spans="1:6" x14ac:dyDescent="0.25">
      <c r="A1830" s="20">
        <v>45422</v>
      </c>
      <c r="B1830" s="19" t="s">
        <v>26</v>
      </c>
      <c r="C1830" s="19" t="s">
        <v>8</v>
      </c>
      <c r="D1830" s="19" t="s">
        <v>138</v>
      </c>
      <c r="E1830" s="19">
        <v>0</v>
      </c>
      <c r="F1830" s="19">
        <v>-1</v>
      </c>
    </row>
    <row r="1831" spans="1:6" x14ac:dyDescent="0.25">
      <c r="A1831" s="20">
        <v>45422</v>
      </c>
      <c r="B1831" s="19" t="s">
        <v>27</v>
      </c>
      <c r="C1831" s="19" t="s">
        <v>6</v>
      </c>
      <c r="D1831" s="19" t="s">
        <v>139</v>
      </c>
      <c r="E1831" s="19">
        <v>2009</v>
      </c>
      <c r="F1831" s="19">
        <v>-1</v>
      </c>
    </row>
    <row r="1832" spans="1:6" x14ac:dyDescent="0.25">
      <c r="A1832" s="20">
        <v>45422</v>
      </c>
      <c r="B1832" s="19" t="s">
        <v>28</v>
      </c>
      <c r="C1832" s="19" t="s">
        <v>6</v>
      </c>
      <c r="D1832" s="19" t="s">
        <v>139</v>
      </c>
      <c r="E1832" s="19">
        <v>1921</v>
      </c>
      <c r="F1832" s="19">
        <v>-1</v>
      </c>
    </row>
    <row r="1833" spans="1:6" x14ac:dyDescent="0.25">
      <c r="A1833" s="20">
        <v>45422</v>
      </c>
      <c r="B1833" s="19" t="s">
        <v>72</v>
      </c>
      <c r="C1833" s="19" t="s">
        <v>6</v>
      </c>
      <c r="D1833" s="19" t="s">
        <v>138</v>
      </c>
      <c r="E1833" s="19">
        <v>0</v>
      </c>
      <c r="F1833" s="19">
        <v>-1</v>
      </c>
    </row>
    <row r="1834" spans="1:6" x14ac:dyDescent="0.25">
      <c r="A1834" s="20">
        <v>45422</v>
      </c>
      <c r="B1834" s="19" t="s">
        <v>72</v>
      </c>
      <c r="C1834" s="19" t="s">
        <v>7</v>
      </c>
      <c r="D1834" s="19" t="s">
        <v>138</v>
      </c>
      <c r="E1834" s="19">
        <v>0</v>
      </c>
      <c r="F1834" s="19">
        <v>-1</v>
      </c>
    </row>
    <row r="1835" spans="1:6" x14ac:dyDescent="0.25">
      <c r="A1835" s="20">
        <v>45422</v>
      </c>
      <c r="B1835" s="19" t="s">
        <v>72</v>
      </c>
      <c r="C1835" s="19" t="s">
        <v>8</v>
      </c>
      <c r="D1835" s="19" t="s">
        <v>138</v>
      </c>
      <c r="E1835" s="19">
        <v>0</v>
      </c>
      <c r="F1835" s="19">
        <v>-1</v>
      </c>
    </row>
    <row r="1836" spans="1:6" x14ac:dyDescent="0.25">
      <c r="A1836" s="20">
        <v>45422</v>
      </c>
      <c r="B1836" s="19" t="s">
        <v>29</v>
      </c>
      <c r="C1836" s="19" t="s">
        <v>6</v>
      </c>
      <c r="D1836" s="19" t="s">
        <v>139</v>
      </c>
      <c r="E1836" s="19">
        <v>1961</v>
      </c>
      <c r="F1836" s="19">
        <v>-1</v>
      </c>
    </row>
    <row r="1837" spans="1:6" x14ac:dyDescent="0.25">
      <c r="A1837" s="20">
        <v>45422</v>
      </c>
      <c r="B1837" s="19" t="s">
        <v>29</v>
      </c>
      <c r="C1837" s="19" t="s">
        <v>7</v>
      </c>
      <c r="D1837" s="19" t="s">
        <v>139</v>
      </c>
      <c r="E1837" s="19">
        <v>2115</v>
      </c>
      <c r="F1837" s="19">
        <v>-1</v>
      </c>
    </row>
    <row r="1838" spans="1:6" x14ac:dyDescent="0.25">
      <c r="A1838" s="20">
        <v>45422</v>
      </c>
      <c r="B1838" s="19" t="s">
        <v>29</v>
      </c>
      <c r="C1838" s="19" t="s">
        <v>8</v>
      </c>
      <c r="D1838" s="19" t="s">
        <v>139</v>
      </c>
      <c r="E1838" s="19">
        <v>1960</v>
      </c>
      <c r="F1838" s="19">
        <v>-1</v>
      </c>
    </row>
    <row r="1839" spans="1:6" x14ac:dyDescent="0.25">
      <c r="A1839" s="20">
        <v>45422</v>
      </c>
      <c r="B1839" s="19" t="s">
        <v>30</v>
      </c>
      <c r="C1839" s="19" t="s">
        <v>6</v>
      </c>
      <c r="D1839" s="19" t="s">
        <v>138</v>
      </c>
      <c r="E1839" s="19">
        <v>0</v>
      </c>
      <c r="F1839" s="19">
        <v>-1</v>
      </c>
    </row>
    <row r="1840" spans="1:6" x14ac:dyDescent="0.25">
      <c r="A1840" s="20">
        <v>45422</v>
      </c>
      <c r="B1840" s="19" t="s">
        <v>30</v>
      </c>
      <c r="C1840" s="19" t="s">
        <v>7</v>
      </c>
      <c r="D1840" s="19" t="s">
        <v>138</v>
      </c>
      <c r="E1840" s="19">
        <v>0</v>
      </c>
      <c r="F1840" s="19">
        <v>-1</v>
      </c>
    </row>
    <row r="1841" spans="1:6" x14ac:dyDescent="0.25">
      <c r="A1841" s="20">
        <v>45422</v>
      </c>
      <c r="B1841" s="19" t="s">
        <v>30</v>
      </c>
      <c r="C1841" s="19" t="s">
        <v>8</v>
      </c>
      <c r="D1841" s="19" t="s">
        <v>138</v>
      </c>
      <c r="E1841" s="19">
        <v>0</v>
      </c>
      <c r="F1841" s="19">
        <v>-1</v>
      </c>
    </row>
    <row r="1842" spans="1:6" x14ac:dyDescent="0.25">
      <c r="A1842" s="20">
        <v>45422</v>
      </c>
      <c r="B1842" s="19" t="s">
        <v>31</v>
      </c>
      <c r="C1842" s="19" t="s">
        <v>6</v>
      </c>
      <c r="D1842" s="19" t="s">
        <v>138</v>
      </c>
      <c r="E1842" s="19">
        <v>0</v>
      </c>
      <c r="F1842" s="19">
        <v>-1</v>
      </c>
    </row>
    <row r="1843" spans="1:6" x14ac:dyDescent="0.25">
      <c r="A1843" s="20">
        <v>45422</v>
      </c>
      <c r="B1843" s="19" t="s">
        <v>31</v>
      </c>
      <c r="C1843" s="19" t="s">
        <v>7</v>
      </c>
      <c r="D1843" s="19" t="s">
        <v>138</v>
      </c>
      <c r="E1843" s="19">
        <v>0</v>
      </c>
      <c r="F1843" s="19">
        <v>-1</v>
      </c>
    </row>
    <row r="1844" spans="1:6" x14ac:dyDescent="0.25">
      <c r="A1844" s="20">
        <v>45422</v>
      </c>
      <c r="B1844" s="19" t="s">
        <v>31</v>
      </c>
      <c r="C1844" s="19" t="s">
        <v>8</v>
      </c>
      <c r="D1844" s="19" t="s">
        <v>138</v>
      </c>
      <c r="E1844" s="19">
        <v>0</v>
      </c>
      <c r="F1844" s="19">
        <v>-1</v>
      </c>
    </row>
    <row r="1845" spans="1:6" x14ac:dyDescent="0.25">
      <c r="A1845" s="20">
        <v>45422</v>
      </c>
      <c r="B1845" s="19" t="s">
        <v>32</v>
      </c>
      <c r="C1845" s="19" t="s">
        <v>6</v>
      </c>
      <c r="D1845" s="19" t="s">
        <v>138</v>
      </c>
      <c r="E1845" s="19">
        <v>0</v>
      </c>
      <c r="F1845" s="19">
        <v>-1</v>
      </c>
    </row>
    <row r="1846" spans="1:6" x14ac:dyDescent="0.25">
      <c r="A1846" s="20">
        <v>45422</v>
      </c>
      <c r="B1846" s="19" t="s">
        <v>32</v>
      </c>
      <c r="C1846" s="19" t="s">
        <v>7</v>
      </c>
      <c r="D1846" s="19" t="s">
        <v>138</v>
      </c>
      <c r="E1846" s="19">
        <v>0</v>
      </c>
      <c r="F1846" s="19">
        <v>-1</v>
      </c>
    </row>
    <row r="1847" spans="1:6" x14ac:dyDescent="0.25">
      <c r="A1847" s="20">
        <v>45422</v>
      </c>
      <c r="B1847" s="19" t="s">
        <v>32</v>
      </c>
      <c r="C1847" s="19" t="s">
        <v>8</v>
      </c>
      <c r="D1847" s="19" t="s">
        <v>138</v>
      </c>
      <c r="E1847" s="19">
        <v>0</v>
      </c>
      <c r="F1847" s="19">
        <v>-1</v>
      </c>
    </row>
    <row r="1848" spans="1:6" x14ac:dyDescent="0.25">
      <c r="A1848" s="20">
        <v>45422</v>
      </c>
      <c r="B1848" s="19" t="s">
        <v>67</v>
      </c>
      <c r="C1848" s="19" t="s">
        <v>6</v>
      </c>
      <c r="D1848" s="19" t="s">
        <v>139</v>
      </c>
      <c r="E1848" s="19">
        <v>2052</v>
      </c>
      <c r="F1848" s="19">
        <v>-1</v>
      </c>
    </row>
    <row r="1849" spans="1:6" x14ac:dyDescent="0.25">
      <c r="A1849" s="20">
        <v>45422</v>
      </c>
      <c r="B1849" s="19" t="s">
        <v>33</v>
      </c>
      <c r="C1849" s="19" t="s">
        <v>6</v>
      </c>
      <c r="D1849" s="19" t="s">
        <v>138</v>
      </c>
      <c r="E1849" s="19">
        <v>0</v>
      </c>
      <c r="F1849" s="19">
        <v>-1</v>
      </c>
    </row>
    <row r="1850" spans="1:6" x14ac:dyDescent="0.25">
      <c r="A1850" s="20">
        <v>45422</v>
      </c>
      <c r="B1850" s="19" t="s">
        <v>33</v>
      </c>
      <c r="C1850" s="19" t="s">
        <v>7</v>
      </c>
      <c r="D1850" s="19" t="s">
        <v>138</v>
      </c>
      <c r="E1850" s="19">
        <v>0</v>
      </c>
      <c r="F1850" s="19">
        <v>-1</v>
      </c>
    </row>
    <row r="1851" spans="1:6" x14ac:dyDescent="0.25">
      <c r="A1851" s="20">
        <v>45422</v>
      </c>
      <c r="B1851" s="19" t="s">
        <v>33</v>
      </c>
      <c r="C1851" s="19" t="s">
        <v>8</v>
      </c>
      <c r="D1851" s="19" t="s">
        <v>138</v>
      </c>
      <c r="E1851" s="19">
        <v>0</v>
      </c>
      <c r="F1851" s="19">
        <v>-1</v>
      </c>
    </row>
    <row r="1852" spans="1:6" x14ac:dyDescent="0.25">
      <c r="A1852" s="20">
        <v>45422</v>
      </c>
      <c r="B1852" s="19" t="s">
        <v>34</v>
      </c>
      <c r="C1852" s="19" t="s">
        <v>6</v>
      </c>
      <c r="D1852" s="19" t="s">
        <v>138</v>
      </c>
      <c r="E1852" s="19">
        <v>0</v>
      </c>
      <c r="F1852" s="19">
        <v>-1</v>
      </c>
    </row>
    <row r="1853" spans="1:6" x14ac:dyDescent="0.25">
      <c r="A1853" s="20">
        <v>45422</v>
      </c>
      <c r="B1853" s="19" t="s">
        <v>34</v>
      </c>
      <c r="C1853" s="19" t="s">
        <v>7</v>
      </c>
      <c r="D1853" s="19" t="s">
        <v>138</v>
      </c>
      <c r="E1853" s="19">
        <v>0</v>
      </c>
      <c r="F1853" s="19">
        <v>-1</v>
      </c>
    </row>
    <row r="1854" spans="1:6" x14ac:dyDescent="0.25">
      <c r="A1854" s="20">
        <v>45422</v>
      </c>
      <c r="B1854" s="19" t="s">
        <v>34</v>
      </c>
      <c r="C1854" s="19" t="s">
        <v>8</v>
      </c>
      <c r="D1854" s="19" t="s">
        <v>138</v>
      </c>
      <c r="E1854" s="19">
        <v>0</v>
      </c>
      <c r="F1854" s="19">
        <v>-1</v>
      </c>
    </row>
    <row r="1855" spans="1:6" x14ac:dyDescent="0.25">
      <c r="A1855" s="20">
        <v>45422</v>
      </c>
      <c r="B1855" s="19" t="s">
        <v>35</v>
      </c>
      <c r="C1855" s="19" t="s">
        <v>6</v>
      </c>
      <c r="D1855" s="19" t="s">
        <v>138</v>
      </c>
      <c r="E1855" s="19">
        <v>0</v>
      </c>
      <c r="F1855" s="19">
        <v>-1</v>
      </c>
    </row>
    <row r="1856" spans="1:6" x14ac:dyDescent="0.25">
      <c r="A1856" s="20">
        <v>45422</v>
      </c>
      <c r="B1856" s="19" t="s">
        <v>35</v>
      </c>
      <c r="C1856" s="19" t="s">
        <v>7</v>
      </c>
      <c r="D1856" s="19" t="s">
        <v>138</v>
      </c>
      <c r="E1856" s="19">
        <v>0</v>
      </c>
      <c r="F1856" s="19">
        <v>-1</v>
      </c>
    </row>
    <row r="1857" spans="1:6" x14ac:dyDescent="0.25">
      <c r="A1857" s="20">
        <v>45422</v>
      </c>
      <c r="B1857" s="19" t="s">
        <v>35</v>
      </c>
      <c r="C1857" s="19" t="s">
        <v>8</v>
      </c>
      <c r="D1857" s="19" t="s">
        <v>138</v>
      </c>
      <c r="E1857" s="19">
        <v>0</v>
      </c>
      <c r="F1857" s="19">
        <v>-1</v>
      </c>
    </row>
    <row r="1858" spans="1:6" x14ac:dyDescent="0.25">
      <c r="A1858" s="20">
        <v>45422</v>
      </c>
      <c r="B1858" s="19" t="s">
        <v>63</v>
      </c>
      <c r="C1858" s="19" t="s">
        <v>6</v>
      </c>
      <c r="D1858" s="19" t="s">
        <v>138</v>
      </c>
      <c r="E1858" s="19">
        <v>0</v>
      </c>
      <c r="F1858" s="19">
        <v>-1</v>
      </c>
    </row>
    <row r="1859" spans="1:6" x14ac:dyDescent="0.25">
      <c r="A1859" s="20">
        <v>45422</v>
      </c>
      <c r="B1859" s="19" t="s">
        <v>63</v>
      </c>
      <c r="C1859" s="19" t="s">
        <v>7</v>
      </c>
      <c r="D1859" s="19" t="s">
        <v>138</v>
      </c>
      <c r="E1859" s="19">
        <v>0</v>
      </c>
      <c r="F1859" s="19">
        <v>-1</v>
      </c>
    </row>
    <row r="1860" spans="1:6" x14ac:dyDescent="0.25">
      <c r="A1860" s="20">
        <v>45422</v>
      </c>
      <c r="B1860" s="19" t="s">
        <v>63</v>
      </c>
      <c r="C1860" s="19" t="s">
        <v>8</v>
      </c>
      <c r="D1860" s="19" t="s">
        <v>138</v>
      </c>
      <c r="E1860" s="19">
        <v>0</v>
      </c>
      <c r="F1860" s="19">
        <v>-1</v>
      </c>
    </row>
    <row r="1861" spans="1:6" x14ac:dyDescent="0.25">
      <c r="A1861" s="20">
        <v>45422</v>
      </c>
      <c r="B1861" s="19" t="s">
        <v>36</v>
      </c>
      <c r="C1861" s="19" t="s">
        <v>6</v>
      </c>
      <c r="D1861" s="19" t="s">
        <v>138</v>
      </c>
      <c r="E1861" s="19">
        <v>-1</v>
      </c>
      <c r="F1861" s="19">
        <v>13.2</v>
      </c>
    </row>
    <row r="1862" spans="1:6" x14ac:dyDescent="0.25">
      <c r="A1862" s="20">
        <v>45422</v>
      </c>
      <c r="B1862" s="19" t="s">
        <v>36</v>
      </c>
      <c r="C1862" s="19" t="s">
        <v>7</v>
      </c>
      <c r="D1862" s="19" t="s">
        <v>139</v>
      </c>
      <c r="E1862" s="19">
        <v>2132</v>
      </c>
      <c r="F1862" s="19">
        <v>13.2</v>
      </c>
    </row>
    <row r="1863" spans="1:6" x14ac:dyDescent="0.25">
      <c r="A1863" s="20">
        <v>45422</v>
      </c>
      <c r="B1863" s="19" t="s">
        <v>36</v>
      </c>
      <c r="C1863" s="19" t="s">
        <v>8</v>
      </c>
      <c r="D1863" s="19" t="s">
        <v>139</v>
      </c>
      <c r="E1863" s="19">
        <v>2059</v>
      </c>
      <c r="F1863" s="19">
        <v>13.2</v>
      </c>
    </row>
    <row r="1864" spans="1:6" x14ac:dyDescent="0.25">
      <c r="A1864" s="20">
        <v>45422</v>
      </c>
      <c r="B1864" s="19" t="s">
        <v>256</v>
      </c>
      <c r="C1864" s="19" t="s">
        <v>6</v>
      </c>
      <c r="D1864" s="19" t="s">
        <v>138</v>
      </c>
      <c r="E1864" s="19">
        <v>0</v>
      </c>
      <c r="F1864" s="19">
        <v>-1</v>
      </c>
    </row>
    <row r="1865" spans="1:6" x14ac:dyDescent="0.25">
      <c r="A1865" s="20">
        <v>45422</v>
      </c>
      <c r="B1865" s="19" t="s">
        <v>256</v>
      </c>
      <c r="C1865" s="19" t="s">
        <v>7</v>
      </c>
      <c r="D1865" s="19" t="s">
        <v>138</v>
      </c>
      <c r="E1865" s="19">
        <v>0</v>
      </c>
      <c r="F1865" s="19">
        <v>-1</v>
      </c>
    </row>
    <row r="1866" spans="1:6" x14ac:dyDescent="0.25">
      <c r="A1866" s="20">
        <v>45422</v>
      </c>
      <c r="B1866" s="19" t="s">
        <v>256</v>
      </c>
      <c r="C1866" s="19" t="s">
        <v>8</v>
      </c>
      <c r="D1866" s="19" t="s">
        <v>138</v>
      </c>
      <c r="E1866" s="19">
        <v>0</v>
      </c>
      <c r="F1866" s="19">
        <v>-1</v>
      </c>
    </row>
    <row r="1867" spans="1:6" x14ac:dyDescent="0.25">
      <c r="A1867" s="20">
        <v>45422</v>
      </c>
      <c r="B1867" s="19" t="s">
        <v>257</v>
      </c>
      <c r="C1867" s="19" t="s">
        <v>6</v>
      </c>
      <c r="D1867" s="19" t="s">
        <v>138</v>
      </c>
      <c r="E1867" s="19">
        <v>0</v>
      </c>
      <c r="F1867" s="19">
        <v>-1</v>
      </c>
    </row>
    <row r="1868" spans="1:6" x14ac:dyDescent="0.25">
      <c r="A1868" s="20">
        <v>45422</v>
      </c>
      <c r="B1868" s="19" t="s">
        <v>257</v>
      </c>
      <c r="C1868" s="19" t="s">
        <v>7</v>
      </c>
      <c r="D1868" s="19" t="s">
        <v>138</v>
      </c>
      <c r="E1868" s="19">
        <v>0</v>
      </c>
      <c r="F1868" s="19">
        <v>-1</v>
      </c>
    </row>
    <row r="1869" spans="1:6" x14ac:dyDescent="0.25">
      <c r="A1869" s="20">
        <v>45422</v>
      </c>
      <c r="B1869" s="19" t="s">
        <v>257</v>
      </c>
      <c r="C1869" s="19" t="s">
        <v>8</v>
      </c>
      <c r="D1869" s="19" t="s">
        <v>138</v>
      </c>
      <c r="E1869" s="19">
        <v>0</v>
      </c>
      <c r="F1869" s="19">
        <v>-1</v>
      </c>
    </row>
    <row r="1870" spans="1:6" x14ac:dyDescent="0.25">
      <c r="A1870" s="20">
        <v>45422</v>
      </c>
      <c r="B1870" s="19" t="s">
        <v>37</v>
      </c>
      <c r="C1870" s="19" t="s">
        <v>6</v>
      </c>
      <c r="D1870" s="19" t="s">
        <v>138</v>
      </c>
      <c r="E1870" s="19">
        <v>0</v>
      </c>
      <c r="F1870" s="19">
        <v>-1</v>
      </c>
    </row>
    <row r="1871" spans="1:6" x14ac:dyDescent="0.25">
      <c r="A1871" s="20">
        <v>45422</v>
      </c>
      <c r="B1871" s="19" t="s">
        <v>37</v>
      </c>
      <c r="C1871" s="19" t="s">
        <v>7</v>
      </c>
      <c r="D1871" s="19" t="s">
        <v>138</v>
      </c>
      <c r="E1871" s="19">
        <v>0</v>
      </c>
      <c r="F1871" s="19">
        <v>-1</v>
      </c>
    </row>
    <row r="1872" spans="1:6" x14ac:dyDescent="0.25">
      <c r="A1872" s="20">
        <v>45422</v>
      </c>
      <c r="B1872" s="19" t="s">
        <v>37</v>
      </c>
      <c r="C1872" s="19" t="s">
        <v>8</v>
      </c>
      <c r="D1872" s="19" t="s">
        <v>138</v>
      </c>
      <c r="E1872" s="19">
        <v>0</v>
      </c>
      <c r="F1872" s="19">
        <v>-1</v>
      </c>
    </row>
    <row r="1873" spans="1:6" x14ac:dyDescent="0.25">
      <c r="A1873" s="20">
        <v>45422</v>
      </c>
      <c r="B1873" s="19" t="s">
        <v>258</v>
      </c>
      <c r="C1873" s="19" t="s">
        <v>6</v>
      </c>
      <c r="D1873" s="19" t="s">
        <v>138</v>
      </c>
      <c r="E1873" s="19">
        <v>0</v>
      </c>
      <c r="F1873" s="19">
        <v>-1</v>
      </c>
    </row>
    <row r="1874" spans="1:6" x14ac:dyDescent="0.25">
      <c r="A1874" s="20">
        <v>45422</v>
      </c>
      <c r="B1874" s="19" t="s">
        <v>258</v>
      </c>
      <c r="C1874" s="19" t="s">
        <v>7</v>
      </c>
      <c r="D1874" s="19" t="s">
        <v>138</v>
      </c>
      <c r="E1874" s="19">
        <v>0</v>
      </c>
      <c r="F1874" s="19">
        <v>-1</v>
      </c>
    </row>
    <row r="1875" spans="1:6" x14ac:dyDescent="0.25">
      <c r="A1875" s="20">
        <v>45422</v>
      </c>
      <c r="B1875" s="19" t="s">
        <v>258</v>
      </c>
      <c r="C1875" s="19" t="s">
        <v>8</v>
      </c>
      <c r="D1875" s="19" t="s">
        <v>138</v>
      </c>
      <c r="E1875" s="19">
        <v>0</v>
      </c>
      <c r="F1875" s="19">
        <v>-1</v>
      </c>
    </row>
    <row r="1876" spans="1:6" x14ac:dyDescent="0.25">
      <c r="A1876" s="20">
        <v>45422</v>
      </c>
      <c r="B1876" s="19" t="s">
        <v>259</v>
      </c>
      <c r="C1876" s="19" t="s">
        <v>6</v>
      </c>
      <c r="D1876" s="19" t="s">
        <v>138</v>
      </c>
      <c r="E1876" s="19">
        <v>0</v>
      </c>
      <c r="F1876" s="19">
        <v>-1</v>
      </c>
    </row>
    <row r="1877" spans="1:6" x14ac:dyDescent="0.25">
      <c r="A1877" s="20">
        <v>45422</v>
      </c>
      <c r="B1877" s="19" t="s">
        <v>259</v>
      </c>
      <c r="C1877" s="19" t="s">
        <v>7</v>
      </c>
      <c r="D1877" s="19" t="s">
        <v>138</v>
      </c>
      <c r="E1877" s="19">
        <v>0</v>
      </c>
      <c r="F1877" s="19">
        <v>-1</v>
      </c>
    </row>
    <row r="1878" spans="1:6" x14ac:dyDescent="0.25">
      <c r="A1878" s="20">
        <v>45422</v>
      </c>
      <c r="B1878" s="19" t="s">
        <v>259</v>
      </c>
      <c r="C1878" s="19" t="s">
        <v>8</v>
      </c>
      <c r="D1878" s="19" t="s">
        <v>138</v>
      </c>
      <c r="E1878" s="19">
        <v>0</v>
      </c>
      <c r="F1878" s="19">
        <v>-1</v>
      </c>
    </row>
    <row r="1879" spans="1:6" x14ac:dyDescent="0.25">
      <c r="A1879" s="20">
        <v>45422</v>
      </c>
      <c r="B1879" s="19" t="s">
        <v>260</v>
      </c>
      <c r="C1879" s="19" t="s">
        <v>6</v>
      </c>
      <c r="D1879" s="19" t="s">
        <v>138</v>
      </c>
      <c r="E1879" s="19">
        <v>0</v>
      </c>
      <c r="F1879" s="19">
        <v>-1</v>
      </c>
    </row>
    <row r="1880" spans="1:6" x14ac:dyDescent="0.25">
      <c r="A1880" s="20">
        <v>45422</v>
      </c>
      <c r="B1880" s="19" t="s">
        <v>260</v>
      </c>
      <c r="C1880" s="19" t="s">
        <v>7</v>
      </c>
      <c r="D1880" s="19" t="s">
        <v>138</v>
      </c>
      <c r="E1880" s="19">
        <v>0</v>
      </c>
      <c r="F1880" s="19">
        <v>-1</v>
      </c>
    </row>
    <row r="1881" spans="1:6" x14ac:dyDescent="0.25">
      <c r="A1881" s="20">
        <v>45422</v>
      </c>
      <c r="B1881" s="19" t="s">
        <v>260</v>
      </c>
      <c r="C1881" s="19" t="s">
        <v>8</v>
      </c>
      <c r="D1881" s="19" t="s">
        <v>138</v>
      </c>
      <c r="E1881" s="19">
        <v>0</v>
      </c>
      <c r="F1881" s="19">
        <v>-1</v>
      </c>
    </row>
    <row r="1882" spans="1:6" x14ac:dyDescent="0.25">
      <c r="A1882" s="20">
        <v>45422</v>
      </c>
      <c r="B1882" s="19" t="s">
        <v>261</v>
      </c>
      <c r="C1882" s="19" t="s">
        <v>6</v>
      </c>
      <c r="D1882" s="19" t="s">
        <v>138</v>
      </c>
      <c r="E1882" s="19">
        <v>0</v>
      </c>
      <c r="F1882" s="19">
        <v>-1</v>
      </c>
    </row>
    <row r="1883" spans="1:6" x14ac:dyDescent="0.25">
      <c r="A1883" s="20">
        <v>45422</v>
      </c>
      <c r="B1883" s="19" t="s">
        <v>261</v>
      </c>
      <c r="C1883" s="19" t="s">
        <v>7</v>
      </c>
      <c r="D1883" s="19" t="s">
        <v>138</v>
      </c>
      <c r="E1883" s="19">
        <v>0</v>
      </c>
      <c r="F1883" s="19">
        <v>-1</v>
      </c>
    </row>
    <row r="1884" spans="1:6" x14ac:dyDescent="0.25">
      <c r="A1884" s="20">
        <v>45422</v>
      </c>
      <c r="B1884" s="19" t="s">
        <v>261</v>
      </c>
      <c r="C1884" s="19" t="s">
        <v>8</v>
      </c>
      <c r="D1884" s="19" t="s">
        <v>138</v>
      </c>
      <c r="E1884" s="19">
        <v>0</v>
      </c>
      <c r="F1884" s="19">
        <v>-1</v>
      </c>
    </row>
    <row r="1885" spans="1:6" x14ac:dyDescent="0.25">
      <c r="A1885" s="20">
        <v>45422</v>
      </c>
      <c r="B1885" s="19" t="s">
        <v>54</v>
      </c>
      <c r="C1885" s="19" t="s">
        <v>6</v>
      </c>
      <c r="D1885" s="19" t="s">
        <v>138</v>
      </c>
      <c r="E1885" s="19">
        <v>0</v>
      </c>
      <c r="F1885" s="19">
        <v>-1</v>
      </c>
    </row>
    <row r="1886" spans="1:6" x14ac:dyDescent="0.25">
      <c r="A1886" s="20">
        <v>45422</v>
      </c>
      <c r="B1886" s="19" t="s">
        <v>54</v>
      </c>
      <c r="C1886" s="19" t="s">
        <v>7</v>
      </c>
      <c r="D1886" s="19" t="s">
        <v>138</v>
      </c>
      <c r="E1886" s="19">
        <v>0</v>
      </c>
      <c r="F1886" s="19">
        <v>-1</v>
      </c>
    </row>
    <row r="1887" spans="1:6" x14ac:dyDescent="0.25">
      <c r="A1887" s="20">
        <v>45422</v>
      </c>
      <c r="B1887" s="19" t="s">
        <v>54</v>
      </c>
      <c r="C1887" s="19" t="s">
        <v>8</v>
      </c>
      <c r="D1887" s="19" t="s">
        <v>138</v>
      </c>
      <c r="E1887" s="19">
        <v>0</v>
      </c>
      <c r="F1887" s="19">
        <v>-1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59"/>
  <sheetViews>
    <sheetView workbookViewId="0">
      <selection activeCell="L98" sqref="L98"/>
    </sheetView>
  </sheetViews>
  <sheetFormatPr defaultRowHeight="15" x14ac:dyDescent="0.25"/>
  <cols>
    <col min="1" max="1" width="17.140625" style="18" bestFit="1" customWidth="1"/>
    <col min="2" max="2" width="19.42578125" style="18" bestFit="1" customWidth="1"/>
    <col min="3" max="3" width="12.28515625" style="18" bestFit="1" customWidth="1"/>
    <col min="4" max="5" width="8.28515625" style="18" bestFit="1" customWidth="1"/>
    <col min="6" max="6" width="8.28515625" bestFit="1" customWidth="1"/>
    <col min="7" max="7" width="12.28515625" style="18" bestFit="1" customWidth="1"/>
    <col min="8" max="8" width="19.42578125" bestFit="1" customWidth="1"/>
    <col min="9" max="9" width="19.5703125" bestFit="1" customWidth="1"/>
    <col min="10" max="12" width="9.7109375" bestFit="1" customWidth="1"/>
  </cols>
  <sheetData>
    <row r="1" spans="1:9" x14ac:dyDescent="0.25">
      <c r="A1" s="20" t="s">
        <v>0</v>
      </c>
      <c r="B1" s="19" t="s">
        <v>1</v>
      </c>
      <c r="C1" s="19" t="s">
        <v>4</v>
      </c>
      <c r="D1" s="19" t="s">
        <v>6</v>
      </c>
      <c r="E1" s="19" t="s">
        <v>7</v>
      </c>
      <c r="F1" s="21" t="s">
        <v>8</v>
      </c>
      <c r="G1" s="21" t="s">
        <v>145</v>
      </c>
      <c r="I1" t="s">
        <v>173</v>
      </c>
    </row>
    <row r="2" spans="1:9" x14ac:dyDescent="0.25">
      <c r="A2" s="20">
        <v>45408</v>
      </c>
      <c r="B2" s="19" t="s">
        <v>136</v>
      </c>
      <c r="C2" s="19" t="s">
        <v>138</v>
      </c>
      <c r="D2" s="19">
        <v>0</v>
      </c>
      <c r="E2" s="19">
        <v>0</v>
      </c>
      <c r="F2" s="19">
        <v>0</v>
      </c>
      <c r="G2" s="19">
        <v>42144554</v>
      </c>
      <c r="I2" s="16">
        <f ca="1">TODAY()-3</f>
        <v>45420</v>
      </c>
    </row>
    <row r="3" spans="1:9" x14ac:dyDescent="0.25">
      <c r="A3" s="20">
        <v>45408</v>
      </c>
      <c r="B3" s="19" t="s">
        <v>135</v>
      </c>
      <c r="C3" s="19" t="s">
        <v>138</v>
      </c>
      <c r="D3" s="19">
        <v>0</v>
      </c>
      <c r="E3" s="19">
        <v>0</v>
      </c>
      <c r="F3" s="19">
        <v>0</v>
      </c>
      <c r="G3" s="19">
        <v>24.09</v>
      </c>
      <c r="I3" s="16">
        <f t="shared" ref="I3" ca="1" si="0">TODAY()-2</f>
        <v>45421</v>
      </c>
    </row>
    <row r="4" spans="1:9" x14ac:dyDescent="0.25">
      <c r="A4" s="20">
        <v>45408</v>
      </c>
      <c r="B4" s="19" t="s">
        <v>134</v>
      </c>
      <c r="C4" s="19" t="s">
        <v>138</v>
      </c>
      <c r="D4" s="19">
        <v>0</v>
      </c>
      <c r="E4" s="19">
        <v>0</v>
      </c>
      <c r="F4" s="19">
        <v>0</v>
      </c>
      <c r="G4" s="19">
        <v>0</v>
      </c>
    </row>
    <row r="5" spans="1:9" x14ac:dyDescent="0.25">
      <c r="A5" s="20">
        <v>45408</v>
      </c>
      <c r="B5" s="19" t="s">
        <v>132</v>
      </c>
      <c r="C5" s="19" t="s">
        <v>138</v>
      </c>
      <c r="D5" s="19">
        <v>0</v>
      </c>
      <c r="E5" s="19">
        <v>0</v>
      </c>
      <c r="F5" s="19">
        <v>0</v>
      </c>
      <c r="G5" s="19">
        <v>41.38</v>
      </c>
    </row>
    <row r="6" spans="1:9" x14ac:dyDescent="0.25">
      <c r="A6" s="20">
        <v>45408</v>
      </c>
      <c r="B6" s="19" t="s">
        <v>131</v>
      </c>
      <c r="C6" s="19" t="s">
        <v>138</v>
      </c>
      <c r="D6" s="19">
        <v>0</v>
      </c>
      <c r="E6" s="19">
        <v>0</v>
      </c>
      <c r="F6" s="19">
        <v>0</v>
      </c>
      <c r="G6" s="19">
        <v>23.93</v>
      </c>
    </row>
    <row r="7" spans="1:9" x14ac:dyDescent="0.25">
      <c r="A7" s="20">
        <v>45408</v>
      </c>
      <c r="B7" s="19" t="s">
        <v>130</v>
      </c>
      <c r="C7" s="19" t="s">
        <v>138</v>
      </c>
      <c r="D7" s="19">
        <v>0</v>
      </c>
      <c r="E7" s="19">
        <v>0</v>
      </c>
      <c r="F7" s="19">
        <v>0</v>
      </c>
      <c r="G7" s="19">
        <v>15.11</v>
      </c>
    </row>
    <row r="8" spans="1:9" x14ac:dyDescent="0.25">
      <c r="A8" s="20">
        <v>45408</v>
      </c>
      <c r="B8" s="19" t="s">
        <v>128</v>
      </c>
      <c r="C8" s="19" t="s">
        <v>138</v>
      </c>
      <c r="D8" s="19">
        <v>0</v>
      </c>
      <c r="E8" s="19">
        <v>0</v>
      </c>
      <c r="F8" s="19">
        <v>0</v>
      </c>
      <c r="G8" s="19">
        <v>41.06</v>
      </c>
    </row>
    <row r="9" spans="1:9" x14ac:dyDescent="0.25">
      <c r="A9" s="20">
        <v>45408</v>
      </c>
      <c r="B9" s="19" t="s">
        <v>40</v>
      </c>
      <c r="C9" s="19" t="s">
        <v>138</v>
      </c>
      <c r="D9" s="19">
        <v>0</v>
      </c>
      <c r="E9" s="19">
        <v>0</v>
      </c>
      <c r="F9" s="19">
        <v>0</v>
      </c>
      <c r="G9" s="19">
        <v>14.92</v>
      </c>
    </row>
    <row r="10" spans="1:9" x14ac:dyDescent="0.25">
      <c r="A10" s="20">
        <v>45408</v>
      </c>
      <c r="B10" s="19" t="s">
        <v>127</v>
      </c>
      <c r="C10" s="19" t="s">
        <v>138</v>
      </c>
      <c r="D10" s="19">
        <v>0</v>
      </c>
      <c r="E10" s="19">
        <v>0</v>
      </c>
      <c r="F10" s="19">
        <v>0</v>
      </c>
      <c r="G10" s="19">
        <v>20.6</v>
      </c>
    </row>
    <row r="11" spans="1:9" x14ac:dyDescent="0.25">
      <c r="A11" s="20">
        <v>45408</v>
      </c>
      <c r="B11" s="19" t="s">
        <v>124</v>
      </c>
      <c r="C11" s="19" t="s">
        <v>138</v>
      </c>
      <c r="D11" s="19">
        <v>0</v>
      </c>
      <c r="E11" s="19">
        <v>0</v>
      </c>
      <c r="F11" s="19">
        <v>0</v>
      </c>
      <c r="G11" s="19">
        <v>39863813</v>
      </c>
    </row>
    <row r="12" spans="1:9" x14ac:dyDescent="0.25">
      <c r="A12" s="20">
        <v>45408</v>
      </c>
      <c r="B12" s="19" t="s">
        <v>122</v>
      </c>
      <c r="C12" s="19" t="s">
        <v>138</v>
      </c>
      <c r="D12" s="19">
        <v>0</v>
      </c>
      <c r="E12" s="19">
        <v>0</v>
      </c>
      <c r="F12" s="19">
        <v>0</v>
      </c>
      <c r="G12" s="19">
        <v>20.399999999999999</v>
      </c>
    </row>
    <row r="13" spans="1:9" x14ac:dyDescent="0.25">
      <c r="A13" s="20">
        <v>45408</v>
      </c>
      <c r="B13" s="19" t="s">
        <v>120</v>
      </c>
      <c r="C13" s="19" t="s">
        <v>138</v>
      </c>
      <c r="D13" s="19">
        <v>0</v>
      </c>
      <c r="E13" s="19">
        <v>0</v>
      </c>
      <c r="F13" s="19">
        <v>0</v>
      </c>
      <c r="G13" s="19">
        <v>40.78</v>
      </c>
    </row>
    <row r="14" spans="1:9" x14ac:dyDescent="0.25">
      <c r="A14" s="20">
        <v>45408</v>
      </c>
      <c r="B14" s="19" t="s">
        <v>119</v>
      </c>
      <c r="C14" s="19" t="s">
        <v>138</v>
      </c>
      <c r="D14" s="19">
        <v>0</v>
      </c>
      <c r="E14" s="19">
        <v>0</v>
      </c>
      <c r="F14" s="19">
        <v>0</v>
      </c>
      <c r="G14" s="19">
        <v>41.75</v>
      </c>
    </row>
    <row r="15" spans="1:9" x14ac:dyDescent="0.25">
      <c r="A15" s="20">
        <v>45408</v>
      </c>
      <c r="B15" s="19" t="s">
        <v>117</v>
      </c>
      <c r="C15" s="19" t="s">
        <v>138</v>
      </c>
      <c r="D15" s="19">
        <v>0</v>
      </c>
      <c r="E15" s="19">
        <v>0</v>
      </c>
      <c r="F15" s="19">
        <v>0</v>
      </c>
      <c r="G15" s="19">
        <v>34.799999999999997</v>
      </c>
    </row>
    <row r="16" spans="1:9" x14ac:dyDescent="0.25">
      <c r="A16" s="20">
        <v>45408</v>
      </c>
      <c r="B16" s="19" t="s">
        <v>39</v>
      </c>
      <c r="C16" s="19" t="s">
        <v>138</v>
      </c>
      <c r="D16" s="19">
        <v>0</v>
      </c>
      <c r="E16" s="19">
        <v>0</v>
      </c>
      <c r="F16" s="19">
        <v>0</v>
      </c>
      <c r="G16" s="19">
        <v>23.3</v>
      </c>
    </row>
    <row r="17" spans="1:7" x14ac:dyDescent="0.25">
      <c r="A17" s="20">
        <v>45408</v>
      </c>
      <c r="B17" s="19" t="s">
        <v>113</v>
      </c>
      <c r="C17" s="19" t="s">
        <v>138</v>
      </c>
      <c r="D17" s="19">
        <v>0</v>
      </c>
      <c r="E17" s="19">
        <v>0</v>
      </c>
      <c r="F17" s="19">
        <v>0</v>
      </c>
      <c r="G17" s="19">
        <v>41.83</v>
      </c>
    </row>
    <row r="18" spans="1:7" x14ac:dyDescent="0.25">
      <c r="A18" s="20">
        <v>45408</v>
      </c>
      <c r="B18" s="19" t="s">
        <v>111</v>
      </c>
      <c r="C18" s="19" t="s">
        <v>138</v>
      </c>
      <c r="D18" s="19">
        <v>0</v>
      </c>
      <c r="E18" s="19">
        <v>0</v>
      </c>
      <c r="F18" s="19">
        <v>0</v>
      </c>
      <c r="G18" s="19">
        <v>20.48</v>
      </c>
    </row>
    <row r="19" spans="1:7" x14ac:dyDescent="0.25">
      <c r="A19" s="20">
        <v>45408</v>
      </c>
      <c r="B19" s="19" t="s">
        <v>109</v>
      </c>
      <c r="C19" s="19" t="s">
        <v>138</v>
      </c>
      <c r="D19" s="19">
        <v>0</v>
      </c>
      <c r="E19" s="19">
        <v>0</v>
      </c>
      <c r="F19" s="19">
        <v>0</v>
      </c>
      <c r="G19" s="19">
        <v>41.06</v>
      </c>
    </row>
    <row r="20" spans="1:7" x14ac:dyDescent="0.25">
      <c r="A20" s="20">
        <v>45408</v>
      </c>
      <c r="B20" s="19" t="s">
        <v>107</v>
      </c>
      <c r="C20" s="19" t="s">
        <v>139</v>
      </c>
      <c r="D20" s="19">
        <v>2120</v>
      </c>
      <c r="E20" s="19">
        <v>2103</v>
      </c>
      <c r="F20" s="19">
        <v>2128</v>
      </c>
      <c r="G20" s="19">
        <v>13.59</v>
      </c>
    </row>
    <row r="21" spans="1:7" x14ac:dyDescent="0.25">
      <c r="A21" s="20">
        <v>45408</v>
      </c>
      <c r="B21" s="19" t="s">
        <v>41</v>
      </c>
      <c r="C21" s="19" t="s">
        <v>138</v>
      </c>
      <c r="D21" s="19">
        <v>0</v>
      </c>
      <c r="E21" s="19">
        <v>0</v>
      </c>
      <c r="F21" s="19">
        <v>0</v>
      </c>
      <c r="G21" s="19">
        <v>17.88</v>
      </c>
    </row>
    <row r="22" spans="1:7" x14ac:dyDescent="0.25">
      <c r="A22" s="20">
        <v>45408</v>
      </c>
      <c r="B22" s="19" t="s">
        <v>43</v>
      </c>
      <c r="C22" s="19" t="s">
        <v>138</v>
      </c>
      <c r="D22" s="19">
        <v>0</v>
      </c>
      <c r="E22" s="19">
        <v>0</v>
      </c>
      <c r="F22" s="19">
        <v>0</v>
      </c>
      <c r="G22" s="19">
        <v>17.25</v>
      </c>
    </row>
    <row r="23" spans="1:7" x14ac:dyDescent="0.25">
      <c r="A23" s="20">
        <v>45408</v>
      </c>
      <c r="B23" s="19" t="s">
        <v>5</v>
      </c>
      <c r="C23" s="19" t="s">
        <v>138</v>
      </c>
      <c r="D23" s="19">
        <v>0</v>
      </c>
      <c r="E23" s="19">
        <v>0</v>
      </c>
      <c r="F23" s="19">
        <v>0</v>
      </c>
      <c r="G23" s="19">
        <v>16.45</v>
      </c>
    </row>
    <row r="24" spans="1:7" x14ac:dyDescent="0.25">
      <c r="A24" s="20">
        <v>45408</v>
      </c>
      <c r="B24" s="19" t="s">
        <v>9</v>
      </c>
      <c r="C24" s="19" t="s">
        <v>138</v>
      </c>
      <c r="D24" s="19">
        <v>0</v>
      </c>
      <c r="E24" s="19">
        <v>0</v>
      </c>
      <c r="F24" s="19">
        <v>0</v>
      </c>
      <c r="G24" s="19">
        <v>23.18</v>
      </c>
    </row>
    <row r="25" spans="1:7" x14ac:dyDescent="0.25">
      <c r="A25" s="20">
        <v>45408</v>
      </c>
      <c r="B25" s="19" t="s">
        <v>10</v>
      </c>
      <c r="C25" s="19" t="s">
        <v>138</v>
      </c>
      <c r="D25" s="19">
        <v>0</v>
      </c>
      <c r="E25" s="19">
        <v>0</v>
      </c>
      <c r="F25" s="19">
        <v>0</v>
      </c>
      <c r="G25" s="19">
        <v>18.2</v>
      </c>
    </row>
    <row r="26" spans="1:7" x14ac:dyDescent="0.25">
      <c r="A26" s="20">
        <v>45408</v>
      </c>
      <c r="B26" s="19" t="s">
        <v>11</v>
      </c>
      <c r="C26" s="19" t="s">
        <v>139</v>
      </c>
      <c r="D26" s="19">
        <v>2516</v>
      </c>
      <c r="E26" s="19">
        <v>2153</v>
      </c>
      <c r="F26" s="19">
        <v>2480</v>
      </c>
      <c r="G26" s="19">
        <v>11.39</v>
      </c>
    </row>
    <row r="27" spans="1:7" x14ac:dyDescent="0.25">
      <c r="A27" s="20">
        <v>45408</v>
      </c>
      <c r="B27" s="19" t="s">
        <v>12</v>
      </c>
      <c r="C27" s="19" t="s">
        <v>138</v>
      </c>
      <c r="D27" s="19">
        <v>0</v>
      </c>
      <c r="E27" s="19">
        <v>0</v>
      </c>
      <c r="F27" s="19">
        <v>0</v>
      </c>
      <c r="G27" s="19">
        <v>12.64</v>
      </c>
    </row>
    <row r="28" spans="1:7" x14ac:dyDescent="0.25">
      <c r="A28" s="20">
        <v>45408</v>
      </c>
      <c r="B28" s="19" t="s">
        <v>105</v>
      </c>
      <c r="C28" s="19" t="s">
        <v>139</v>
      </c>
      <c r="D28" s="19">
        <v>2136</v>
      </c>
      <c r="E28" s="19">
        <v>2316</v>
      </c>
      <c r="F28" s="19">
        <v>2309</v>
      </c>
      <c r="G28" s="19">
        <v>12.39</v>
      </c>
    </row>
    <row r="29" spans="1:7" x14ac:dyDescent="0.25">
      <c r="A29" s="20">
        <v>45408</v>
      </c>
      <c r="B29" s="19" t="s">
        <v>104</v>
      </c>
      <c r="C29" s="19" t="s">
        <v>138</v>
      </c>
      <c r="D29" s="19">
        <v>0</v>
      </c>
      <c r="E29" s="19">
        <v>0</v>
      </c>
      <c r="F29" s="19">
        <v>0</v>
      </c>
      <c r="G29" s="19">
        <v>13.96</v>
      </c>
    </row>
    <row r="30" spans="1:7" x14ac:dyDescent="0.25">
      <c r="A30" s="20">
        <v>45408</v>
      </c>
      <c r="B30" s="19" t="s">
        <v>13</v>
      </c>
      <c r="C30" s="19" t="s">
        <v>139</v>
      </c>
      <c r="D30" s="19">
        <v>2197</v>
      </c>
      <c r="E30" s="19">
        <v>2219</v>
      </c>
      <c r="F30" s="19">
        <v>2185</v>
      </c>
      <c r="G30" s="19">
        <v>12.4</v>
      </c>
    </row>
    <row r="31" spans="1:7" x14ac:dyDescent="0.25">
      <c r="A31" s="20">
        <v>45408</v>
      </c>
      <c r="B31" s="19" t="s">
        <v>103</v>
      </c>
      <c r="C31" s="19" t="s">
        <v>138</v>
      </c>
      <c r="D31" s="19">
        <v>0</v>
      </c>
      <c r="E31" s="19">
        <v>0</v>
      </c>
      <c r="F31" s="19">
        <v>0</v>
      </c>
      <c r="G31" s="19">
        <v>41.9</v>
      </c>
    </row>
    <row r="32" spans="1:7" x14ac:dyDescent="0.25">
      <c r="A32" s="20">
        <v>45408</v>
      </c>
      <c r="B32" s="19" t="s">
        <v>101</v>
      </c>
      <c r="C32" s="19" t="s">
        <v>138</v>
      </c>
      <c r="D32" s="19">
        <v>0</v>
      </c>
      <c r="E32" s="19">
        <v>0</v>
      </c>
      <c r="F32" s="19">
        <v>0</v>
      </c>
      <c r="G32" s="19">
        <v>44.05</v>
      </c>
    </row>
    <row r="33" spans="1:7" x14ac:dyDescent="0.25">
      <c r="A33" s="20">
        <v>45408</v>
      </c>
      <c r="B33" s="19" t="s">
        <v>99</v>
      </c>
      <c r="C33" s="19" t="s">
        <v>138</v>
      </c>
      <c r="D33" s="19">
        <v>0</v>
      </c>
      <c r="E33" s="19">
        <v>0</v>
      </c>
      <c r="F33" s="19">
        <v>0</v>
      </c>
      <c r="G33" s="19">
        <v>41.83</v>
      </c>
    </row>
    <row r="34" spans="1:7" x14ac:dyDescent="0.25">
      <c r="A34" s="20">
        <v>45408</v>
      </c>
      <c r="B34" s="19" t="s">
        <v>97</v>
      </c>
      <c r="C34" s="19" t="s">
        <v>138</v>
      </c>
      <c r="D34" s="19">
        <v>0</v>
      </c>
      <c r="E34" s="19">
        <v>0</v>
      </c>
      <c r="F34" s="19">
        <v>0</v>
      </c>
      <c r="G34" s="19">
        <v>22.49</v>
      </c>
    </row>
    <row r="35" spans="1:7" x14ac:dyDescent="0.25">
      <c r="A35" s="20">
        <v>45408</v>
      </c>
      <c r="B35" s="19" t="s">
        <v>95</v>
      </c>
      <c r="C35" s="19" t="s">
        <v>138</v>
      </c>
      <c r="D35" s="19">
        <v>0</v>
      </c>
      <c r="E35" s="19">
        <v>0</v>
      </c>
      <c r="F35" s="19">
        <v>0</v>
      </c>
      <c r="G35" s="19">
        <v>15.43</v>
      </c>
    </row>
    <row r="36" spans="1:7" x14ac:dyDescent="0.25">
      <c r="A36" s="20">
        <v>45408</v>
      </c>
      <c r="B36" s="19" t="s">
        <v>14</v>
      </c>
      <c r="C36" s="19" t="s">
        <v>138</v>
      </c>
      <c r="D36" s="19">
        <v>0</v>
      </c>
      <c r="E36" s="19">
        <v>0</v>
      </c>
      <c r="F36" s="19">
        <v>0</v>
      </c>
      <c r="G36" s="19">
        <v>25.99</v>
      </c>
    </row>
    <row r="37" spans="1:7" x14ac:dyDescent="0.25">
      <c r="A37" s="20">
        <v>45408</v>
      </c>
      <c r="B37" s="19" t="s">
        <v>91</v>
      </c>
      <c r="C37" s="19" t="s">
        <v>138</v>
      </c>
      <c r="D37" s="19">
        <v>0</v>
      </c>
      <c r="E37" s="19">
        <v>0</v>
      </c>
      <c r="F37" s="19">
        <v>0</v>
      </c>
      <c r="G37" s="19">
        <v>16.73</v>
      </c>
    </row>
    <row r="38" spans="1:7" x14ac:dyDescent="0.25">
      <c r="A38" s="20">
        <v>45408</v>
      </c>
      <c r="B38" s="19" t="s">
        <v>15</v>
      </c>
      <c r="C38" s="19" t="s">
        <v>138</v>
      </c>
      <c r="D38" s="19">
        <v>0</v>
      </c>
      <c r="E38" s="19">
        <v>0</v>
      </c>
      <c r="F38" s="19">
        <v>0</v>
      </c>
      <c r="G38" s="19">
        <v>20.190000000000001</v>
      </c>
    </row>
    <row r="39" spans="1:7" x14ac:dyDescent="0.25">
      <c r="A39" s="20">
        <v>45408</v>
      </c>
      <c r="B39" s="19" t="s">
        <v>89</v>
      </c>
      <c r="C39" s="19" t="s">
        <v>138</v>
      </c>
      <c r="D39" s="19">
        <v>0</v>
      </c>
      <c r="E39" s="19">
        <v>0</v>
      </c>
      <c r="F39" s="19">
        <v>0</v>
      </c>
      <c r="G39" s="19">
        <v>17.670000000000002</v>
      </c>
    </row>
    <row r="40" spans="1:7" x14ac:dyDescent="0.25">
      <c r="A40" s="20">
        <v>45408</v>
      </c>
      <c r="B40" s="19" t="s">
        <v>16</v>
      </c>
      <c r="C40" s="19" t="s">
        <v>138</v>
      </c>
      <c r="D40" s="19">
        <v>0</v>
      </c>
      <c r="E40" s="19">
        <v>0</v>
      </c>
      <c r="F40" s="19">
        <v>0</v>
      </c>
      <c r="G40" s="19">
        <v>21.5</v>
      </c>
    </row>
    <row r="41" spans="1:7" x14ac:dyDescent="0.25">
      <c r="A41" s="20">
        <v>45408</v>
      </c>
      <c r="B41" s="19" t="s">
        <v>88</v>
      </c>
      <c r="C41" s="19" t="s">
        <v>138</v>
      </c>
      <c r="D41" s="19">
        <v>0</v>
      </c>
      <c r="E41" s="19">
        <v>0</v>
      </c>
      <c r="F41" s="19">
        <v>0</v>
      </c>
      <c r="G41" s="19">
        <v>48.11</v>
      </c>
    </row>
    <row r="42" spans="1:7" x14ac:dyDescent="0.25">
      <c r="A42" s="20">
        <v>45408</v>
      </c>
      <c r="B42" s="19" t="s">
        <v>17</v>
      </c>
      <c r="C42" s="19" t="s">
        <v>138</v>
      </c>
      <c r="D42" s="19">
        <v>0</v>
      </c>
      <c r="E42" s="19">
        <v>0</v>
      </c>
      <c r="F42" s="19">
        <v>0</v>
      </c>
      <c r="G42" s="19">
        <v>20.56</v>
      </c>
    </row>
    <row r="43" spans="1:7" x14ac:dyDescent="0.25">
      <c r="A43" s="20">
        <v>45408</v>
      </c>
      <c r="B43" s="19" t="s">
        <v>19</v>
      </c>
      <c r="C43" s="19" t="s">
        <v>138</v>
      </c>
      <c r="D43" s="19">
        <v>0</v>
      </c>
      <c r="E43" s="19">
        <v>0</v>
      </c>
      <c r="F43" s="19">
        <v>0</v>
      </c>
      <c r="G43" s="19">
        <v>41.06</v>
      </c>
    </row>
    <row r="44" spans="1:7" x14ac:dyDescent="0.25">
      <c r="A44" s="20">
        <v>45408</v>
      </c>
      <c r="B44" s="19" t="s">
        <v>18</v>
      </c>
      <c r="C44" s="19" t="s">
        <v>138</v>
      </c>
      <c r="D44" s="19">
        <v>0</v>
      </c>
      <c r="E44" s="19">
        <v>0</v>
      </c>
      <c r="F44" s="19">
        <v>0</v>
      </c>
      <c r="G44" s="19">
        <v>18.89</v>
      </c>
    </row>
    <row r="45" spans="1:7" x14ac:dyDescent="0.25">
      <c r="A45" s="20">
        <v>45408</v>
      </c>
      <c r="B45" s="19" t="s">
        <v>87</v>
      </c>
      <c r="C45" s="19" t="s">
        <v>138</v>
      </c>
      <c r="D45" s="19">
        <v>0</v>
      </c>
      <c r="E45" s="19">
        <v>0</v>
      </c>
      <c r="F45" s="19">
        <v>0</v>
      </c>
      <c r="G45" s="19">
        <v>41146219</v>
      </c>
    </row>
    <row r="46" spans="1:7" x14ac:dyDescent="0.25">
      <c r="A46" s="20">
        <v>45408</v>
      </c>
      <c r="B46" s="19" t="s">
        <v>42</v>
      </c>
      <c r="C46" s="19" t="s">
        <v>138</v>
      </c>
      <c r="D46" s="19">
        <v>0</v>
      </c>
      <c r="E46" s="19">
        <v>0</v>
      </c>
      <c r="F46" s="19">
        <v>0</v>
      </c>
      <c r="G46" s="19">
        <v>20.79</v>
      </c>
    </row>
    <row r="47" spans="1:7" x14ac:dyDescent="0.25">
      <c r="A47" s="20">
        <v>45408</v>
      </c>
      <c r="B47" s="19" t="s">
        <v>86</v>
      </c>
      <c r="C47" s="19" t="s">
        <v>138</v>
      </c>
      <c r="D47" s="19">
        <v>0</v>
      </c>
      <c r="E47" s="19">
        <v>0</v>
      </c>
      <c r="F47" s="19">
        <v>0</v>
      </c>
      <c r="G47" s="19">
        <v>41.3</v>
      </c>
    </row>
    <row r="48" spans="1:7" x14ac:dyDescent="0.25">
      <c r="A48" s="20">
        <v>45408</v>
      </c>
      <c r="B48" s="19" t="s">
        <v>38</v>
      </c>
      <c r="C48" s="19" t="s">
        <v>138</v>
      </c>
      <c r="D48" s="19">
        <v>0</v>
      </c>
      <c r="E48" s="19">
        <v>0</v>
      </c>
      <c r="F48" s="19">
        <v>0</v>
      </c>
      <c r="G48" s="19">
        <v>34.799999999999997</v>
      </c>
    </row>
    <row r="49" spans="1:7" x14ac:dyDescent="0.25">
      <c r="A49" s="20">
        <v>45408</v>
      </c>
      <c r="B49" s="19" t="s">
        <v>83</v>
      </c>
      <c r="C49" s="19" t="s">
        <v>138</v>
      </c>
      <c r="D49" s="19">
        <v>0</v>
      </c>
      <c r="E49" s="19">
        <v>0</v>
      </c>
      <c r="F49" s="19">
        <v>0</v>
      </c>
      <c r="G49" s="19">
        <v>41.83</v>
      </c>
    </row>
    <row r="50" spans="1:7" x14ac:dyDescent="0.25">
      <c r="A50" s="20">
        <v>45408</v>
      </c>
      <c r="B50" s="19" t="s">
        <v>20</v>
      </c>
      <c r="C50" s="19" t="s">
        <v>138</v>
      </c>
      <c r="D50" s="19">
        <v>0</v>
      </c>
      <c r="E50" s="19">
        <v>0</v>
      </c>
      <c r="F50" s="19">
        <v>0</v>
      </c>
      <c r="G50" s="19">
        <v>23.38</v>
      </c>
    </row>
    <row r="51" spans="1:7" x14ac:dyDescent="0.25">
      <c r="A51" s="20">
        <v>45408</v>
      </c>
      <c r="B51" s="19" t="s">
        <v>21</v>
      </c>
      <c r="C51" s="19" t="s">
        <v>138</v>
      </c>
      <c r="D51" s="19">
        <v>0</v>
      </c>
      <c r="E51" s="19">
        <v>0</v>
      </c>
      <c r="F51" s="19">
        <v>0</v>
      </c>
      <c r="G51" s="19">
        <v>21.61</v>
      </c>
    </row>
    <row r="52" spans="1:7" x14ac:dyDescent="0.25">
      <c r="A52" s="20">
        <v>45408</v>
      </c>
      <c r="B52" s="19" t="s">
        <v>22</v>
      </c>
      <c r="C52" s="19" t="s">
        <v>138</v>
      </c>
      <c r="D52" s="19">
        <v>0</v>
      </c>
      <c r="E52" s="19">
        <v>0</v>
      </c>
      <c r="F52" s="19">
        <v>0</v>
      </c>
      <c r="G52" s="19">
        <v>13.6</v>
      </c>
    </row>
    <row r="53" spans="1:7" x14ac:dyDescent="0.25">
      <c r="A53" s="20">
        <v>45408</v>
      </c>
      <c r="B53" s="19" t="s">
        <v>77</v>
      </c>
      <c r="C53" s="19" t="s">
        <v>138</v>
      </c>
      <c r="D53" s="19">
        <v>0</v>
      </c>
      <c r="E53" s="19">
        <v>0</v>
      </c>
      <c r="F53" s="19">
        <v>0</v>
      </c>
      <c r="G53" s="19">
        <v>17.88</v>
      </c>
    </row>
    <row r="54" spans="1:7" x14ac:dyDescent="0.25">
      <c r="A54" s="20">
        <v>45408</v>
      </c>
      <c r="B54" s="19" t="s">
        <v>23</v>
      </c>
      <c r="C54" s="19" t="s">
        <v>138</v>
      </c>
      <c r="D54" s="19">
        <v>0</v>
      </c>
      <c r="E54" s="19">
        <v>0</v>
      </c>
      <c r="F54" s="19">
        <v>0</v>
      </c>
      <c r="G54" s="19">
        <v>23.22</v>
      </c>
    </row>
    <row r="55" spans="1:7" x14ac:dyDescent="0.25">
      <c r="A55" s="20">
        <v>45408</v>
      </c>
      <c r="B55" s="19" t="s">
        <v>24</v>
      </c>
      <c r="C55" s="19" t="s">
        <v>138</v>
      </c>
      <c r="D55" s="19">
        <v>0</v>
      </c>
      <c r="E55" s="19">
        <v>0</v>
      </c>
      <c r="F55" s="19">
        <v>0</v>
      </c>
      <c r="G55" s="19">
        <v>18.559999999999999</v>
      </c>
    </row>
    <row r="56" spans="1:7" x14ac:dyDescent="0.25">
      <c r="A56" s="20">
        <v>45408</v>
      </c>
      <c r="B56" s="19" t="s">
        <v>75</v>
      </c>
      <c r="C56" s="19" t="s">
        <v>138</v>
      </c>
      <c r="D56" s="19">
        <v>0</v>
      </c>
      <c r="E56" s="19">
        <v>0</v>
      </c>
      <c r="F56" s="19">
        <v>0</v>
      </c>
      <c r="G56" s="19">
        <v>12.9</v>
      </c>
    </row>
    <row r="57" spans="1:7" x14ac:dyDescent="0.25">
      <c r="A57" s="20">
        <v>45408</v>
      </c>
      <c r="B57" s="19" t="s">
        <v>25</v>
      </c>
      <c r="C57" s="19" t="s">
        <v>138</v>
      </c>
      <c r="D57" s="19">
        <v>0</v>
      </c>
      <c r="E57" s="19">
        <v>0</v>
      </c>
      <c r="F57" s="19">
        <v>0</v>
      </c>
      <c r="G57" s="19">
        <v>12.16</v>
      </c>
    </row>
    <row r="58" spans="1:7" x14ac:dyDescent="0.25">
      <c r="A58" s="20">
        <v>45408</v>
      </c>
      <c r="B58" s="19" t="s">
        <v>74</v>
      </c>
      <c r="C58" s="19" t="s">
        <v>138</v>
      </c>
      <c r="D58" s="19">
        <v>0</v>
      </c>
      <c r="E58" s="19">
        <v>0</v>
      </c>
      <c r="F58" s="19">
        <v>0</v>
      </c>
      <c r="G58" s="19">
        <v>14.89</v>
      </c>
    </row>
    <row r="59" spans="1:7" x14ac:dyDescent="0.25">
      <c r="A59" s="20">
        <v>45408</v>
      </c>
      <c r="B59" s="19" t="s">
        <v>26</v>
      </c>
      <c r="C59" s="19" t="s">
        <v>138</v>
      </c>
      <c r="D59" s="19">
        <v>0</v>
      </c>
      <c r="E59" s="19">
        <v>0</v>
      </c>
      <c r="F59" s="19">
        <v>0</v>
      </c>
      <c r="G59" s="19">
        <v>13.29</v>
      </c>
    </row>
    <row r="60" spans="1:7" x14ac:dyDescent="0.25">
      <c r="A60" s="20">
        <v>45408</v>
      </c>
      <c r="B60" s="19" t="s">
        <v>27</v>
      </c>
      <c r="C60" s="19" t="s">
        <v>139</v>
      </c>
      <c r="D60" s="19">
        <v>1015</v>
      </c>
      <c r="E60" s="19">
        <v>1883</v>
      </c>
      <c r="F60" s="19">
        <v>1973</v>
      </c>
      <c r="G60" s="19">
        <v>13.89</v>
      </c>
    </row>
    <row r="61" spans="1:7" x14ac:dyDescent="0.25">
      <c r="A61" s="20">
        <v>45408</v>
      </c>
      <c r="B61" s="19" t="s">
        <v>28</v>
      </c>
      <c r="C61" s="19" t="s">
        <v>139</v>
      </c>
      <c r="D61" s="19">
        <v>2107</v>
      </c>
      <c r="E61" s="19">
        <v>2091</v>
      </c>
      <c r="F61" s="19">
        <v>2118</v>
      </c>
      <c r="G61" s="19">
        <v>13.7</v>
      </c>
    </row>
    <row r="62" spans="1:7" x14ac:dyDescent="0.25">
      <c r="A62" s="20">
        <v>45408</v>
      </c>
      <c r="B62" s="19" t="s">
        <v>72</v>
      </c>
      <c r="C62" s="19" t="s">
        <v>138</v>
      </c>
      <c r="D62" s="19">
        <v>0</v>
      </c>
      <c r="E62" s="19">
        <v>0</v>
      </c>
      <c r="F62" s="19">
        <v>0</v>
      </c>
      <c r="G62" s="19">
        <v>15.45</v>
      </c>
    </row>
    <row r="63" spans="1:7" x14ac:dyDescent="0.25">
      <c r="A63" s="20">
        <v>45408</v>
      </c>
      <c r="B63" s="19" t="s">
        <v>29</v>
      </c>
      <c r="C63" s="19" t="s">
        <v>139</v>
      </c>
      <c r="D63" s="19">
        <v>1925</v>
      </c>
      <c r="E63" s="19">
        <v>2017</v>
      </c>
      <c r="F63" s="19">
        <v>542</v>
      </c>
      <c r="G63" s="19">
        <v>13.98</v>
      </c>
    </row>
    <row r="64" spans="1:7" x14ac:dyDescent="0.25">
      <c r="A64" s="20">
        <v>45408</v>
      </c>
      <c r="B64" s="19" t="s">
        <v>30</v>
      </c>
      <c r="C64" s="19" t="s">
        <v>138</v>
      </c>
      <c r="D64" s="19">
        <v>0</v>
      </c>
      <c r="E64" s="19">
        <v>0</v>
      </c>
      <c r="F64" s="19">
        <v>0</v>
      </c>
      <c r="G64" s="19">
        <v>14.05</v>
      </c>
    </row>
    <row r="65" spans="1:9" x14ac:dyDescent="0.25">
      <c r="A65" s="20">
        <v>45408</v>
      </c>
      <c r="B65" s="19" t="s">
        <v>31</v>
      </c>
      <c r="C65" s="19" t="s">
        <v>138</v>
      </c>
      <c r="D65" s="19">
        <v>0</v>
      </c>
      <c r="E65" s="19">
        <v>0</v>
      </c>
      <c r="F65" s="19">
        <v>0</v>
      </c>
      <c r="G65" s="19">
        <v>13.5</v>
      </c>
    </row>
    <row r="66" spans="1:9" x14ac:dyDescent="0.25">
      <c r="A66" s="20">
        <v>45408</v>
      </c>
      <c r="B66" s="19" t="s">
        <v>32</v>
      </c>
      <c r="C66" s="19" t="s">
        <v>139</v>
      </c>
      <c r="D66" s="19">
        <v>1633</v>
      </c>
      <c r="E66" s="19">
        <v>391</v>
      </c>
      <c r="F66" s="19">
        <v>0</v>
      </c>
      <c r="G66" s="19">
        <v>14.49</v>
      </c>
    </row>
    <row r="67" spans="1:9" x14ac:dyDescent="0.25">
      <c r="A67" s="20">
        <v>45408</v>
      </c>
      <c r="B67" s="19" t="s">
        <v>67</v>
      </c>
      <c r="C67" s="19" t="s">
        <v>139</v>
      </c>
      <c r="D67" s="19">
        <v>2003</v>
      </c>
      <c r="E67" s="19">
        <v>1942</v>
      </c>
      <c r="F67" s="19">
        <v>2011</v>
      </c>
      <c r="G67" s="19">
        <v>14.39</v>
      </c>
    </row>
    <row r="68" spans="1:9" x14ac:dyDescent="0.25">
      <c r="A68" s="20">
        <v>45408</v>
      </c>
      <c r="B68" s="19" t="s">
        <v>33</v>
      </c>
      <c r="C68" s="19" t="s">
        <v>139</v>
      </c>
      <c r="D68" s="19">
        <v>1979</v>
      </c>
      <c r="E68" s="19">
        <v>203</v>
      </c>
      <c r="F68" s="19">
        <v>0</v>
      </c>
      <c r="G68" s="19">
        <v>12.6</v>
      </c>
    </row>
    <row r="69" spans="1:9" x14ac:dyDescent="0.25">
      <c r="A69" s="20">
        <v>45408</v>
      </c>
      <c r="B69" s="19" t="s">
        <v>34</v>
      </c>
      <c r="C69" s="19" t="s">
        <v>138</v>
      </c>
      <c r="D69" s="19">
        <v>0</v>
      </c>
      <c r="E69" s="19">
        <v>0</v>
      </c>
      <c r="F69" s="19">
        <v>0</v>
      </c>
      <c r="G69" s="19">
        <v>15.48</v>
      </c>
    </row>
    <row r="70" spans="1:9" x14ac:dyDescent="0.25">
      <c r="A70" s="20">
        <v>45408</v>
      </c>
      <c r="B70" s="19" t="s">
        <v>35</v>
      </c>
      <c r="C70" s="19" t="s">
        <v>139</v>
      </c>
      <c r="D70" s="19">
        <v>1880</v>
      </c>
      <c r="E70" s="19">
        <v>1999</v>
      </c>
      <c r="F70" s="19">
        <v>1953</v>
      </c>
      <c r="G70" s="19">
        <v>14.64</v>
      </c>
    </row>
    <row r="71" spans="1:9" x14ac:dyDescent="0.25">
      <c r="A71" s="20">
        <v>45408</v>
      </c>
      <c r="B71" s="19" t="s">
        <v>63</v>
      </c>
      <c r="C71" s="19" t="s">
        <v>138</v>
      </c>
      <c r="D71" s="19">
        <v>0</v>
      </c>
      <c r="E71" s="19">
        <v>0</v>
      </c>
      <c r="F71" s="19">
        <v>0</v>
      </c>
      <c r="G71" s="19">
        <v>17.670000000000002</v>
      </c>
    </row>
    <row r="72" spans="1:9" x14ac:dyDescent="0.25">
      <c r="A72" s="20">
        <v>45408</v>
      </c>
      <c r="B72" s="19" t="s">
        <v>36</v>
      </c>
      <c r="C72" s="19" t="s">
        <v>139</v>
      </c>
      <c r="D72" s="19">
        <v>0</v>
      </c>
      <c r="E72" s="19">
        <v>0</v>
      </c>
      <c r="F72" s="19">
        <v>1996</v>
      </c>
      <c r="G72" s="19">
        <v>13.2</v>
      </c>
    </row>
    <row r="73" spans="1:9" x14ac:dyDescent="0.25">
      <c r="A73" s="20">
        <v>45408</v>
      </c>
      <c r="B73" s="19" t="s">
        <v>256</v>
      </c>
      <c r="C73" s="19" t="s">
        <v>138</v>
      </c>
      <c r="D73" s="19">
        <v>0</v>
      </c>
      <c r="E73" s="19">
        <v>0</v>
      </c>
      <c r="F73" s="19">
        <v>0</v>
      </c>
      <c r="G73" s="19">
        <v>38472557</v>
      </c>
    </row>
    <row r="74" spans="1:9" x14ac:dyDescent="0.25">
      <c r="A74" s="20">
        <v>45408</v>
      </c>
      <c r="B74" s="19" t="s">
        <v>257</v>
      </c>
      <c r="C74" s="19" t="s">
        <v>138</v>
      </c>
      <c r="D74" s="19">
        <v>0</v>
      </c>
      <c r="E74" s="19">
        <v>0</v>
      </c>
      <c r="F74" s="19">
        <v>0</v>
      </c>
      <c r="G74" s="19">
        <v>0</v>
      </c>
      <c r="I74" s="16"/>
    </row>
    <row r="75" spans="1:9" x14ac:dyDescent="0.25">
      <c r="A75" s="20">
        <v>45408</v>
      </c>
      <c r="B75" s="19" t="s">
        <v>37</v>
      </c>
      <c r="C75" s="19" t="s">
        <v>138</v>
      </c>
      <c r="D75" s="19">
        <v>0</v>
      </c>
      <c r="E75" s="19">
        <v>0</v>
      </c>
      <c r="F75" s="19">
        <v>0</v>
      </c>
      <c r="G75" s="19">
        <v>41.38</v>
      </c>
      <c r="I75" s="16"/>
    </row>
    <row r="76" spans="1:9" x14ac:dyDescent="0.25">
      <c r="A76" s="20">
        <v>45408</v>
      </c>
      <c r="B76" s="19" t="s">
        <v>258</v>
      </c>
      <c r="C76" s="19" t="s">
        <v>138</v>
      </c>
      <c r="D76" s="19">
        <v>0</v>
      </c>
      <c r="E76" s="19">
        <v>0</v>
      </c>
      <c r="F76" s="19">
        <v>0</v>
      </c>
      <c r="G76" s="19">
        <v>13.6</v>
      </c>
    </row>
    <row r="77" spans="1:9" x14ac:dyDescent="0.25">
      <c r="A77" s="20">
        <v>45408</v>
      </c>
      <c r="B77" s="19" t="s">
        <v>259</v>
      </c>
      <c r="C77" s="19" t="s">
        <v>138</v>
      </c>
      <c r="D77" s="19">
        <v>0</v>
      </c>
      <c r="E77" s="19">
        <v>0</v>
      </c>
      <c r="F77" s="19">
        <v>0</v>
      </c>
      <c r="G77" s="19">
        <v>13.6</v>
      </c>
    </row>
    <row r="78" spans="1:9" x14ac:dyDescent="0.25">
      <c r="A78" s="20">
        <v>45408</v>
      </c>
      <c r="B78" s="19" t="s">
        <v>260</v>
      </c>
      <c r="C78" s="19" t="s">
        <v>138</v>
      </c>
      <c r="D78" s="19">
        <v>0</v>
      </c>
      <c r="E78" s="19">
        <v>0</v>
      </c>
      <c r="F78" s="19">
        <v>0</v>
      </c>
      <c r="G78" s="19">
        <v>41.06</v>
      </c>
    </row>
    <row r="79" spans="1:9" x14ac:dyDescent="0.25">
      <c r="A79" s="20">
        <v>45408</v>
      </c>
      <c r="B79" s="19" t="s">
        <v>261</v>
      </c>
      <c r="C79" s="19" t="s">
        <v>138</v>
      </c>
      <c r="D79" s="19">
        <v>0</v>
      </c>
      <c r="E79" s="19">
        <v>0</v>
      </c>
      <c r="F79" s="19">
        <v>0</v>
      </c>
      <c r="G79" s="19">
        <v>41.06</v>
      </c>
    </row>
    <row r="80" spans="1:9" s="18" customFormat="1" x14ac:dyDescent="0.25">
      <c r="A80" s="20">
        <v>45408</v>
      </c>
      <c r="B80" s="19" t="s">
        <v>54</v>
      </c>
      <c r="C80" s="19" t="s">
        <v>138</v>
      </c>
      <c r="D80" s="19">
        <v>0</v>
      </c>
      <c r="E80" s="19">
        <v>0</v>
      </c>
      <c r="F80" s="19">
        <v>0</v>
      </c>
      <c r="G80" s="19">
        <v>16.59</v>
      </c>
      <c r="I80"/>
    </row>
    <row r="81" spans="1:7" x14ac:dyDescent="0.25">
      <c r="A81" s="20">
        <v>45409</v>
      </c>
      <c r="B81" s="19" t="s">
        <v>136</v>
      </c>
      <c r="C81" s="19" t="s">
        <v>138</v>
      </c>
      <c r="D81" s="19">
        <v>0</v>
      </c>
      <c r="E81" s="19">
        <v>0</v>
      </c>
      <c r="F81" s="19">
        <v>0</v>
      </c>
      <c r="G81" s="19">
        <v>42144554</v>
      </c>
    </row>
    <row r="82" spans="1:7" x14ac:dyDescent="0.25">
      <c r="A82" s="20">
        <v>45409</v>
      </c>
      <c r="B82" s="19" t="s">
        <v>135</v>
      </c>
      <c r="C82" s="19" t="s">
        <v>138</v>
      </c>
      <c r="D82" s="19">
        <v>0</v>
      </c>
      <c r="E82" s="19">
        <v>0</v>
      </c>
      <c r="F82" s="19">
        <v>0</v>
      </c>
      <c r="G82" s="19">
        <v>24.09</v>
      </c>
    </row>
    <row r="83" spans="1:7" x14ac:dyDescent="0.25">
      <c r="A83" s="20">
        <v>45409</v>
      </c>
      <c r="B83" s="19" t="s">
        <v>134</v>
      </c>
      <c r="C83" s="19" t="s">
        <v>138</v>
      </c>
      <c r="D83" s="19">
        <v>0</v>
      </c>
      <c r="E83" s="19">
        <v>0</v>
      </c>
      <c r="F83" s="19">
        <v>0</v>
      </c>
      <c r="G83" s="19">
        <v>0</v>
      </c>
    </row>
    <row r="84" spans="1:7" x14ac:dyDescent="0.25">
      <c r="A84" s="20">
        <v>45409</v>
      </c>
      <c r="B84" s="19" t="s">
        <v>132</v>
      </c>
      <c r="C84" s="19" t="s">
        <v>138</v>
      </c>
      <c r="D84" s="19">
        <v>0</v>
      </c>
      <c r="E84" s="19">
        <v>0</v>
      </c>
      <c r="F84" s="19">
        <v>0</v>
      </c>
      <c r="G84" s="19">
        <v>41.38</v>
      </c>
    </row>
    <row r="85" spans="1:7" x14ac:dyDescent="0.25">
      <c r="A85" s="20">
        <v>45409</v>
      </c>
      <c r="B85" s="19" t="s">
        <v>131</v>
      </c>
      <c r="C85" s="19" t="s">
        <v>138</v>
      </c>
      <c r="D85" s="19">
        <v>0</v>
      </c>
      <c r="E85" s="19">
        <v>0</v>
      </c>
      <c r="F85" s="19">
        <v>0</v>
      </c>
      <c r="G85" s="19">
        <v>23.93</v>
      </c>
    </row>
    <row r="86" spans="1:7" x14ac:dyDescent="0.25">
      <c r="A86" s="20">
        <v>45409</v>
      </c>
      <c r="B86" s="19" t="s">
        <v>130</v>
      </c>
      <c r="C86" s="19" t="s">
        <v>138</v>
      </c>
      <c r="D86" s="19">
        <v>0</v>
      </c>
      <c r="E86" s="19">
        <v>0</v>
      </c>
      <c r="F86" s="19">
        <v>0</v>
      </c>
      <c r="G86" s="19">
        <v>15.11</v>
      </c>
    </row>
    <row r="87" spans="1:7" x14ac:dyDescent="0.25">
      <c r="A87" s="20">
        <v>45409</v>
      </c>
      <c r="B87" s="19" t="s">
        <v>128</v>
      </c>
      <c r="C87" s="19" t="s">
        <v>138</v>
      </c>
      <c r="D87" s="19">
        <v>0</v>
      </c>
      <c r="E87" s="19">
        <v>0</v>
      </c>
      <c r="F87" s="19">
        <v>0</v>
      </c>
      <c r="G87" s="19">
        <v>41.06</v>
      </c>
    </row>
    <row r="88" spans="1:7" x14ac:dyDescent="0.25">
      <c r="A88" s="20">
        <v>45409</v>
      </c>
      <c r="B88" s="19" t="s">
        <v>40</v>
      </c>
      <c r="C88" s="19" t="s">
        <v>138</v>
      </c>
      <c r="D88" s="19">
        <v>0</v>
      </c>
      <c r="E88" s="19">
        <v>0</v>
      </c>
      <c r="F88" s="19">
        <v>0</v>
      </c>
      <c r="G88" s="19">
        <v>14.92</v>
      </c>
    </row>
    <row r="89" spans="1:7" x14ac:dyDescent="0.25">
      <c r="A89" s="20">
        <v>45409</v>
      </c>
      <c r="B89" s="19" t="s">
        <v>127</v>
      </c>
      <c r="C89" s="19" t="s">
        <v>138</v>
      </c>
      <c r="D89" s="19">
        <v>0</v>
      </c>
      <c r="E89" s="19">
        <v>0</v>
      </c>
      <c r="F89" s="19">
        <v>0</v>
      </c>
      <c r="G89" s="19">
        <v>20.59</v>
      </c>
    </row>
    <row r="90" spans="1:7" x14ac:dyDescent="0.25">
      <c r="A90" s="20">
        <v>45409</v>
      </c>
      <c r="B90" s="19" t="s">
        <v>124</v>
      </c>
      <c r="C90" s="19" t="s">
        <v>138</v>
      </c>
      <c r="D90" s="19">
        <v>0</v>
      </c>
      <c r="E90" s="19">
        <v>0</v>
      </c>
      <c r="F90" s="19">
        <v>0</v>
      </c>
      <c r="G90" s="19">
        <v>39863813</v>
      </c>
    </row>
    <row r="91" spans="1:7" x14ac:dyDescent="0.25">
      <c r="A91" s="20">
        <v>45409</v>
      </c>
      <c r="B91" s="19" t="s">
        <v>122</v>
      </c>
      <c r="C91" s="19" t="s">
        <v>138</v>
      </c>
      <c r="D91" s="19">
        <v>0</v>
      </c>
      <c r="E91" s="19">
        <v>0</v>
      </c>
      <c r="F91" s="19">
        <v>0</v>
      </c>
      <c r="G91" s="19">
        <v>20.399999999999999</v>
      </c>
    </row>
    <row r="92" spans="1:7" x14ac:dyDescent="0.25">
      <c r="A92" s="20">
        <v>45409</v>
      </c>
      <c r="B92" s="19" t="s">
        <v>120</v>
      </c>
      <c r="C92" s="19" t="s">
        <v>138</v>
      </c>
      <c r="D92" s="19">
        <v>0</v>
      </c>
      <c r="E92" s="19">
        <v>0</v>
      </c>
      <c r="F92" s="19">
        <v>0</v>
      </c>
      <c r="G92" s="19">
        <v>40.78</v>
      </c>
    </row>
    <row r="93" spans="1:7" x14ac:dyDescent="0.25">
      <c r="A93" s="20">
        <v>45409</v>
      </c>
      <c r="B93" s="19" t="s">
        <v>119</v>
      </c>
      <c r="C93" s="19" t="s">
        <v>138</v>
      </c>
      <c r="D93" s="19">
        <v>0</v>
      </c>
      <c r="E93" s="19">
        <v>0</v>
      </c>
      <c r="F93" s="19">
        <v>0</v>
      </c>
      <c r="G93" s="19">
        <v>41.73</v>
      </c>
    </row>
    <row r="94" spans="1:7" x14ac:dyDescent="0.25">
      <c r="A94" s="20">
        <v>45409</v>
      </c>
      <c r="B94" s="19" t="s">
        <v>117</v>
      </c>
      <c r="C94" s="19" t="s">
        <v>138</v>
      </c>
      <c r="D94" s="19">
        <v>0</v>
      </c>
      <c r="E94" s="19">
        <v>0</v>
      </c>
      <c r="F94" s="19">
        <v>0</v>
      </c>
      <c r="G94" s="19">
        <v>34.799999999999997</v>
      </c>
    </row>
    <row r="95" spans="1:7" x14ac:dyDescent="0.25">
      <c r="A95" s="20">
        <v>45409</v>
      </c>
      <c r="B95" s="19" t="s">
        <v>39</v>
      </c>
      <c r="C95" s="19" t="s">
        <v>138</v>
      </c>
      <c r="D95" s="19">
        <v>0</v>
      </c>
      <c r="E95" s="19">
        <v>0</v>
      </c>
      <c r="F95" s="19">
        <v>0</v>
      </c>
      <c r="G95" s="19">
        <v>23.3</v>
      </c>
    </row>
    <row r="96" spans="1:7" x14ac:dyDescent="0.25">
      <c r="A96" s="20">
        <v>45409</v>
      </c>
      <c r="B96" s="19" t="s">
        <v>113</v>
      </c>
      <c r="C96" s="19" t="s">
        <v>138</v>
      </c>
      <c r="D96" s="19">
        <v>0</v>
      </c>
      <c r="E96" s="19">
        <v>0</v>
      </c>
      <c r="F96" s="19">
        <v>0</v>
      </c>
      <c r="G96" s="19">
        <v>41.83</v>
      </c>
    </row>
    <row r="97" spans="1:7" x14ac:dyDescent="0.25">
      <c r="A97" s="20">
        <v>45409</v>
      </c>
      <c r="B97" s="19" t="s">
        <v>111</v>
      </c>
      <c r="C97" s="19" t="s">
        <v>138</v>
      </c>
      <c r="D97" s="19">
        <v>0</v>
      </c>
      <c r="E97" s="19">
        <v>0</v>
      </c>
      <c r="F97" s="19">
        <v>0</v>
      </c>
      <c r="G97" s="19">
        <v>20.48</v>
      </c>
    </row>
    <row r="98" spans="1:7" x14ac:dyDescent="0.25">
      <c r="A98" s="20">
        <v>45409</v>
      </c>
      <c r="B98" s="19" t="s">
        <v>109</v>
      </c>
      <c r="C98" s="19" t="s">
        <v>138</v>
      </c>
      <c r="D98" s="19">
        <v>0</v>
      </c>
      <c r="E98" s="19">
        <v>0</v>
      </c>
      <c r="F98" s="19">
        <v>0</v>
      </c>
      <c r="G98" s="19">
        <v>41.06</v>
      </c>
    </row>
    <row r="99" spans="1:7" x14ac:dyDescent="0.25">
      <c r="A99" s="20">
        <v>45409</v>
      </c>
      <c r="B99" s="19" t="s">
        <v>107</v>
      </c>
      <c r="C99" s="19" t="s">
        <v>139</v>
      </c>
      <c r="D99" s="19">
        <v>2111</v>
      </c>
      <c r="E99" s="19">
        <v>2118</v>
      </c>
      <c r="F99" s="19">
        <v>2124</v>
      </c>
      <c r="G99" s="19">
        <v>13.59</v>
      </c>
    </row>
    <row r="100" spans="1:7" x14ac:dyDescent="0.25">
      <c r="A100" s="20">
        <v>45409</v>
      </c>
      <c r="B100" s="19" t="s">
        <v>41</v>
      </c>
      <c r="C100" s="19" t="s">
        <v>138</v>
      </c>
      <c r="D100" s="19">
        <v>0</v>
      </c>
      <c r="E100" s="19">
        <v>0</v>
      </c>
      <c r="F100" s="19">
        <v>0</v>
      </c>
      <c r="G100" s="19">
        <v>17.88</v>
      </c>
    </row>
    <row r="101" spans="1:7" x14ac:dyDescent="0.25">
      <c r="A101" s="20">
        <v>45409</v>
      </c>
      <c r="B101" s="19" t="s">
        <v>43</v>
      </c>
      <c r="C101" s="19" t="s">
        <v>138</v>
      </c>
      <c r="D101" s="19">
        <v>0</v>
      </c>
      <c r="E101" s="19">
        <v>0</v>
      </c>
      <c r="F101" s="19">
        <v>0</v>
      </c>
      <c r="G101" s="19">
        <v>17.25</v>
      </c>
    </row>
    <row r="102" spans="1:7" x14ac:dyDescent="0.25">
      <c r="A102" s="20">
        <v>45409</v>
      </c>
      <c r="B102" s="19" t="s">
        <v>5</v>
      </c>
      <c r="C102" s="19" t="s">
        <v>138</v>
      </c>
      <c r="D102" s="19">
        <v>0</v>
      </c>
      <c r="E102" s="19">
        <v>0</v>
      </c>
      <c r="F102" s="19">
        <v>0</v>
      </c>
      <c r="G102" s="19">
        <v>16.45</v>
      </c>
    </row>
    <row r="103" spans="1:7" x14ac:dyDescent="0.25">
      <c r="A103" s="20">
        <v>45409</v>
      </c>
      <c r="B103" s="19" t="s">
        <v>9</v>
      </c>
      <c r="C103" s="19" t="s">
        <v>138</v>
      </c>
      <c r="D103" s="19">
        <v>0</v>
      </c>
      <c r="E103" s="19">
        <v>0</v>
      </c>
      <c r="F103" s="19">
        <v>0</v>
      </c>
      <c r="G103" s="19">
        <v>23.18</v>
      </c>
    </row>
    <row r="104" spans="1:7" x14ac:dyDescent="0.25">
      <c r="A104" s="20">
        <v>45409</v>
      </c>
      <c r="B104" s="19" t="s">
        <v>10</v>
      </c>
      <c r="C104" s="19" t="s">
        <v>138</v>
      </c>
      <c r="D104" s="19">
        <v>0</v>
      </c>
      <c r="E104" s="19">
        <v>0</v>
      </c>
      <c r="F104" s="19">
        <v>0</v>
      </c>
      <c r="G104" s="19">
        <v>18.2</v>
      </c>
    </row>
    <row r="105" spans="1:7" x14ac:dyDescent="0.25">
      <c r="A105" s="20">
        <v>45409</v>
      </c>
      <c r="B105" s="19" t="s">
        <v>11</v>
      </c>
      <c r="C105" s="19" t="s">
        <v>139</v>
      </c>
      <c r="D105" s="19">
        <v>2491</v>
      </c>
      <c r="E105" s="19">
        <v>2505</v>
      </c>
      <c r="F105" s="19">
        <v>2522</v>
      </c>
      <c r="G105" s="19">
        <v>11.39</v>
      </c>
    </row>
    <row r="106" spans="1:7" x14ac:dyDescent="0.25">
      <c r="A106" s="20">
        <v>45409</v>
      </c>
      <c r="B106" s="19" t="s">
        <v>12</v>
      </c>
      <c r="C106" s="19" t="s">
        <v>138</v>
      </c>
      <c r="D106" s="19">
        <v>0</v>
      </c>
      <c r="E106" s="19">
        <v>0</v>
      </c>
      <c r="F106" s="19">
        <v>0</v>
      </c>
      <c r="G106" s="19">
        <v>12.64</v>
      </c>
    </row>
    <row r="107" spans="1:7" x14ac:dyDescent="0.25">
      <c r="A107" s="20">
        <v>45409</v>
      </c>
      <c r="B107" s="19" t="s">
        <v>105</v>
      </c>
      <c r="C107" s="19" t="s">
        <v>139</v>
      </c>
      <c r="D107" s="19">
        <v>2150</v>
      </c>
      <c r="E107" s="19">
        <v>2405</v>
      </c>
      <c r="F107" s="19">
        <v>2363</v>
      </c>
      <c r="G107" s="19">
        <v>12.39</v>
      </c>
    </row>
    <row r="108" spans="1:7" x14ac:dyDescent="0.25">
      <c r="A108" s="20">
        <v>45409</v>
      </c>
      <c r="B108" s="19" t="s">
        <v>104</v>
      </c>
      <c r="C108" s="19" t="s">
        <v>138</v>
      </c>
      <c r="D108" s="19">
        <v>0</v>
      </c>
      <c r="E108" s="19">
        <v>0</v>
      </c>
      <c r="F108" s="19">
        <v>0</v>
      </c>
      <c r="G108" s="19">
        <v>13.96</v>
      </c>
    </row>
    <row r="109" spans="1:7" x14ac:dyDescent="0.25">
      <c r="A109" s="20">
        <v>45409</v>
      </c>
      <c r="B109" s="19" t="s">
        <v>13</v>
      </c>
      <c r="C109" s="19" t="s">
        <v>139</v>
      </c>
      <c r="D109" s="19">
        <v>2190</v>
      </c>
      <c r="E109" s="19">
        <v>2241</v>
      </c>
      <c r="F109" s="19">
        <v>2204</v>
      </c>
      <c r="G109" s="19">
        <v>12.4</v>
      </c>
    </row>
    <row r="110" spans="1:7" x14ac:dyDescent="0.25">
      <c r="A110" s="20">
        <v>45409</v>
      </c>
      <c r="B110" s="19" t="s">
        <v>103</v>
      </c>
      <c r="C110" s="19" t="s">
        <v>138</v>
      </c>
      <c r="D110" s="19">
        <v>0</v>
      </c>
      <c r="E110" s="19">
        <v>0</v>
      </c>
      <c r="F110" s="19">
        <v>0</v>
      </c>
      <c r="G110" s="19">
        <v>41.9</v>
      </c>
    </row>
    <row r="111" spans="1:7" x14ac:dyDescent="0.25">
      <c r="A111" s="20">
        <v>45409</v>
      </c>
      <c r="B111" s="19" t="s">
        <v>101</v>
      </c>
      <c r="C111" s="19" t="s">
        <v>138</v>
      </c>
      <c r="D111" s="19">
        <v>0</v>
      </c>
      <c r="E111" s="19">
        <v>0</v>
      </c>
      <c r="F111" s="19">
        <v>0</v>
      </c>
      <c r="G111" s="19">
        <v>44.05</v>
      </c>
    </row>
    <row r="112" spans="1:7" x14ac:dyDescent="0.25">
      <c r="A112" s="20">
        <v>45409</v>
      </c>
      <c r="B112" s="19" t="s">
        <v>99</v>
      </c>
      <c r="C112" s="19" t="s">
        <v>138</v>
      </c>
      <c r="D112" s="19">
        <v>0</v>
      </c>
      <c r="E112" s="19">
        <v>0</v>
      </c>
      <c r="F112" s="19">
        <v>0</v>
      </c>
      <c r="G112" s="19">
        <v>41.83</v>
      </c>
    </row>
    <row r="113" spans="1:7" x14ac:dyDescent="0.25">
      <c r="A113" s="20">
        <v>45409</v>
      </c>
      <c r="B113" s="19" t="s">
        <v>97</v>
      </c>
      <c r="C113" s="19" t="s">
        <v>138</v>
      </c>
      <c r="D113" s="19">
        <v>0</v>
      </c>
      <c r="E113" s="19">
        <v>0</v>
      </c>
      <c r="F113" s="19">
        <v>0</v>
      </c>
      <c r="G113" s="19">
        <v>22.49</v>
      </c>
    </row>
    <row r="114" spans="1:7" x14ac:dyDescent="0.25">
      <c r="A114" s="20">
        <v>45409</v>
      </c>
      <c r="B114" s="19" t="s">
        <v>95</v>
      </c>
      <c r="C114" s="19" t="s">
        <v>138</v>
      </c>
      <c r="D114" s="19">
        <v>0</v>
      </c>
      <c r="E114" s="19">
        <v>0</v>
      </c>
      <c r="F114" s="19">
        <v>0</v>
      </c>
      <c r="G114" s="19">
        <v>15.43</v>
      </c>
    </row>
    <row r="115" spans="1:7" x14ac:dyDescent="0.25">
      <c r="A115" s="20">
        <v>45409</v>
      </c>
      <c r="B115" s="19" t="s">
        <v>14</v>
      </c>
      <c r="C115" s="19" t="s">
        <v>138</v>
      </c>
      <c r="D115" s="19">
        <v>0</v>
      </c>
      <c r="E115" s="19">
        <v>0</v>
      </c>
      <c r="F115" s="19">
        <v>0</v>
      </c>
      <c r="G115" s="19">
        <v>25.39</v>
      </c>
    </row>
    <row r="116" spans="1:7" x14ac:dyDescent="0.25">
      <c r="A116" s="20">
        <v>45409</v>
      </c>
      <c r="B116" s="19" t="s">
        <v>91</v>
      </c>
      <c r="C116" s="19" t="s">
        <v>138</v>
      </c>
      <c r="D116" s="19">
        <v>0</v>
      </c>
      <c r="E116" s="19">
        <v>0</v>
      </c>
      <c r="F116" s="19">
        <v>0</v>
      </c>
      <c r="G116" s="19">
        <v>16.73</v>
      </c>
    </row>
    <row r="117" spans="1:7" x14ac:dyDescent="0.25">
      <c r="A117" s="20">
        <v>45409</v>
      </c>
      <c r="B117" s="19" t="s">
        <v>15</v>
      </c>
      <c r="C117" s="19" t="s">
        <v>138</v>
      </c>
      <c r="D117" s="19">
        <v>0</v>
      </c>
      <c r="E117" s="19">
        <v>0</v>
      </c>
      <c r="F117" s="19">
        <v>0</v>
      </c>
      <c r="G117" s="19">
        <v>20.190000000000001</v>
      </c>
    </row>
    <row r="118" spans="1:7" x14ac:dyDescent="0.25">
      <c r="A118" s="20">
        <v>45409</v>
      </c>
      <c r="B118" s="19" t="s">
        <v>89</v>
      </c>
      <c r="C118" s="19" t="s">
        <v>138</v>
      </c>
      <c r="D118" s="19">
        <v>0</v>
      </c>
      <c r="E118" s="19">
        <v>0</v>
      </c>
      <c r="F118" s="19">
        <v>0</v>
      </c>
      <c r="G118" s="19">
        <v>17.670000000000002</v>
      </c>
    </row>
    <row r="119" spans="1:7" x14ac:dyDescent="0.25">
      <c r="A119" s="20">
        <v>45409</v>
      </c>
      <c r="B119" s="19" t="s">
        <v>16</v>
      </c>
      <c r="C119" s="19" t="s">
        <v>138</v>
      </c>
      <c r="D119" s="19">
        <v>0</v>
      </c>
      <c r="E119" s="19">
        <v>0</v>
      </c>
      <c r="F119" s="19">
        <v>0</v>
      </c>
      <c r="G119" s="19">
        <v>21.44</v>
      </c>
    </row>
    <row r="120" spans="1:7" x14ac:dyDescent="0.25">
      <c r="A120" s="20">
        <v>45409</v>
      </c>
      <c r="B120" s="19" t="s">
        <v>88</v>
      </c>
      <c r="C120" s="19" t="s">
        <v>138</v>
      </c>
      <c r="D120" s="19">
        <v>0</v>
      </c>
      <c r="E120" s="19">
        <v>0</v>
      </c>
      <c r="F120" s="19">
        <v>0</v>
      </c>
      <c r="G120" s="19">
        <v>48.11</v>
      </c>
    </row>
    <row r="121" spans="1:7" x14ac:dyDescent="0.25">
      <c r="A121" s="20">
        <v>45409</v>
      </c>
      <c r="B121" s="19" t="s">
        <v>17</v>
      </c>
      <c r="C121" s="19" t="s">
        <v>138</v>
      </c>
      <c r="D121" s="19">
        <v>0</v>
      </c>
      <c r="E121" s="19">
        <v>0</v>
      </c>
      <c r="F121" s="19">
        <v>0</v>
      </c>
      <c r="G121" s="19">
        <v>20.55</v>
      </c>
    </row>
    <row r="122" spans="1:7" x14ac:dyDescent="0.25">
      <c r="A122" s="20">
        <v>45409</v>
      </c>
      <c r="B122" s="19" t="s">
        <v>19</v>
      </c>
      <c r="C122" s="19" t="s">
        <v>138</v>
      </c>
      <c r="D122" s="19">
        <v>0</v>
      </c>
      <c r="E122" s="19">
        <v>0</v>
      </c>
      <c r="F122" s="19">
        <v>0</v>
      </c>
      <c r="G122" s="19">
        <v>41.06</v>
      </c>
    </row>
    <row r="123" spans="1:7" x14ac:dyDescent="0.25">
      <c r="A123" s="20">
        <v>45409</v>
      </c>
      <c r="B123" s="19" t="s">
        <v>18</v>
      </c>
      <c r="C123" s="19" t="s">
        <v>138</v>
      </c>
      <c r="D123" s="19">
        <v>0</v>
      </c>
      <c r="E123" s="19">
        <v>0</v>
      </c>
      <c r="F123" s="19">
        <v>0</v>
      </c>
      <c r="G123" s="19">
        <v>18.89</v>
      </c>
    </row>
    <row r="124" spans="1:7" x14ac:dyDescent="0.25">
      <c r="A124" s="20">
        <v>45409</v>
      </c>
      <c r="B124" s="19" t="s">
        <v>87</v>
      </c>
      <c r="C124" s="19" t="s">
        <v>138</v>
      </c>
      <c r="D124" s="19">
        <v>0</v>
      </c>
      <c r="E124" s="19">
        <v>0</v>
      </c>
      <c r="F124" s="19">
        <v>0</v>
      </c>
      <c r="G124" s="19">
        <v>41146219</v>
      </c>
    </row>
    <row r="125" spans="1:7" x14ac:dyDescent="0.25">
      <c r="A125" s="20">
        <v>45409</v>
      </c>
      <c r="B125" s="19" t="s">
        <v>42</v>
      </c>
      <c r="C125" s="19" t="s">
        <v>138</v>
      </c>
      <c r="D125" s="19">
        <v>0</v>
      </c>
      <c r="E125" s="19">
        <v>0</v>
      </c>
      <c r="F125" s="19">
        <v>0</v>
      </c>
      <c r="G125" s="19">
        <v>20.79</v>
      </c>
    </row>
    <row r="126" spans="1:7" x14ac:dyDescent="0.25">
      <c r="A126" s="20">
        <v>45409</v>
      </c>
      <c r="B126" s="19" t="s">
        <v>86</v>
      </c>
      <c r="C126" s="19" t="s">
        <v>138</v>
      </c>
      <c r="D126" s="19">
        <v>0</v>
      </c>
      <c r="E126" s="19">
        <v>0</v>
      </c>
      <c r="F126" s="19">
        <v>0</v>
      </c>
      <c r="G126" s="19">
        <v>41.3</v>
      </c>
    </row>
    <row r="127" spans="1:7" x14ac:dyDescent="0.25">
      <c r="A127" s="20">
        <v>45409</v>
      </c>
      <c r="B127" s="19" t="s">
        <v>38</v>
      </c>
      <c r="C127" s="19" t="s">
        <v>138</v>
      </c>
      <c r="D127" s="19">
        <v>0</v>
      </c>
      <c r="E127" s="19">
        <v>0</v>
      </c>
      <c r="F127" s="19">
        <v>0</v>
      </c>
      <c r="G127" s="19">
        <v>34.799999999999997</v>
      </c>
    </row>
    <row r="128" spans="1:7" x14ac:dyDescent="0.25">
      <c r="A128" s="20">
        <v>45409</v>
      </c>
      <c r="B128" s="19" t="s">
        <v>83</v>
      </c>
      <c r="C128" s="19" t="s">
        <v>138</v>
      </c>
      <c r="D128" s="19">
        <v>0</v>
      </c>
      <c r="E128" s="19">
        <v>0</v>
      </c>
      <c r="F128" s="19">
        <v>0</v>
      </c>
      <c r="G128" s="19">
        <v>41.83</v>
      </c>
    </row>
    <row r="129" spans="1:7" x14ac:dyDescent="0.25">
      <c r="A129" s="20">
        <v>45409</v>
      </c>
      <c r="B129" s="19" t="s">
        <v>20</v>
      </c>
      <c r="C129" s="19" t="s">
        <v>138</v>
      </c>
      <c r="D129" s="19">
        <v>0</v>
      </c>
      <c r="E129" s="19">
        <v>0</v>
      </c>
      <c r="F129" s="19">
        <v>0</v>
      </c>
      <c r="G129" s="19">
        <v>23.19</v>
      </c>
    </row>
    <row r="130" spans="1:7" x14ac:dyDescent="0.25">
      <c r="A130" s="20">
        <v>45409</v>
      </c>
      <c r="B130" s="19" t="s">
        <v>21</v>
      </c>
      <c r="C130" s="19" t="s">
        <v>138</v>
      </c>
      <c r="D130" s="19">
        <v>0</v>
      </c>
      <c r="E130" s="19">
        <v>0</v>
      </c>
      <c r="F130" s="19">
        <v>0</v>
      </c>
      <c r="G130" s="19">
        <v>21.61</v>
      </c>
    </row>
    <row r="131" spans="1:7" x14ac:dyDescent="0.25">
      <c r="A131" s="20">
        <v>45409</v>
      </c>
      <c r="B131" s="19" t="s">
        <v>22</v>
      </c>
      <c r="C131" s="19" t="s">
        <v>138</v>
      </c>
      <c r="D131" s="19">
        <v>0</v>
      </c>
      <c r="E131" s="19">
        <v>0</v>
      </c>
      <c r="F131" s="19">
        <v>0</v>
      </c>
      <c r="G131" s="19">
        <v>13.6</v>
      </c>
    </row>
    <row r="132" spans="1:7" x14ac:dyDescent="0.25">
      <c r="A132" s="20">
        <v>45409</v>
      </c>
      <c r="B132" s="19" t="s">
        <v>77</v>
      </c>
      <c r="C132" s="19" t="s">
        <v>138</v>
      </c>
      <c r="D132" s="19">
        <v>0</v>
      </c>
      <c r="E132" s="19">
        <v>0</v>
      </c>
      <c r="F132" s="19">
        <v>0</v>
      </c>
      <c r="G132" s="19">
        <v>17.88</v>
      </c>
    </row>
    <row r="133" spans="1:7" x14ac:dyDescent="0.25">
      <c r="A133" s="20">
        <v>45409</v>
      </c>
      <c r="B133" s="19" t="s">
        <v>23</v>
      </c>
      <c r="C133" s="19" t="s">
        <v>138</v>
      </c>
      <c r="D133" s="19">
        <v>0</v>
      </c>
      <c r="E133" s="19">
        <v>0</v>
      </c>
      <c r="F133" s="19">
        <v>0</v>
      </c>
      <c r="G133" s="19">
        <v>23.22</v>
      </c>
    </row>
    <row r="134" spans="1:7" x14ac:dyDescent="0.25">
      <c r="A134" s="20">
        <v>45409</v>
      </c>
      <c r="B134" s="19" t="s">
        <v>24</v>
      </c>
      <c r="C134" s="19" t="s">
        <v>138</v>
      </c>
      <c r="D134" s="19">
        <v>0</v>
      </c>
      <c r="E134" s="19">
        <v>0</v>
      </c>
      <c r="F134" s="19">
        <v>0</v>
      </c>
      <c r="G134" s="19">
        <v>18.559999999999999</v>
      </c>
    </row>
    <row r="135" spans="1:7" x14ac:dyDescent="0.25">
      <c r="A135" s="20">
        <v>45409</v>
      </c>
      <c r="B135" s="19" t="s">
        <v>75</v>
      </c>
      <c r="C135" s="19" t="s">
        <v>138</v>
      </c>
      <c r="D135" s="19">
        <v>0</v>
      </c>
      <c r="E135" s="19">
        <v>0</v>
      </c>
      <c r="F135" s="19">
        <v>0</v>
      </c>
      <c r="G135" s="19">
        <v>12.9</v>
      </c>
    </row>
    <row r="136" spans="1:7" x14ac:dyDescent="0.25">
      <c r="A136" s="20">
        <v>45409</v>
      </c>
      <c r="B136" s="19" t="s">
        <v>25</v>
      </c>
      <c r="C136" s="19" t="s">
        <v>138</v>
      </c>
      <c r="D136" s="19">
        <v>0</v>
      </c>
      <c r="E136" s="19">
        <v>0</v>
      </c>
      <c r="F136" s="19">
        <v>0</v>
      </c>
      <c r="G136" s="19">
        <v>12.16</v>
      </c>
    </row>
    <row r="137" spans="1:7" x14ac:dyDescent="0.25">
      <c r="A137" s="20">
        <v>45409</v>
      </c>
      <c r="B137" s="19" t="s">
        <v>74</v>
      </c>
      <c r="C137" s="19" t="s">
        <v>138</v>
      </c>
      <c r="D137" s="19">
        <v>0</v>
      </c>
      <c r="E137" s="19">
        <v>0</v>
      </c>
      <c r="F137" s="19">
        <v>0</v>
      </c>
      <c r="G137" s="19">
        <v>14.79</v>
      </c>
    </row>
    <row r="138" spans="1:7" x14ac:dyDescent="0.25">
      <c r="A138" s="20">
        <v>45409</v>
      </c>
      <c r="B138" s="19" t="s">
        <v>26</v>
      </c>
      <c r="C138" s="19" t="s">
        <v>138</v>
      </c>
      <c r="D138" s="19">
        <v>0</v>
      </c>
      <c r="E138" s="19">
        <v>0</v>
      </c>
      <c r="F138" s="19">
        <v>0</v>
      </c>
      <c r="G138" s="19">
        <v>13.29</v>
      </c>
    </row>
    <row r="139" spans="1:7" x14ac:dyDescent="0.25">
      <c r="A139" s="20">
        <v>45409</v>
      </c>
      <c r="B139" s="19" t="s">
        <v>27</v>
      </c>
      <c r="C139" s="19" t="s">
        <v>139</v>
      </c>
      <c r="D139" s="19">
        <v>1525</v>
      </c>
      <c r="E139" s="19">
        <v>2073</v>
      </c>
      <c r="F139" s="19">
        <v>1886</v>
      </c>
      <c r="G139" s="19">
        <v>13.9</v>
      </c>
    </row>
    <row r="140" spans="1:7" x14ac:dyDescent="0.25">
      <c r="A140" s="20">
        <v>45409</v>
      </c>
      <c r="B140" s="19" t="s">
        <v>28</v>
      </c>
      <c r="C140" s="19" t="s">
        <v>139</v>
      </c>
      <c r="D140" s="19">
        <v>2091</v>
      </c>
      <c r="E140" s="19">
        <v>2091</v>
      </c>
      <c r="F140" s="19">
        <v>2109</v>
      </c>
      <c r="G140" s="19">
        <v>13.7</v>
      </c>
    </row>
    <row r="141" spans="1:7" x14ac:dyDescent="0.25">
      <c r="A141" s="20">
        <v>45409</v>
      </c>
      <c r="B141" s="19" t="s">
        <v>72</v>
      </c>
      <c r="C141" s="19" t="s">
        <v>138</v>
      </c>
      <c r="D141" s="19">
        <v>0</v>
      </c>
      <c r="E141" s="19">
        <v>0</v>
      </c>
      <c r="F141" s="19">
        <v>0</v>
      </c>
      <c r="G141" s="19">
        <v>15.45</v>
      </c>
    </row>
    <row r="142" spans="1:7" x14ac:dyDescent="0.25">
      <c r="A142" s="20">
        <v>45409</v>
      </c>
      <c r="B142" s="19" t="s">
        <v>29</v>
      </c>
      <c r="C142" s="19" t="s">
        <v>139</v>
      </c>
      <c r="D142" s="19">
        <v>1227</v>
      </c>
      <c r="E142" s="19">
        <v>2133</v>
      </c>
      <c r="F142" s="19">
        <v>1887</v>
      </c>
      <c r="G142" s="19">
        <v>13.98</v>
      </c>
    </row>
    <row r="143" spans="1:7" x14ac:dyDescent="0.25">
      <c r="A143" s="20">
        <v>45409</v>
      </c>
      <c r="B143" s="19" t="s">
        <v>30</v>
      </c>
      <c r="C143" s="19" t="s">
        <v>138</v>
      </c>
      <c r="D143" s="19">
        <v>0</v>
      </c>
      <c r="E143" s="19">
        <v>0</v>
      </c>
      <c r="F143" s="19">
        <v>0</v>
      </c>
      <c r="G143" s="19">
        <v>14.04</v>
      </c>
    </row>
    <row r="144" spans="1:7" x14ac:dyDescent="0.25">
      <c r="A144" s="20">
        <v>45409</v>
      </c>
      <c r="B144" s="19" t="s">
        <v>31</v>
      </c>
      <c r="C144" s="19" t="s">
        <v>138</v>
      </c>
      <c r="D144" s="19">
        <v>0</v>
      </c>
      <c r="E144" s="19">
        <v>0</v>
      </c>
      <c r="F144" s="19">
        <v>0</v>
      </c>
      <c r="G144" s="19">
        <v>13.5</v>
      </c>
    </row>
    <row r="145" spans="1:7" x14ac:dyDescent="0.25">
      <c r="A145" s="20">
        <v>45409</v>
      </c>
      <c r="B145" s="19" t="s">
        <v>32</v>
      </c>
      <c r="C145" s="19" t="s">
        <v>138</v>
      </c>
      <c r="D145" s="19">
        <v>0</v>
      </c>
      <c r="E145" s="19">
        <v>0</v>
      </c>
      <c r="F145" s="19">
        <v>0</v>
      </c>
      <c r="G145" s="19">
        <v>14.39</v>
      </c>
    </row>
    <row r="146" spans="1:7" x14ac:dyDescent="0.25">
      <c r="A146" s="20">
        <v>45409</v>
      </c>
      <c r="B146" s="19" t="s">
        <v>67</v>
      </c>
      <c r="C146" s="19" t="s">
        <v>139</v>
      </c>
      <c r="D146" s="19">
        <v>1500</v>
      </c>
      <c r="E146" s="19">
        <v>1932</v>
      </c>
      <c r="F146" s="19">
        <v>1969</v>
      </c>
      <c r="G146" s="19">
        <v>14.39</v>
      </c>
    </row>
    <row r="147" spans="1:7" x14ac:dyDescent="0.25">
      <c r="A147" s="20">
        <v>45409</v>
      </c>
      <c r="B147" s="19" t="s">
        <v>33</v>
      </c>
      <c r="C147" s="19" t="s">
        <v>138</v>
      </c>
      <c r="D147" s="19">
        <v>0</v>
      </c>
      <c r="E147" s="19">
        <v>0</v>
      </c>
      <c r="F147" s="19">
        <v>0</v>
      </c>
      <c r="G147" s="19">
        <v>14.19</v>
      </c>
    </row>
    <row r="148" spans="1:7" x14ac:dyDescent="0.25">
      <c r="A148" s="20">
        <v>45409</v>
      </c>
      <c r="B148" s="19" t="s">
        <v>34</v>
      </c>
      <c r="C148" s="19" t="s">
        <v>138</v>
      </c>
      <c r="D148" s="19">
        <v>0</v>
      </c>
      <c r="E148" s="19">
        <v>0</v>
      </c>
      <c r="F148" s="19">
        <v>0</v>
      </c>
      <c r="G148" s="19">
        <v>15.48</v>
      </c>
    </row>
    <row r="149" spans="1:7" x14ac:dyDescent="0.25">
      <c r="A149" s="20">
        <v>45409</v>
      </c>
      <c r="B149" s="19" t="s">
        <v>35</v>
      </c>
      <c r="C149" s="19" t="s">
        <v>139</v>
      </c>
      <c r="D149" s="19">
        <v>1998</v>
      </c>
      <c r="E149" s="19">
        <v>1940</v>
      </c>
      <c r="F149" s="19">
        <v>1975</v>
      </c>
      <c r="G149" s="19">
        <v>14.66</v>
      </c>
    </row>
    <row r="150" spans="1:7" x14ac:dyDescent="0.25">
      <c r="A150" s="20">
        <v>45409</v>
      </c>
      <c r="B150" s="19" t="s">
        <v>63</v>
      </c>
      <c r="C150" s="19" t="s">
        <v>138</v>
      </c>
      <c r="D150" s="19">
        <v>0</v>
      </c>
      <c r="E150" s="19">
        <v>0</v>
      </c>
      <c r="F150" s="19">
        <v>0</v>
      </c>
      <c r="G150" s="19">
        <v>17.670000000000002</v>
      </c>
    </row>
    <row r="151" spans="1:7" x14ac:dyDescent="0.25">
      <c r="A151" s="20">
        <v>45409</v>
      </c>
      <c r="B151" s="19" t="s">
        <v>36</v>
      </c>
      <c r="C151" s="19" t="s">
        <v>139</v>
      </c>
      <c r="D151" s="19">
        <v>1961</v>
      </c>
      <c r="E151" s="19">
        <v>1982</v>
      </c>
      <c r="F151" s="19">
        <v>2020</v>
      </c>
      <c r="G151" s="19">
        <v>14.48</v>
      </c>
    </row>
    <row r="152" spans="1:7" x14ac:dyDescent="0.25">
      <c r="A152" s="20">
        <v>45409</v>
      </c>
      <c r="B152" s="19" t="s">
        <v>256</v>
      </c>
      <c r="C152" s="19" t="s">
        <v>138</v>
      </c>
      <c r="D152" s="19">
        <v>0</v>
      </c>
      <c r="E152" s="19">
        <v>0</v>
      </c>
      <c r="F152" s="19">
        <v>0</v>
      </c>
      <c r="G152" s="19">
        <v>38472557</v>
      </c>
    </row>
    <row r="153" spans="1:7" x14ac:dyDescent="0.25">
      <c r="A153" s="20">
        <v>45409</v>
      </c>
      <c r="B153" s="19" t="s">
        <v>257</v>
      </c>
      <c r="C153" s="19" t="s">
        <v>138</v>
      </c>
      <c r="D153" s="19">
        <v>0</v>
      </c>
      <c r="E153" s="19">
        <v>0</v>
      </c>
      <c r="F153" s="19">
        <v>0</v>
      </c>
      <c r="G153" s="19">
        <v>0</v>
      </c>
    </row>
    <row r="154" spans="1:7" x14ac:dyDescent="0.25">
      <c r="A154" s="20">
        <v>45409</v>
      </c>
      <c r="B154" s="19" t="s">
        <v>37</v>
      </c>
      <c r="C154" s="19" t="s">
        <v>138</v>
      </c>
      <c r="D154" s="19">
        <v>0</v>
      </c>
      <c r="E154" s="19">
        <v>0</v>
      </c>
      <c r="F154" s="19">
        <v>0</v>
      </c>
      <c r="G154" s="19">
        <v>41.38</v>
      </c>
    </row>
    <row r="155" spans="1:7" x14ac:dyDescent="0.25">
      <c r="A155" s="20">
        <v>45409</v>
      </c>
      <c r="B155" s="19" t="s">
        <v>258</v>
      </c>
      <c r="C155" s="19" t="s">
        <v>138</v>
      </c>
      <c r="D155" s="19">
        <v>0</v>
      </c>
      <c r="E155" s="19">
        <v>0</v>
      </c>
      <c r="F155" s="19">
        <v>0</v>
      </c>
      <c r="G155" s="19">
        <v>13.6</v>
      </c>
    </row>
    <row r="156" spans="1:7" x14ac:dyDescent="0.25">
      <c r="A156" s="20">
        <v>45409</v>
      </c>
      <c r="B156" s="19" t="s">
        <v>259</v>
      </c>
      <c r="C156" s="19" t="s">
        <v>138</v>
      </c>
      <c r="D156" s="19">
        <v>0</v>
      </c>
      <c r="E156" s="19">
        <v>0</v>
      </c>
      <c r="F156" s="19">
        <v>0</v>
      </c>
      <c r="G156" s="19">
        <v>13.6</v>
      </c>
    </row>
    <row r="157" spans="1:7" x14ac:dyDescent="0.25">
      <c r="A157" s="20">
        <v>45409</v>
      </c>
      <c r="B157" s="19" t="s">
        <v>260</v>
      </c>
      <c r="C157" s="19" t="s">
        <v>138</v>
      </c>
      <c r="D157" s="19">
        <v>0</v>
      </c>
      <c r="E157" s="19">
        <v>0</v>
      </c>
      <c r="F157" s="19">
        <v>0</v>
      </c>
      <c r="G157" s="19">
        <v>41.06</v>
      </c>
    </row>
    <row r="158" spans="1:7" x14ac:dyDescent="0.25">
      <c r="A158" s="20">
        <v>45409</v>
      </c>
      <c r="B158" s="19" t="s">
        <v>261</v>
      </c>
      <c r="C158" s="19" t="s">
        <v>138</v>
      </c>
      <c r="D158" s="19">
        <v>0</v>
      </c>
      <c r="E158" s="19">
        <v>0</v>
      </c>
      <c r="F158" s="19">
        <v>0</v>
      </c>
      <c r="G158" s="19">
        <v>41.06</v>
      </c>
    </row>
    <row r="159" spans="1:7" x14ac:dyDescent="0.25">
      <c r="A159" s="20">
        <v>45409</v>
      </c>
      <c r="B159" s="19" t="s">
        <v>54</v>
      </c>
      <c r="C159" s="19" t="s">
        <v>138</v>
      </c>
      <c r="D159" s="19">
        <v>0</v>
      </c>
      <c r="E159" s="19">
        <v>0</v>
      </c>
      <c r="F159" s="19">
        <v>0</v>
      </c>
      <c r="G159" s="19">
        <v>16.59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82"/>
  <sheetViews>
    <sheetView workbookViewId="0">
      <pane ySplit="1" topLeftCell="A2" activePane="bottomLeft" state="frozen"/>
      <selection pane="bottomLeft" activeCell="D4" sqref="D4:F82"/>
    </sheetView>
  </sheetViews>
  <sheetFormatPr defaultRowHeight="15" x14ac:dyDescent="0.25"/>
  <cols>
    <col min="1" max="1" width="15.140625" customWidth="1"/>
    <col min="2" max="2" width="20.140625" bestFit="1" customWidth="1"/>
    <col min="3" max="3" width="15" bestFit="1" customWidth="1"/>
    <col min="9" max="9" width="13.5703125" customWidth="1"/>
  </cols>
  <sheetData>
    <row r="1" spans="1:18" s="18" customFormat="1" ht="15.75" thickBot="1" x14ac:dyDescent="0.3">
      <c r="D1" s="40" t="s">
        <v>264</v>
      </c>
      <c r="E1" s="41"/>
      <c r="F1" s="42"/>
      <c r="N1"/>
      <c r="P1" s="33" t="s">
        <v>265</v>
      </c>
      <c r="R1" s="36"/>
    </row>
    <row r="2" spans="1:18" s="18" customFormat="1" x14ac:dyDescent="0.25">
      <c r="A2" s="31" t="s">
        <v>255</v>
      </c>
      <c r="B2" s="18" t="s">
        <v>254</v>
      </c>
    </row>
    <row r="3" spans="1:18" x14ac:dyDescent="0.25">
      <c r="B3" s="18" t="s">
        <v>1</v>
      </c>
      <c r="C3" s="18" t="s">
        <v>3</v>
      </c>
      <c r="D3" s="18" t="s">
        <v>44</v>
      </c>
      <c r="E3" s="18" t="s">
        <v>45</v>
      </c>
      <c r="F3" s="18" t="s">
        <v>46</v>
      </c>
      <c r="G3" s="18" t="s">
        <v>4</v>
      </c>
      <c r="H3" s="18" t="s">
        <v>47</v>
      </c>
      <c r="I3" s="18" t="s">
        <v>48</v>
      </c>
      <c r="J3" s="18" t="s">
        <v>2</v>
      </c>
      <c r="K3" s="18" t="s">
        <v>49</v>
      </c>
      <c r="L3" s="18" t="s">
        <v>50</v>
      </c>
      <c r="M3" s="18" t="s">
        <v>51</v>
      </c>
      <c r="N3" s="18" t="s">
        <v>52</v>
      </c>
      <c r="O3" s="18" t="s">
        <v>53</v>
      </c>
      <c r="P3" s="18" t="s">
        <v>146</v>
      </c>
      <c r="Q3" s="18"/>
      <c r="R3" s="18"/>
    </row>
    <row r="4" spans="1:18" x14ac:dyDescent="0.25">
      <c r="A4" s="16"/>
      <c r="B4" s="16" t="s">
        <v>136</v>
      </c>
      <c r="C4" s="16" t="s">
        <v>6</v>
      </c>
      <c r="D4" s="18" t="s">
        <v>174</v>
      </c>
      <c r="E4" s="18" t="s">
        <v>81</v>
      </c>
      <c r="F4" s="18" t="s">
        <v>90</v>
      </c>
      <c r="G4" s="18" t="s">
        <v>138</v>
      </c>
      <c r="H4" s="18">
        <v>1</v>
      </c>
      <c r="I4" s="18" t="s">
        <v>58</v>
      </c>
      <c r="J4" s="18">
        <v>0</v>
      </c>
      <c r="K4" s="18">
        <v>220783</v>
      </c>
      <c r="L4" s="18">
        <v>220783</v>
      </c>
      <c r="M4" s="18">
        <v>0</v>
      </c>
      <c r="N4" s="18">
        <v>42144554</v>
      </c>
      <c r="O4" s="18" t="s">
        <v>245</v>
      </c>
      <c r="P4" s="18" t="s">
        <v>153</v>
      </c>
      <c r="Q4" s="18"/>
      <c r="R4" s="18"/>
    </row>
    <row r="5" spans="1:18" x14ac:dyDescent="0.25">
      <c r="A5" s="16"/>
      <c r="B5" s="16" t="s">
        <v>135</v>
      </c>
      <c r="C5" s="16" t="s">
        <v>6</v>
      </c>
      <c r="D5" s="18" t="s">
        <v>332</v>
      </c>
      <c r="E5" s="18" t="s">
        <v>81</v>
      </c>
      <c r="F5" s="18" t="s">
        <v>90</v>
      </c>
      <c r="G5" s="18" t="s">
        <v>138</v>
      </c>
      <c r="H5" s="18">
        <v>2</v>
      </c>
      <c r="I5" s="18" t="s">
        <v>58</v>
      </c>
      <c r="J5" s="18">
        <v>0</v>
      </c>
      <c r="K5" s="18">
        <v>42267878</v>
      </c>
      <c r="L5" s="18">
        <v>42267878</v>
      </c>
      <c r="M5" s="18">
        <v>0</v>
      </c>
      <c r="N5" s="18">
        <v>24.09</v>
      </c>
      <c r="O5" s="18"/>
      <c r="P5" s="18" t="s">
        <v>148</v>
      </c>
      <c r="Q5" s="18"/>
      <c r="R5" s="18"/>
    </row>
    <row r="6" spans="1:18" x14ac:dyDescent="0.25">
      <c r="A6" s="16"/>
      <c r="B6" s="16" t="s">
        <v>134</v>
      </c>
      <c r="C6" s="16" t="s">
        <v>6</v>
      </c>
      <c r="D6" s="18" t="s">
        <v>175</v>
      </c>
      <c r="E6" s="18" t="s">
        <v>81</v>
      </c>
      <c r="F6" s="18" t="s">
        <v>90</v>
      </c>
      <c r="G6" s="18" t="s">
        <v>138</v>
      </c>
      <c r="H6" s="18">
        <v>47</v>
      </c>
      <c r="I6" s="18" t="s">
        <v>58</v>
      </c>
      <c r="J6" s="18">
        <v>0</v>
      </c>
      <c r="K6" s="18">
        <v>23</v>
      </c>
      <c r="L6" s="18">
        <v>23</v>
      </c>
      <c r="M6" s="18">
        <v>0</v>
      </c>
      <c r="N6" s="18">
        <v>0</v>
      </c>
      <c r="O6" s="18"/>
      <c r="P6" s="18" t="s">
        <v>148</v>
      </c>
      <c r="Q6" s="18"/>
      <c r="R6" s="18"/>
    </row>
    <row r="7" spans="1:18" x14ac:dyDescent="0.25">
      <c r="A7" s="16"/>
      <c r="B7" s="16" t="s">
        <v>132</v>
      </c>
      <c r="C7" s="16" t="s">
        <v>6</v>
      </c>
      <c r="D7" s="18" t="s">
        <v>133</v>
      </c>
      <c r="E7" s="18" t="s">
        <v>126</v>
      </c>
      <c r="F7" s="18" t="s">
        <v>199</v>
      </c>
      <c r="G7" s="18" t="s">
        <v>138</v>
      </c>
      <c r="H7" s="18">
        <v>3</v>
      </c>
      <c r="I7" s="18" t="s">
        <v>58</v>
      </c>
      <c r="J7" s="18">
        <v>67</v>
      </c>
      <c r="K7" s="18">
        <v>538240112</v>
      </c>
      <c r="L7" s="18">
        <v>61</v>
      </c>
      <c r="M7" s="18">
        <v>0</v>
      </c>
      <c r="N7" s="18">
        <v>41.53</v>
      </c>
      <c r="O7" s="18" t="s">
        <v>395</v>
      </c>
      <c r="P7" s="18" t="s">
        <v>149</v>
      </c>
      <c r="Q7" s="18"/>
      <c r="R7" s="18"/>
    </row>
    <row r="8" spans="1:18" x14ac:dyDescent="0.25">
      <c r="A8" s="16"/>
      <c r="B8" s="16" t="s">
        <v>131</v>
      </c>
      <c r="C8" s="16" t="s">
        <v>6</v>
      </c>
      <c r="D8" s="18" t="s">
        <v>396</v>
      </c>
      <c r="E8" s="18" t="s">
        <v>60</v>
      </c>
      <c r="F8" s="18" t="s">
        <v>90</v>
      </c>
      <c r="G8" s="18" t="s">
        <v>138</v>
      </c>
      <c r="H8" s="18">
        <v>4</v>
      </c>
      <c r="I8" s="18" t="s">
        <v>58</v>
      </c>
      <c r="J8" s="18">
        <v>0</v>
      </c>
      <c r="K8" s="18">
        <v>38292355</v>
      </c>
      <c r="L8" s="18">
        <v>38292355</v>
      </c>
      <c r="M8" s="18">
        <v>0</v>
      </c>
      <c r="N8" s="18">
        <v>23.93</v>
      </c>
      <c r="O8" s="18" t="s">
        <v>373</v>
      </c>
      <c r="P8" s="18" t="s">
        <v>154</v>
      </c>
      <c r="Q8" s="18"/>
      <c r="R8" s="18"/>
    </row>
    <row r="9" spans="1:18" x14ac:dyDescent="0.25">
      <c r="A9" s="16"/>
      <c r="B9" s="16" t="s">
        <v>130</v>
      </c>
      <c r="C9" s="16" t="s">
        <v>6</v>
      </c>
      <c r="D9" s="18" t="s">
        <v>191</v>
      </c>
      <c r="E9" s="18" t="s">
        <v>81</v>
      </c>
      <c r="F9" s="18" t="s">
        <v>285</v>
      </c>
      <c r="G9" s="18" t="s">
        <v>139</v>
      </c>
      <c r="H9" s="18">
        <v>48</v>
      </c>
      <c r="I9" s="18" t="s">
        <v>58</v>
      </c>
      <c r="J9" s="18">
        <v>16668427</v>
      </c>
      <c r="K9" s="18">
        <v>24583432</v>
      </c>
      <c r="L9" s="18">
        <v>24608272</v>
      </c>
      <c r="M9" s="18">
        <v>24608272</v>
      </c>
      <c r="N9" s="18">
        <v>48.94</v>
      </c>
      <c r="O9" s="18"/>
      <c r="P9" s="18" t="s">
        <v>148</v>
      </c>
      <c r="Q9" s="18"/>
      <c r="R9" s="18"/>
    </row>
    <row r="10" spans="1:18" x14ac:dyDescent="0.25">
      <c r="A10" s="16"/>
      <c r="B10" s="16" t="s">
        <v>128</v>
      </c>
      <c r="C10" s="16" t="s">
        <v>6</v>
      </c>
      <c r="D10" s="18" t="s">
        <v>129</v>
      </c>
      <c r="E10" s="18" t="s">
        <v>126</v>
      </c>
      <c r="F10" s="18" t="s">
        <v>199</v>
      </c>
      <c r="G10" s="18" t="s">
        <v>138</v>
      </c>
      <c r="H10" s="18">
        <v>5</v>
      </c>
      <c r="I10" s="18" t="s">
        <v>58</v>
      </c>
      <c r="J10" s="18">
        <v>0</v>
      </c>
      <c r="K10" s="18">
        <v>13116018</v>
      </c>
      <c r="L10" s="18">
        <v>13116018</v>
      </c>
      <c r="M10" s="18">
        <v>0</v>
      </c>
      <c r="N10" s="18">
        <v>41.06</v>
      </c>
      <c r="O10" s="18"/>
      <c r="P10" s="18" t="s">
        <v>149</v>
      </c>
      <c r="Q10" s="18"/>
      <c r="R10" s="18"/>
    </row>
    <row r="11" spans="1:18" x14ac:dyDescent="0.25">
      <c r="A11" s="16"/>
      <c r="B11" s="16" t="s">
        <v>40</v>
      </c>
      <c r="C11" s="16" t="s">
        <v>6</v>
      </c>
      <c r="D11" s="18" t="s">
        <v>397</v>
      </c>
      <c r="E11" s="18" t="s">
        <v>60</v>
      </c>
      <c r="F11" s="18" t="s">
        <v>200</v>
      </c>
      <c r="G11" s="18" t="s">
        <v>138</v>
      </c>
      <c r="H11" s="18">
        <v>6</v>
      </c>
      <c r="I11" s="18" t="s">
        <v>58</v>
      </c>
      <c r="J11" s="18">
        <v>0</v>
      </c>
      <c r="K11" s="18">
        <v>42305445</v>
      </c>
      <c r="L11" s="18">
        <v>42305445</v>
      </c>
      <c r="M11" s="18">
        <v>0</v>
      </c>
      <c r="N11" s="18">
        <v>14.92</v>
      </c>
      <c r="O11" s="18" t="s">
        <v>245</v>
      </c>
      <c r="P11" s="18" t="s">
        <v>153</v>
      </c>
      <c r="Q11" s="18"/>
      <c r="R11" s="18"/>
    </row>
    <row r="12" spans="1:18" x14ac:dyDescent="0.25">
      <c r="A12" s="16"/>
      <c r="B12" s="16" t="s">
        <v>127</v>
      </c>
      <c r="C12" s="16" t="s">
        <v>6</v>
      </c>
      <c r="D12" s="18" t="s">
        <v>203</v>
      </c>
      <c r="E12" s="18" t="s">
        <v>81</v>
      </c>
      <c r="F12" s="18" t="s">
        <v>285</v>
      </c>
      <c r="G12" s="18" t="s">
        <v>139</v>
      </c>
      <c r="H12" s="18">
        <v>49</v>
      </c>
      <c r="I12" s="18" t="s">
        <v>58</v>
      </c>
      <c r="J12" s="18">
        <v>683</v>
      </c>
      <c r="K12" s="18">
        <v>25299404</v>
      </c>
      <c r="L12" s="18">
        <v>25324130</v>
      </c>
      <c r="M12" s="18">
        <v>25324130</v>
      </c>
      <c r="N12" s="18">
        <v>20.81</v>
      </c>
      <c r="O12" s="18"/>
      <c r="P12" s="18" t="s">
        <v>151</v>
      </c>
      <c r="Q12" s="18"/>
      <c r="R12" s="18"/>
    </row>
    <row r="13" spans="1:18" x14ac:dyDescent="0.25">
      <c r="A13" s="16"/>
      <c r="B13" s="16" t="s">
        <v>124</v>
      </c>
      <c r="C13" s="16" t="s">
        <v>6</v>
      </c>
      <c r="D13" s="18" t="s">
        <v>340</v>
      </c>
      <c r="E13" s="18" t="s">
        <v>126</v>
      </c>
      <c r="F13" s="18" t="s">
        <v>192</v>
      </c>
      <c r="G13" s="18" t="s">
        <v>138</v>
      </c>
      <c r="H13" s="18">
        <v>7</v>
      </c>
      <c r="I13" s="18" t="s">
        <v>58</v>
      </c>
      <c r="J13" s="18">
        <v>0</v>
      </c>
      <c r="K13" s="18">
        <v>39944587</v>
      </c>
      <c r="L13" s="18">
        <v>39944587</v>
      </c>
      <c r="M13" s="18">
        <v>0</v>
      </c>
      <c r="N13" s="18">
        <v>39863813</v>
      </c>
      <c r="O13" s="18"/>
      <c r="P13" s="18" t="s">
        <v>149</v>
      </c>
      <c r="Q13" s="18"/>
      <c r="R13" s="18"/>
    </row>
    <row r="14" spans="1:18" x14ac:dyDescent="0.25">
      <c r="A14" s="16"/>
      <c r="B14" s="16" t="s">
        <v>122</v>
      </c>
      <c r="C14" s="16" t="s">
        <v>6</v>
      </c>
      <c r="D14" s="18" t="s">
        <v>356</v>
      </c>
      <c r="E14" s="18" t="s">
        <v>398</v>
      </c>
      <c r="F14" s="18" t="s">
        <v>90</v>
      </c>
      <c r="G14" s="18" t="s">
        <v>139</v>
      </c>
      <c r="H14" s="18">
        <v>8</v>
      </c>
      <c r="I14" s="18" t="s">
        <v>58</v>
      </c>
      <c r="J14" s="18">
        <v>866</v>
      </c>
      <c r="K14" s="18">
        <v>41251115</v>
      </c>
      <c r="L14" s="18">
        <v>41268754</v>
      </c>
      <c r="M14" s="18">
        <v>41268754</v>
      </c>
      <c r="N14" s="18">
        <v>20.9</v>
      </c>
      <c r="O14" s="18"/>
      <c r="P14" s="18" t="s">
        <v>148</v>
      </c>
      <c r="Q14" s="18"/>
      <c r="R14" s="18"/>
    </row>
    <row r="15" spans="1:18" x14ac:dyDescent="0.25">
      <c r="A15" s="16"/>
      <c r="B15" s="16" t="s">
        <v>120</v>
      </c>
      <c r="C15" s="16" t="s">
        <v>6</v>
      </c>
      <c r="D15" s="18" t="s">
        <v>333</v>
      </c>
      <c r="E15" s="18" t="s">
        <v>375</v>
      </c>
      <c r="F15" s="18" t="s">
        <v>285</v>
      </c>
      <c r="G15" s="18" t="s">
        <v>139</v>
      </c>
      <c r="H15" s="18" t="s">
        <v>121</v>
      </c>
      <c r="I15" s="18" t="s">
        <v>58</v>
      </c>
      <c r="J15" s="18">
        <v>0</v>
      </c>
      <c r="K15" s="18">
        <v>7517991</v>
      </c>
      <c r="L15" s="18">
        <v>7518087</v>
      </c>
      <c r="M15" s="18">
        <v>7518087</v>
      </c>
      <c r="N15" s="18">
        <v>41.69</v>
      </c>
      <c r="O15" s="18"/>
      <c r="P15" s="18" t="s">
        <v>151</v>
      </c>
      <c r="Q15" s="18"/>
      <c r="R15" s="18"/>
    </row>
    <row r="16" spans="1:18" x14ac:dyDescent="0.25">
      <c r="A16" s="16"/>
      <c r="B16" s="16" t="s">
        <v>119</v>
      </c>
      <c r="C16" s="16" t="s">
        <v>6</v>
      </c>
      <c r="D16" s="18" t="s">
        <v>178</v>
      </c>
      <c r="E16" s="18" t="s">
        <v>399</v>
      </c>
      <c r="F16" s="18" t="s">
        <v>192</v>
      </c>
      <c r="G16" s="18" t="s">
        <v>139</v>
      </c>
      <c r="H16" s="18">
        <v>9</v>
      </c>
      <c r="I16" s="18" t="s">
        <v>58</v>
      </c>
      <c r="J16" s="18">
        <v>387</v>
      </c>
      <c r="K16" s="18">
        <v>39945699</v>
      </c>
      <c r="L16" s="18">
        <v>39958294</v>
      </c>
      <c r="M16" s="18">
        <v>39958294</v>
      </c>
      <c r="N16" s="18">
        <v>41.63</v>
      </c>
      <c r="O16" s="18" t="s">
        <v>400</v>
      </c>
      <c r="P16" s="18" t="s">
        <v>149</v>
      </c>
      <c r="Q16" s="18"/>
      <c r="R16" s="18"/>
    </row>
    <row r="17" spans="1:18" x14ac:dyDescent="0.25">
      <c r="A17" s="16"/>
      <c r="B17" s="16" t="s">
        <v>117</v>
      </c>
      <c r="C17" s="16" t="s">
        <v>6</v>
      </c>
      <c r="D17" s="18" t="s">
        <v>349</v>
      </c>
      <c r="E17" s="18" t="s">
        <v>398</v>
      </c>
      <c r="F17" s="18" t="s">
        <v>90</v>
      </c>
      <c r="G17" s="18" t="s">
        <v>138</v>
      </c>
      <c r="H17" s="18" t="s">
        <v>118</v>
      </c>
      <c r="I17" s="18" t="s">
        <v>58</v>
      </c>
      <c r="J17" s="18">
        <v>0</v>
      </c>
      <c r="K17" s="18">
        <v>15433</v>
      </c>
      <c r="L17" s="18">
        <v>15433</v>
      </c>
      <c r="M17" s="18">
        <v>0</v>
      </c>
      <c r="N17" s="18">
        <v>34.69</v>
      </c>
      <c r="O17" s="18"/>
      <c r="P17" s="18" t="s">
        <v>151</v>
      </c>
      <c r="Q17" s="18"/>
      <c r="R17" s="18"/>
    </row>
    <row r="18" spans="1:18" x14ac:dyDescent="0.25">
      <c r="A18" s="16"/>
      <c r="B18" s="16" t="s">
        <v>39</v>
      </c>
      <c r="C18" s="16" t="s">
        <v>6</v>
      </c>
      <c r="D18" s="18" t="s">
        <v>177</v>
      </c>
      <c r="E18" s="18" t="s">
        <v>377</v>
      </c>
      <c r="F18" s="18" t="s">
        <v>90</v>
      </c>
      <c r="G18" s="18" t="s">
        <v>138</v>
      </c>
      <c r="H18" s="18" t="s">
        <v>116</v>
      </c>
      <c r="I18" s="18" t="s">
        <v>58</v>
      </c>
      <c r="J18" s="18">
        <v>754</v>
      </c>
      <c r="K18" s="18">
        <v>258297</v>
      </c>
      <c r="L18" s="18">
        <v>259065</v>
      </c>
      <c r="M18" s="18">
        <v>0</v>
      </c>
      <c r="N18" s="18">
        <v>23.9</v>
      </c>
      <c r="O18" s="18"/>
      <c r="P18" s="18" t="s">
        <v>151</v>
      </c>
      <c r="Q18" s="18"/>
      <c r="R18" s="18"/>
    </row>
    <row r="19" spans="1:18" x14ac:dyDescent="0.25">
      <c r="A19" s="16"/>
      <c r="B19" s="16" t="s">
        <v>113</v>
      </c>
      <c r="C19" s="16" t="s">
        <v>6</v>
      </c>
      <c r="D19" s="18" t="s">
        <v>188</v>
      </c>
      <c r="E19" s="18" t="s">
        <v>126</v>
      </c>
      <c r="F19" s="18" t="s">
        <v>199</v>
      </c>
      <c r="G19" s="18" t="s">
        <v>139</v>
      </c>
      <c r="H19" s="18" t="s">
        <v>114</v>
      </c>
      <c r="I19" s="18" t="s">
        <v>58</v>
      </c>
      <c r="J19" s="18">
        <v>-41387042</v>
      </c>
      <c r="K19" s="18">
        <v>41387307</v>
      </c>
      <c r="L19" s="18">
        <v>33</v>
      </c>
      <c r="M19" s="18">
        <v>33</v>
      </c>
      <c r="N19" s="18">
        <v>41.35</v>
      </c>
      <c r="O19" s="18"/>
      <c r="P19" s="18" t="s">
        <v>149</v>
      </c>
      <c r="Q19" s="18"/>
      <c r="R19" s="18"/>
    </row>
    <row r="20" spans="1:18" x14ac:dyDescent="0.25">
      <c r="A20" s="16"/>
      <c r="B20" s="16" t="s">
        <v>111</v>
      </c>
      <c r="C20" s="16" t="s">
        <v>6</v>
      </c>
      <c r="D20" s="18" t="s">
        <v>189</v>
      </c>
      <c r="E20" s="18" t="s">
        <v>81</v>
      </c>
      <c r="F20" s="18" t="s">
        <v>285</v>
      </c>
      <c r="G20" s="18" t="s">
        <v>139</v>
      </c>
      <c r="H20" s="18" t="s">
        <v>112</v>
      </c>
      <c r="I20" s="18" t="s">
        <v>58</v>
      </c>
      <c r="J20" s="18">
        <v>884</v>
      </c>
      <c r="K20" s="18">
        <v>39143655</v>
      </c>
      <c r="L20" s="18">
        <v>39173009</v>
      </c>
      <c r="M20" s="18">
        <v>39173009</v>
      </c>
      <c r="N20" s="18">
        <v>20.48</v>
      </c>
      <c r="O20" s="18" t="s">
        <v>245</v>
      </c>
      <c r="P20" s="18" t="s">
        <v>153</v>
      </c>
      <c r="Q20" s="18"/>
      <c r="R20" s="18"/>
    </row>
    <row r="21" spans="1:18" x14ac:dyDescent="0.25">
      <c r="A21" s="16"/>
      <c r="B21" s="16" t="s">
        <v>109</v>
      </c>
      <c r="C21" s="16" t="s">
        <v>6</v>
      </c>
      <c r="D21" s="18" t="s">
        <v>142</v>
      </c>
      <c r="E21" s="18" t="s">
        <v>56</v>
      </c>
      <c r="F21" s="18" t="s">
        <v>199</v>
      </c>
      <c r="G21" s="18" t="s">
        <v>139</v>
      </c>
      <c r="H21" s="18" t="s">
        <v>110</v>
      </c>
      <c r="I21" s="18" t="s">
        <v>58</v>
      </c>
      <c r="J21" s="18">
        <v>303</v>
      </c>
      <c r="K21" s="18">
        <v>40655841</v>
      </c>
      <c r="L21" s="18">
        <v>40669738</v>
      </c>
      <c r="M21" s="18">
        <v>40669738</v>
      </c>
      <c r="N21" s="18">
        <v>41.05</v>
      </c>
      <c r="O21" s="18"/>
      <c r="P21" s="18" t="s">
        <v>149</v>
      </c>
      <c r="Q21" s="18"/>
      <c r="R21" s="18"/>
    </row>
    <row r="22" spans="1:18" x14ac:dyDescent="0.25">
      <c r="A22" s="16"/>
      <c r="B22" s="16" t="s">
        <v>107</v>
      </c>
      <c r="C22" s="16" t="s">
        <v>6</v>
      </c>
      <c r="D22" s="18" t="s">
        <v>401</v>
      </c>
      <c r="E22" s="18" t="s">
        <v>56</v>
      </c>
      <c r="F22" s="18" t="s">
        <v>93</v>
      </c>
      <c r="G22" s="18" t="s">
        <v>138</v>
      </c>
      <c r="H22" s="18" t="s">
        <v>108</v>
      </c>
      <c r="I22" s="18" t="s">
        <v>58</v>
      </c>
      <c r="J22" s="18">
        <v>592</v>
      </c>
      <c r="K22" s="18">
        <v>1077815444</v>
      </c>
      <c r="L22" s="18">
        <v>1077816036</v>
      </c>
      <c r="M22" s="18">
        <v>0</v>
      </c>
      <c r="N22" s="18">
        <v>13.62</v>
      </c>
      <c r="O22" s="18" t="s">
        <v>402</v>
      </c>
      <c r="P22" s="18" t="s">
        <v>403</v>
      </c>
      <c r="Q22" s="18"/>
      <c r="R22" s="18"/>
    </row>
    <row r="23" spans="1:18" x14ac:dyDescent="0.25">
      <c r="A23" s="16"/>
      <c r="B23" s="16" t="s">
        <v>41</v>
      </c>
      <c r="C23" s="16" t="s">
        <v>6</v>
      </c>
      <c r="D23" s="18" t="s">
        <v>123</v>
      </c>
      <c r="E23" s="18" t="s">
        <v>81</v>
      </c>
      <c r="F23" s="18" t="s">
        <v>285</v>
      </c>
      <c r="G23" s="18" t="s">
        <v>138</v>
      </c>
      <c r="H23" s="18" t="s">
        <v>106</v>
      </c>
      <c r="I23" s="18" t="s">
        <v>58</v>
      </c>
      <c r="J23" s="18">
        <v>0</v>
      </c>
      <c r="K23" s="18">
        <v>46040168</v>
      </c>
      <c r="L23" s="18">
        <v>46040168</v>
      </c>
      <c r="M23" s="18">
        <v>0</v>
      </c>
      <c r="N23" s="18">
        <v>17.88</v>
      </c>
      <c r="O23" s="18" t="s">
        <v>245</v>
      </c>
      <c r="P23" s="18" t="s">
        <v>152</v>
      </c>
      <c r="Q23" s="18"/>
      <c r="R23" s="18"/>
    </row>
    <row r="24" spans="1:18" x14ac:dyDescent="0.25">
      <c r="A24" s="16"/>
      <c r="B24" s="16" t="s">
        <v>43</v>
      </c>
      <c r="C24" s="16" t="s">
        <v>6</v>
      </c>
      <c r="D24" s="18" t="s">
        <v>282</v>
      </c>
      <c r="E24" s="18" t="s">
        <v>81</v>
      </c>
      <c r="F24" s="18" t="s">
        <v>285</v>
      </c>
      <c r="G24" s="18" t="s">
        <v>139</v>
      </c>
      <c r="H24" s="18">
        <v>10</v>
      </c>
      <c r="I24" s="18" t="s">
        <v>58</v>
      </c>
      <c r="J24" s="18">
        <v>0</v>
      </c>
      <c r="K24" s="18">
        <v>41190761</v>
      </c>
      <c r="L24" s="18">
        <v>41200413</v>
      </c>
      <c r="M24" s="18">
        <v>41200413</v>
      </c>
      <c r="N24" s="18">
        <v>17.25</v>
      </c>
      <c r="O24" s="18" t="s">
        <v>320</v>
      </c>
      <c r="P24" s="18" t="s">
        <v>154</v>
      </c>
      <c r="Q24" s="18"/>
      <c r="R24" s="18"/>
    </row>
    <row r="25" spans="1:18" x14ac:dyDescent="0.25">
      <c r="A25" s="16"/>
      <c r="B25" s="16" t="s">
        <v>5</v>
      </c>
      <c r="C25" s="16" t="s">
        <v>6</v>
      </c>
      <c r="D25" s="18" t="s">
        <v>283</v>
      </c>
      <c r="E25" s="18" t="s">
        <v>60</v>
      </c>
      <c r="F25" s="18" t="s">
        <v>285</v>
      </c>
      <c r="G25" s="18" t="s">
        <v>139</v>
      </c>
      <c r="H25" s="18">
        <v>11</v>
      </c>
      <c r="I25" s="18" t="s">
        <v>58</v>
      </c>
      <c r="J25" s="18">
        <v>0</v>
      </c>
      <c r="K25" s="18">
        <v>43475698</v>
      </c>
      <c r="L25" s="18">
        <v>43490616</v>
      </c>
      <c r="M25" s="18">
        <v>43490616</v>
      </c>
      <c r="N25" s="18">
        <v>16.45</v>
      </c>
      <c r="O25" s="18" t="s">
        <v>245</v>
      </c>
      <c r="P25" s="18" t="s">
        <v>153</v>
      </c>
      <c r="Q25" s="18"/>
      <c r="R25" s="18"/>
    </row>
    <row r="26" spans="1:18" x14ac:dyDescent="0.25">
      <c r="A26" s="16"/>
      <c r="B26" s="16" t="s">
        <v>9</v>
      </c>
      <c r="C26" s="16" t="s">
        <v>6</v>
      </c>
      <c r="D26" s="18" t="s">
        <v>189</v>
      </c>
      <c r="E26" s="18" t="s">
        <v>360</v>
      </c>
      <c r="F26" s="18" t="s">
        <v>276</v>
      </c>
      <c r="G26" s="18" t="s">
        <v>138</v>
      </c>
      <c r="H26" s="18">
        <v>12</v>
      </c>
      <c r="I26" s="18" t="s">
        <v>58</v>
      </c>
      <c r="J26" s="18">
        <v>0</v>
      </c>
      <c r="K26" s="18">
        <v>43108947</v>
      </c>
      <c r="L26" s="18">
        <v>43108947</v>
      </c>
      <c r="M26" s="18">
        <v>0</v>
      </c>
      <c r="N26" s="18">
        <v>23.18</v>
      </c>
      <c r="O26" s="18" t="s">
        <v>245</v>
      </c>
      <c r="P26" s="18" t="s">
        <v>153</v>
      </c>
      <c r="Q26" s="18"/>
      <c r="R26" s="18"/>
    </row>
    <row r="27" spans="1:18" x14ac:dyDescent="0.25">
      <c r="A27" s="16"/>
      <c r="B27" s="16" t="s">
        <v>10</v>
      </c>
      <c r="C27" s="16" t="s">
        <v>6</v>
      </c>
      <c r="D27" s="18" t="s">
        <v>263</v>
      </c>
      <c r="E27" s="18" t="s">
        <v>361</v>
      </c>
      <c r="F27" s="18" t="s">
        <v>285</v>
      </c>
      <c r="G27" s="18" t="s">
        <v>139</v>
      </c>
      <c r="H27" s="18">
        <v>13</v>
      </c>
      <c r="I27" s="18" t="s">
        <v>58</v>
      </c>
      <c r="J27" s="18">
        <v>0</v>
      </c>
      <c r="K27" s="18">
        <v>19939112</v>
      </c>
      <c r="L27" s="18">
        <v>19939765</v>
      </c>
      <c r="M27" s="18">
        <v>19939765</v>
      </c>
      <c r="N27" s="18">
        <v>16.260000000000002</v>
      </c>
      <c r="O27" s="18"/>
      <c r="P27" s="18" t="s">
        <v>151</v>
      </c>
      <c r="Q27" s="18"/>
      <c r="R27" s="18"/>
    </row>
    <row r="28" spans="1:18" x14ac:dyDescent="0.25">
      <c r="A28" s="16"/>
      <c r="B28" s="16" t="s">
        <v>11</v>
      </c>
      <c r="C28" s="16" t="s">
        <v>6</v>
      </c>
      <c r="D28" s="18" t="s">
        <v>205</v>
      </c>
      <c r="E28" s="18" t="s">
        <v>60</v>
      </c>
      <c r="F28" s="18" t="s">
        <v>93</v>
      </c>
      <c r="G28" s="18" t="s">
        <v>139</v>
      </c>
      <c r="H28" s="18">
        <v>14</v>
      </c>
      <c r="I28" s="18" t="s">
        <v>58</v>
      </c>
      <c r="J28" s="18">
        <v>1588</v>
      </c>
      <c r="K28" s="18">
        <v>35516401</v>
      </c>
      <c r="L28" s="18">
        <v>35569060</v>
      </c>
      <c r="M28" s="18">
        <v>35569060</v>
      </c>
      <c r="N28" s="18">
        <v>11.39</v>
      </c>
      <c r="O28" s="18" t="s">
        <v>274</v>
      </c>
      <c r="P28" s="18" t="s">
        <v>147</v>
      </c>
      <c r="Q28" s="18"/>
      <c r="R28" s="18"/>
    </row>
    <row r="29" spans="1:18" x14ac:dyDescent="0.25">
      <c r="A29" s="16"/>
      <c r="B29" s="16" t="s">
        <v>12</v>
      </c>
      <c r="C29" s="16" t="s">
        <v>6</v>
      </c>
      <c r="D29" s="18" t="s">
        <v>286</v>
      </c>
      <c r="E29" s="18" t="s">
        <v>60</v>
      </c>
      <c r="F29" s="18" t="s">
        <v>285</v>
      </c>
      <c r="G29" s="18" t="s">
        <v>139</v>
      </c>
      <c r="H29" s="18">
        <v>15</v>
      </c>
      <c r="I29" s="18" t="s">
        <v>58</v>
      </c>
      <c r="J29" s="18">
        <v>1455</v>
      </c>
      <c r="K29" s="18">
        <v>41049526</v>
      </c>
      <c r="L29" s="18">
        <v>41097528</v>
      </c>
      <c r="M29" s="18">
        <v>41097528</v>
      </c>
      <c r="N29" s="18">
        <v>11.95</v>
      </c>
      <c r="O29" s="18" t="s">
        <v>380</v>
      </c>
      <c r="P29" s="18" t="s">
        <v>154</v>
      </c>
      <c r="Q29" s="18"/>
      <c r="R29" s="18"/>
    </row>
    <row r="30" spans="1:18" x14ac:dyDescent="0.25">
      <c r="A30" s="16"/>
      <c r="B30" s="16" t="s">
        <v>105</v>
      </c>
      <c r="C30" s="16" t="s">
        <v>6</v>
      </c>
      <c r="D30" s="18" t="s">
        <v>267</v>
      </c>
      <c r="E30" s="18" t="s">
        <v>60</v>
      </c>
      <c r="F30" s="18" t="s">
        <v>93</v>
      </c>
      <c r="G30" s="18" t="s">
        <v>138</v>
      </c>
      <c r="H30" s="18">
        <v>16</v>
      </c>
      <c r="I30" s="18" t="s">
        <v>58</v>
      </c>
      <c r="J30" s="18">
        <v>0</v>
      </c>
      <c r="K30" s="18">
        <v>40302194</v>
      </c>
      <c r="L30" s="18">
        <v>40302194</v>
      </c>
      <c r="M30" s="18">
        <v>0</v>
      </c>
      <c r="N30" s="18">
        <v>12.39</v>
      </c>
      <c r="O30" s="18" t="s">
        <v>274</v>
      </c>
      <c r="P30" s="18" t="s">
        <v>147</v>
      </c>
      <c r="Q30" s="18"/>
      <c r="R30" s="18"/>
    </row>
    <row r="31" spans="1:18" x14ac:dyDescent="0.25">
      <c r="A31" s="16"/>
      <c r="B31" s="16" t="s">
        <v>104</v>
      </c>
      <c r="C31" s="16" t="s">
        <v>6</v>
      </c>
      <c r="D31" s="18" t="s">
        <v>143</v>
      </c>
      <c r="E31" s="18" t="s">
        <v>60</v>
      </c>
      <c r="F31" s="18" t="s">
        <v>285</v>
      </c>
      <c r="G31" s="18" t="s">
        <v>138</v>
      </c>
      <c r="H31" s="18">
        <v>17</v>
      </c>
      <c r="I31" s="18" t="s">
        <v>58</v>
      </c>
      <c r="J31" s="18">
        <v>0</v>
      </c>
      <c r="K31" s="18">
        <v>551488</v>
      </c>
      <c r="L31" s="18">
        <v>551488</v>
      </c>
      <c r="M31" s="18">
        <v>0</v>
      </c>
      <c r="N31" s="18">
        <v>13.96</v>
      </c>
      <c r="O31" s="18" t="s">
        <v>404</v>
      </c>
      <c r="P31" s="18" t="s">
        <v>154</v>
      </c>
      <c r="Q31" s="18"/>
      <c r="R31" s="18"/>
    </row>
    <row r="32" spans="1:18" x14ac:dyDescent="0.25">
      <c r="A32" s="16"/>
      <c r="B32" s="16" t="s">
        <v>13</v>
      </c>
      <c r="C32" s="16" t="s">
        <v>6</v>
      </c>
      <c r="D32" s="18" t="s">
        <v>350</v>
      </c>
      <c r="E32" s="18" t="s">
        <v>60</v>
      </c>
      <c r="F32" s="18" t="s">
        <v>93</v>
      </c>
      <c r="G32" s="18" t="s">
        <v>138</v>
      </c>
      <c r="H32" s="18">
        <v>18</v>
      </c>
      <c r="I32" s="18" t="s">
        <v>58</v>
      </c>
      <c r="J32" s="18">
        <v>0</v>
      </c>
      <c r="K32" s="18">
        <v>259665</v>
      </c>
      <c r="L32" s="18">
        <v>259665</v>
      </c>
      <c r="M32" s="18">
        <v>0</v>
      </c>
      <c r="N32" s="18">
        <v>12.4</v>
      </c>
      <c r="O32" s="18" t="s">
        <v>274</v>
      </c>
      <c r="P32" s="18" t="s">
        <v>147</v>
      </c>
      <c r="Q32" s="18"/>
      <c r="R32" s="18"/>
    </row>
    <row r="33" spans="1:18" x14ac:dyDescent="0.25">
      <c r="A33" s="16"/>
      <c r="B33" s="16" t="s">
        <v>103</v>
      </c>
      <c r="C33" s="16" t="s">
        <v>6</v>
      </c>
      <c r="D33" s="18" t="s">
        <v>179</v>
      </c>
      <c r="E33" s="18" t="s">
        <v>81</v>
      </c>
      <c r="F33" s="18" t="s">
        <v>90</v>
      </c>
      <c r="G33" s="18" t="s">
        <v>138</v>
      </c>
      <c r="H33" s="18">
        <v>19</v>
      </c>
      <c r="I33" s="18" t="s">
        <v>65</v>
      </c>
      <c r="J33" s="18">
        <v>0</v>
      </c>
      <c r="K33" s="18">
        <v>19282</v>
      </c>
      <c r="L33" s="18">
        <v>19282</v>
      </c>
      <c r="M33" s="18">
        <v>0</v>
      </c>
      <c r="N33" s="18">
        <v>41.9</v>
      </c>
      <c r="O33" s="18"/>
      <c r="P33" s="18" t="s">
        <v>187</v>
      </c>
      <c r="Q33" s="18"/>
      <c r="R33" s="18"/>
    </row>
    <row r="34" spans="1:18" x14ac:dyDescent="0.25">
      <c r="A34" s="16"/>
      <c r="B34" s="16" t="s">
        <v>101</v>
      </c>
      <c r="C34" s="16" t="s">
        <v>6</v>
      </c>
      <c r="D34" s="18" t="s">
        <v>405</v>
      </c>
      <c r="E34" s="18" t="s">
        <v>81</v>
      </c>
      <c r="F34" s="18" t="s">
        <v>285</v>
      </c>
      <c r="G34" s="18" t="s">
        <v>139</v>
      </c>
      <c r="H34" s="18" t="s">
        <v>102</v>
      </c>
      <c r="I34" s="18" t="s">
        <v>58</v>
      </c>
      <c r="J34" s="18">
        <v>47</v>
      </c>
      <c r="K34" s="18">
        <v>44329231</v>
      </c>
      <c r="L34" s="18">
        <v>44356607</v>
      </c>
      <c r="M34" s="18">
        <v>44356607</v>
      </c>
      <c r="N34" s="18">
        <v>19.600000000000001</v>
      </c>
      <c r="O34" s="18"/>
      <c r="P34" s="18" t="s">
        <v>151</v>
      </c>
      <c r="Q34" s="18"/>
      <c r="R34" s="18"/>
    </row>
    <row r="35" spans="1:18" x14ac:dyDescent="0.25">
      <c r="A35" s="16"/>
      <c r="B35" s="16" t="s">
        <v>99</v>
      </c>
      <c r="C35" s="16" t="s">
        <v>6</v>
      </c>
      <c r="D35" s="18" t="s">
        <v>249</v>
      </c>
      <c r="E35" s="18" t="s">
        <v>406</v>
      </c>
      <c r="F35" s="18" t="s">
        <v>90</v>
      </c>
      <c r="G35" s="18" t="s">
        <v>138</v>
      </c>
      <c r="H35" s="18" t="s">
        <v>100</v>
      </c>
      <c r="I35" s="18"/>
      <c r="J35" s="18">
        <v>0</v>
      </c>
      <c r="K35" s="18">
        <v>22</v>
      </c>
      <c r="L35" s="18">
        <v>22</v>
      </c>
      <c r="M35" s="18">
        <v>0</v>
      </c>
      <c r="N35" s="18">
        <v>41.83</v>
      </c>
      <c r="O35" s="18"/>
      <c r="P35" s="18" t="s">
        <v>152</v>
      </c>
      <c r="Q35" s="18"/>
      <c r="R35" s="18"/>
    </row>
    <row r="36" spans="1:18" x14ac:dyDescent="0.25">
      <c r="A36" s="16"/>
      <c r="B36" s="16" t="s">
        <v>97</v>
      </c>
      <c r="C36" s="16" t="s">
        <v>6</v>
      </c>
      <c r="D36" s="18" t="s">
        <v>288</v>
      </c>
      <c r="E36" s="18" t="s">
        <v>352</v>
      </c>
      <c r="F36" s="18" t="s">
        <v>285</v>
      </c>
      <c r="G36" s="18" t="s">
        <v>138</v>
      </c>
      <c r="H36" s="18" t="s">
        <v>98</v>
      </c>
      <c r="I36" s="18" t="s">
        <v>58</v>
      </c>
      <c r="J36" s="18">
        <v>0</v>
      </c>
      <c r="K36" s="18">
        <v>33735183</v>
      </c>
      <c r="L36" s="18">
        <v>33735183</v>
      </c>
      <c r="M36" s="18">
        <v>0</v>
      </c>
      <c r="N36" s="18">
        <v>22.49</v>
      </c>
      <c r="O36" s="18"/>
      <c r="P36" s="18" t="s">
        <v>148</v>
      </c>
      <c r="Q36" s="18"/>
      <c r="R36" s="18"/>
    </row>
    <row r="37" spans="1:18" x14ac:dyDescent="0.25">
      <c r="A37" s="16"/>
      <c r="B37" s="16" t="s">
        <v>95</v>
      </c>
      <c r="C37" s="16" t="s">
        <v>6</v>
      </c>
      <c r="D37" s="18" t="s">
        <v>181</v>
      </c>
      <c r="E37" s="18" t="s">
        <v>81</v>
      </c>
      <c r="F37" s="18" t="s">
        <v>90</v>
      </c>
      <c r="G37" s="18" t="s">
        <v>139</v>
      </c>
      <c r="H37" s="18" t="s">
        <v>96</v>
      </c>
      <c r="I37" s="18" t="s">
        <v>65</v>
      </c>
      <c r="J37" s="18">
        <v>888</v>
      </c>
      <c r="K37" s="18">
        <v>24897356</v>
      </c>
      <c r="L37" s="18">
        <v>24921326</v>
      </c>
      <c r="M37" s="18">
        <v>24921326</v>
      </c>
      <c r="N37" s="18">
        <v>20.38</v>
      </c>
      <c r="O37" s="18" t="s">
        <v>245</v>
      </c>
      <c r="P37" s="18" t="s">
        <v>152</v>
      </c>
      <c r="Q37" s="18"/>
      <c r="R37" s="18"/>
    </row>
    <row r="38" spans="1:18" x14ac:dyDescent="0.25">
      <c r="A38" s="16"/>
      <c r="B38" s="16" t="s">
        <v>14</v>
      </c>
      <c r="C38" s="16" t="s">
        <v>6</v>
      </c>
      <c r="D38" s="18" t="s">
        <v>289</v>
      </c>
      <c r="E38" s="18" t="s">
        <v>352</v>
      </c>
      <c r="F38" s="18" t="s">
        <v>285</v>
      </c>
      <c r="G38" s="18" t="s">
        <v>139</v>
      </c>
      <c r="H38" s="18" t="s">
        <v>94</v>
      </c>
      <c r="I38" s="18" t="s">
        <v>58</v>
      </c>
      <c r="J38" s="18">
        <v>702</v>
      </c>
      <c r="K38" s="18">
        <v>1235140</v>
      </c>
      <c r="L38" s="18">
        <v>1257426</v>
      </c>
      <c r="M38" s="18">
        <v>1257426</v>
      </c>
      <c r="N38" s="18">
        <v>25.78</v>
      </c>
      <c r="O38" s="18" t="s">
        <v>341</v>
      </c>
      <c r="P38" s="18" t="s">
        <v>151</v>
      </c>
      <c r="Q38" s="18"/>
      <c r="R38" s="18"/>
    </row>
    <row r="39" spans="1:18" x14ac:dyDescent="0.25">
      <c r="A39" s="16"/>
      <c r="B39" s="16" t="s">
        <v>91</v>
      </c>
      <c r="C39" s="16" t="s">
        <v>6</v>
      </c>
      <c r="D39" s="18" t="s">
        <v>180</v>
      </c>
      <c r="E39" s="18" t="s">
        <v>81</v>
      </c>
      <c r="F39" s="18" t="s">
        <v>90</v>
      </c>
      <c r="G39" s="18" t="s">
        <v>138</v>
      </c>
      <c r="H39" s="18" t="s">
        <v>92</v>
      </c>
      <c r="I39" s="18"/>
      <c r="J39" s="18">
        <v>0</v>
      </c>
      <c r="K39" s="18">
        <v>25</v>
      </c>
      <c r="L39" s="18">
        <v>25</v>
      </c>
      <c r="M39" s="18">
        <v>0</v>
      </c>
      <c r="N39" s="18">
        <v>16.73</v>
      </c>
      <c r="O39" s="18" t="s">
        <v>245</v>
      </c>
      <c r="P39" s="18" t="s">
        <v>148</v>
      </c>
      <c r="Q39" s="18"/>
      <c r="R39" s="18"/>
    </row>
    <row r="40" spans="1:18" x14ac:dyDescent="0.25">
      <c r="A40" s="16"/>
      <c r="B40" s="16" t="s">
        <v>15</v>
      </c>
      <c r="C40" s="16" t="s">
        <v>6</v>
      </c>
      <c r="D40" s="18" t="s">
        <v>140</v>
      </c>
      <c r="E40" s="18" t="s">
        <v>81</v>
      </c>
      <c r="F40" s="18" t="s">
        <v>285</v>
      </c>
      <c r="G40" s="18" t="s">
        <v>138</v>
      </c>
      <c r="H40" s="18">
        <v>20</v>
      </c>
      <c r="I40" s="18" t="s">
        <v>58</v>
      </c>
      <c r="J40" s="18">
        <v>0</v>
      </c>
      <c r="K40" s="18">
        <v>40220759</v>
      </c>
      <c r="L40" s="18">
        <v>40220759</v>
      </c>
      <c r="M40" s="18">
        <v>0</v>
      </c>
      <c r="N40" s="18">
        <v>20.190000000000001</v>
      </c>
      <c r="O40" s="18"/>
      <c r="P40" s="18" t="s">
        <v>148</v>
      </c>
      <c r="Q40" s="18"/>
      <c r="R40" s="18"/>
    </row>
    <row r="41" spans="1:18" x14ac:dyDescent="0.25">
      <c r="A41" s="16"/>
      <c r="B41" s="16" t="s">
        <v>89</v>
      </c>
      <c r="C41" s="16" t="s">
        <v>6</v>
      </c>
      <c r="D41" s="18" t="s">
        <v>176</v>
      </c>
      <c r="E41" s="18" t="s">
        <v>398</v>
      </c>
      <c r="F41" s="18" t="s">
        <v>90</v>
      </c>
      <c r="G41" s="18" t="s">
        <v>138</v>
      </c>
      <c r="H41" s="18">
        <v>21</v>
      </c>
      <c r="I41" s="18" t="s">
        <v>65</v>
      </c>
      <c r="J41" s="18">
        <v>0</v>
      </c>
      <c r="K41" s="18">
        <v>35238916</v>
      </c>
      <c r="L41" s="18">
        <v>35238916</v>
      </c>
      <c r="M41" s="18">
        <v>0</v>
      </c>
      <c r="N41" s="18">
        <v>17.670000000000002</v>
      </c>
      <c r="O41" s="18" t="s">
        <v>301</v>
      </c>
      <c r="P41" s="18" t="s">
        <v>186</v>
      </c>
      <c r="Q41" s="18"/>
      <c r="R41" s="18"/>
    </row>
    <row r="42" spans="1:18" x14ac:dyDescent="0.25">
      <c r="A42" s="16"/>
      <c r="B42" s="16" t="s">
        <v>16</v>
      </c>
      <c r="C42" s="16" t="s">
        <v>6</v>
      </c>
      <c r="D42" s="18" t="s">
        <v>407</v>
      </c>
      <c r="E42" s="18" t="s">
        <v>408</v>
      </c>
      <c r="F42" s="18" t="s">
        <v>253</v>
      </c>
      <c r="G42" s="18" t="s">
        <v>139</v>
      </c>
      <c r="H42" s="18">
        <v>22</v>
      </c>
      <c r="I42" s="18" t="s">
        <v>58</v>
      </c>
      <c r="J42" s="18">
        <v>733</v>
      </c>
      <c r="K42" s="18">
        <v>43531085</v>
      </c>
      <c r="L42" s="18">
        <v>43546495</v>
      </c>
      <c r="M42" s="18">
        <v>43546495</v>
      </c>
      <c r="N42" s="18">
        <v>21.09</v>
      </c>
      <c r="O42" s="18"/>
      <c r="P42" s="18" t="s">
        <v>151</v>
      </c>
      <c r="Q42" s="18"/>
      <c r="R42" s="18"/>
    </row>
    <row r="43" spans="1:18" x14ac:dyDescent="0.25">
      <c r="A43" s="16"/>
      <c r="B43" s="16" t="s">
        <v>88</v>
      </c>
      <c r="C43" s="16" t="s">
        <v>6</v>
      </c>
      <c r="D43" s="18" t="s">
        <v>311</v>
      </c>
      <c r="E43" s="18" t="s">
        <v>60</v>
      </c>
      <c r="F43" s="18" t="s">
        <v>253</v>
      </c>
      <c r="G43" s="18" t="s">
        <v>138</v>
      </c>
      <c r="H43" s="18">
        <v>23</v>
      </c>
      <c r="I43" s="18"/>
      <c r="J43" s="18">
        <v>538239189</v>
      </c>
      <c r="K43" s="18">
        <v>538239773</v>
      </c>
      <c r="L43" s="18">
        <v>538239773</v>
      </c>
      <c r="M43" s="18">
        <v>0</v>
      </c>
      <c r="N43" s="18">
        <v>41.59</v>
      </c>
      <c r="O43" s="18"/>
      <c r="P43" s="18" t="s">
        <v>154</v>
      </c>
      <c r="Q43" s="18"/>
      <c r="R43" s="18"/>
    </row>
    <row r="44" spans="1:18" x14ac:dyDescent="0.25">
      <c r="A44" s="16"/>
      <c r="B44" s="16" t="s">
        <v>17</v>
      </c>
      <c r="C44" s="16" t="s">
        <v>6</v>
      </c>
      <c r="D44" s="18" t="s">
        <v>272</v>
      </c>
      <c r="E44" s="18" t="s">
        <v>275</v>
      </c>
      <c r="F44" s="18" t="s">
        <v>276</v>
      </c>
      <c r="G44" s="18" t="s">
        <v>139</v>
      </c>
      <c r="H44" s="18">
        <v>24</v>
      </c>
      <c r="I44" s="18" t="s">
        <v>58</v>
      </c>
      <c r="J44" s="18">
        <v>881</v>
      </c>
      <c r="K44" s="18">
        <v>41051172</v>
      </c>
      <c r="L44" s="18">
        <v>41080044</v>
      </c>
      <c r="M44" s="18">
        <v>41080044</v>
      </c>
      <c r="N44" s="18">
        <v>20.55</v>
      </c>
      <c r="O44" s="18"/>
      <c r="P44" s="18" t="s">
        <v>151</v>
      </c>
      <c r="Q44" s="18"/>
      <c r="R44" s="18"/>
    </row>
    <row r="45" spans="1:18" x14ac:dyDescent="0.25">
      <c r="A45" s="16"/>
      <c r="B45" s="16" t="s">
        <v>19</v>
      </c>
      <c r="C45" s="16" t="s">
        <v>6</v>
      </c>
      <c r="D45" s="18" t="s">
        <v>343</v>
      </c>
      <c r="E45" s="18" t="s">
        <v>81</v>
      </c>
      <c r="F45" s="18" t="s">
        <v>253</v>
      </c>
      <c r="G45" s="18" t="s">
        <v>138</v>
      </c>
      <c r="H45" s="18">
        <v>25</v>
      </c>
      <c r="I45" s="18" t="s">
        <v>65</v>
      </c>
      <c r="J45" s="18">
        <v>0</v>
      </c>
      <c r="K45" s="18">
        <v>42395238</v>
      </c>
      <c r="L45" s="18">
        <v>42395238</v>
      </c>
      <c r="M45" s="18">
        <v>0</v>
      </c>
      <c r="N45" s="18">
        <v>41.06</v>
      </c>
      <c r="O45" s="18"/>
      <c r="P45" s="18" t="s">
        <v>151</v>
      </c>
      <c r="Q45" s="18"/>
      <c r="R45" s="18"/>
    </row>
    <row r="46" spans="1:18" x14ac:dyDescent="0.25">
      <c r="A46" s="16"/>
      <c r="B46" s="16" t="s">
        <v>18</v>
      </c>
      <c r="C46" s="16" t="s">
        <v>6</v>
      </c>
      <c r="D46" s="18" t="s">
        <v>268</v>
      </c>
      <c r="E46" s="18" t="s">
        <v>408</v>
      </c>
      <c r="F46" s="18" t="s">
        <v>253</v>
      </c>
      <c r="G46" s="18" t="s">
        <v>139</v>
      </c>
      <c r="H46" s="18">
        <v>26</v>
      </c>
      <c r="I46" s="18" t="s">
        <v>58</v>
      </c>
      <c r="J46" s="18">
        <v>958</v>
      </c>
      <c r="K46" s="18">
        <v>1152079438</v>
      </c>
      <c r="L46" s="18">
        <v>1152108383</v>
      </c>
      <c r="M46" s="18">
        <v>1152108383</v>
      </c>
      <c r="N46" s="18">
        <v>18.89</v>
      </c>
      <c r="O46" s="18"/>
      <c r="P46" s="18" t="s">
        <v>148</v>
      </c>
      <c r="Q46" s="18"/>
      <c r="R46" s="18"/>
    </row>
    <row r="47" spans="1:18" x14ac:dyDescent="0.25">
      <c r="A47" s="16"/>
      <c r="B47" s="16" t="s">
        <v>87</v>
      </c>
      <c r="C47" s="16" t="s">
        <v>6</v>
      </c>
      <c r="D47" s="18"/>
      <c r="E47" s="18"/>
      <c r="F47" s="18"/>
      <c r="G47" s="18" t="s">
        <v>138</v>
      </c>
      <c r="H47" s="18">
        <v>27</v>
      </c>
      <c r="I47" s="18"/>
      <c r="J47" s="18">
        <v>0</v>
      </c>
      <c r="K47" s="18">
        <v>23</v>
      </c>
      <c r="L47" s="18">
        <v>23</v>
      </c>
      <c r="M47" s="18">
        <v>0</v>
      </c>
      <c r="N47" s="18">
        <v>41146219</v>
      </c>
      <c r="O47" s="18"/>
      <c r="P47" s="18"/>
      <c r="Q47" s="18"/>
      <c r="R47" s="18"/>
    </row>
    <row r="48" spans="1:18" x14ac:dyDescent="0.25">
      <c r="A48" s="16"/>
      <c r="B48" s="16" t="s">
        <v>42</v>
      </c>
      <c r="C48" s="16" t="s">
        <v>6</v>
      </c>
      <c r="D48" s="18" t="s">
        <v>246</v>
      </c>
      <c r="E48" s="18" t="s">
        <v>81</v>
      </c>
      <c r="F48" s="18" t="s">
        <v>285</v>
      </c>
      <c r="G48" s="18" t="s">
        <v>139</v>
      </c>
      <c r="H48" s="18">
        <v>28</v>
      </c>
      <c r="I48" s="18" t="s">
        <v>58</v>
      </c>
      <c r="J48" s="18">
        <v>401</v>
      </c>
      <c r="K48" s="18">
        <v>24380739</v>
      </c>
      <c r="L48" s="18">
        <v>24406786</v>
      </c>
      <c r="M48" s="18">
        <v>24406786</v>
      </c>
      <c r="N48" s="18">
        <v>20.79</v>
      </c>
      <c r="O48" s="18"/>
      <c r="P48" s="18" t="s">
        <v>148</v>
      </c>
      <c r="Q48" s="18"/>
      <c r="R48" s="18"/>
    </row>
    <row r="49" spans="1:18" x14ac:dyDescent="0.25">
      <c r="A49" s="16"/>
      <c r="B49" s="16" t="s">
        <v>86</v>
      </c>
      <c r="C49" s="16" t="s">
        <v>6</v>
      </c>
      <c r="D49" s="18" t="s">
        <v>271</v>
      </c>
      <c r="E49" s="18" t="s">
        <v>275</v>
      </c>
      <c r="F49" s="18" t="s">
        <v>276</v>
      </c>
      <c r="G49" s="18" t="s">
        <v>138</v>
      </c>
      <c r="H49" s="18">
        <v>29</v>
      </c>
      <c r="I49" s="18" t="s">
        <v>65</v>
      </c>
      <c r="J49" s="18">
        <v>0</v>
      </c>
      <c r="K49" s="18">
        <v>39944942</v>
      </c>
      <c r="L49" s="18">
        <v>39944942</v>
      </c>
      <c r="M49" s="18">
        <v>0</v>
      </c>
      <c r="N49" s="18">
        <v>41.92</v>
      </c>
      <c r="O49" s="18" t="s">
        <v>290</v>
      </c>
      <c r="P49" s="18" t="s">
        <v>152</v>
      </c>
      <c r="Q49" s="18"/>
      <c r="R49" s="18"/>
    </row>
    <row r="50" spans="1:18" x14ac:dyDescent="0.25">
      <c r="A50" s="16"/>
      <c r="B50" s="16" t="s">
        <v>38</v>
      </c>
      <c r="C50" s="16" t="s">
        <v>6</v>
      </c>
      <c r="D50" s="18" t="s">
        <v>141</v>
      </c>
      <c r="E50" s="18" t="s">
        <v>81</v>
      </c>
      <c r="F50" s="18" t="s">
        <v>285</v>
      </c>
      <c r="G50" s="18" t="s">
        <v>138</v>
      </c>
      <c r="H50" s="18" t="s">
        <v>85</v>
      </c>
      <c r="I50" s="18" t="s">
        <v>58</v>
      </c>
      <c r="J50" s="18">
        <v>-37082290</v>
      </c>
      <c r="K50" s="18">
        <v>37099463</v>
      </c>
      <c r="L50" s="18">
        <v>37099771</v>
      </c>
      <c r="M50" s="18">
        <v>0</v>
      </c>
      <c r="N50" s="18">
        <v>34.65</v>
      </c>
      <c r="O50" s="18"/>
      <c r="P50" s="18" t="s">
        <v>151</v>
      </c>
      <c r="Q50" s="18"/>
      <c r="R50" s="18"/>
    </row>
    <row r="51" spans="1:18" x14ac:dyDescent="0.25">
      <c r="A51" s="16"/>
      <c r="B51" s="16" t="s">
        <v>83</v>
      </c>
      <c r="C51" s="16" t="s">
        <v>6</v>
      </c>
      <c r="D51" s="18"/>
      <c r="E51" s="18"/>
      <c r="F51" s="18"/>
      <c r="G51" s="18" t="s">
        <v>138</v>
      </c>
      <c r="H51" s="18" t="s">
        <v>84</v>
      </c>
      <c r="I51" s="18"/>
      <c r="J51" s="18">
        <v>1664</v>
      </c>
      <c r="K51" s="18">
        <v>41387385</v>
      </c>
      <c r="L51" s="18">
        <v>41387385</v>
      </c>
      <c r="M51" s="18">
        <v>0</v>
      </c>
      <c r="N51" s="18">
        <v>41.36</v>
      </c>
      <c r="O51" s="18"/>
      <c r="P51" s="18"/>
      <c r="Q51" s="18"/>
      <c r="R51" s="18"/>
    </row>
    <row r="52" spans="1:18" x14ac:dyDescent="0.25">
      <c r="A52" s="16"/>
      <c r="B52" s="16" t="s">
        <v>20</v>
      </c>
      <c r="C52" s="16" t="s">
        <v>6</v>
      </c>
      <c r="D52" s="18" t="s">
        <v>351</v>
      </c>
      <c r="E52" s="18" t="s">
        <v>352</v>
      </c>
      <c r="F52" s="18" t="s">
        <v>285</v>
      </c>
      <c r="G52" s="18" t="s">
        <v>139</v>
      </c>
      <c r="H52" s="18" t="s">
        <v>82</v>
      </c>
      <c r="I52" s="18" t="s">
        <v>58</v>
      </c>
      <c r="J52" s="18">
        <v>480</v>
      </c>
      <c r="K52" s="18">
        <v>3180842</v>
      </c>
      <c r="L52" s="18">
        <v>3204522</v>
      </c>
      <c r="M52" s="18">
        <v>3204522</v>
      </c>
      <c r="N52" s="18">
        <v>22.89</v>
      </c>
      <c r="O52" s="18"/>
      <c r="P52" s="18" t="s">
        <v>151</v>
      </c>
      <c r="Q52" s="18"/>
      <c r="R52" s="18"/>
    </row>
    <row r="53" spans="1:18" x14ac:dyDescent="0.25">
      <c r="A53" s="16"/>
      <c r="B53" s="16" t="s">
        <v>21</v>
      </c>
      <c r="C53" s="16" t="s">
        <v>6</v>
      </c>
      <c r="D53" s="18" t="s">
        <v>291</v>
      </c>
      <c r="E53" s="18" t="s">
        <v>352</v>
      </c>
      <c r="F53" s="18" t="s">
        <v>285</v>
      </c>
      <c r="G53" s="18" t="s">
        <v>139</v>
      </c>
      <c r="H53" s="18" t="s">
        <v>80</v>
      </c>
      <c r="I53" s="18" t="s">
        <v>65</v>
      </c>
      <c r="J53" s="18">
        <v>838</v>
      </c>
      <c r="K53" s="18">
        <v>20479903</v>
      </c>
      <c r="L53" s="18">
        <v>20507405</v>
      </c>
      <c r="M53" s="18">
        <v>20507405</v>
      </c>
      <c r="N53" s="18">
        <v>21.09</v>
      </c>
      <c r="O53" s="18"/>
      <c r="P53" s="18" t="s">
        <v>152</v>
      </c>
      <c r="Q53" s="18"/>
      <c r="R53" s="18"/>
    </row>
    <row r="54" spans="1:18" x14ac:dyDescent="0.25">
      <c r="A54" s="16"/>
      <c r="B54" s="16" t="s">
        <v>22</v>
      </c>
      <c r="C54" s="16" t="s">
        <v>6</v>
      </c>
      <c r="D54" s="18" t="s">
        <v>353</v>
      </c>
      <c r="E54" s="18" t="s">
        <v>352</v>
      </c>
      <c r="F54" s="18" t="s">
        <v>285</v>
      </c>
      <c r="G54" s="18" t="s">
        <v>138</v>
      </c>
      <c r="H54" s="18" t="s">
        <v>79</v>
      </c>
      <c r="I54" s="18" t="s">
        <v>58</v>
      </c>
      <c r="J54" s="18">
        <v>4583</v>
      </c>
      <c r="K54" s="18">
        <v>1077815168</v>
      </c>
      <c r="L54" s="18">
        <v>1077816036</v>
      </c>
      <c r="M54" s="18">
        <v>0</v>
      </c>
      <c r="N54" s="18">
        <v>13.62</v>
      </c>
      <c r="O54" s="18"/>
      <c r="P54" s="18" t="s">
        <v>148</v>
      </c>
      <c r="Q54" s="18"/>
      <c r="R54" s="18"/>
    </row>
    <row r="55" spans="1:18" x14ac:dyDescent="0.25">
      <c r="A55" s="16"/>
      <c r="B55" s="16" t="s">
        <v>77</v>
      </c>
      <c r="C55" s="16" t="s">
        <v>6</v>
      </c>
      <c r="D55" s="18"/>
      <c r="E55" s="18"/>
      <c r="F55" s="18"/>
      <c r="G55" s="18" t="s">
        <v>138</v>
      </c>
      <c r="H55" s="18" t="s">
        <v>78</v>
      </c>
      <c r="I55" s="18"/>
      <c r="J55" s="18">
        <v>0</v>
      </c>
      <c r="K55" s="18">
        <v>1077688528</v>
      </c>
      <c r="L55" s="18">
        <v>1077688528</v>
      </c>
      <c r="M55" s="18">
        <v>0</v>
      </c>
      <c r="N55" s="18">
        <v>17.88</v>
      </c>
      <c r="O55" s="18"/>
      <c r="P55" s="18"/>
      <c r="Q55" s="18"/>
      <c r="R55" s="18"/>
    </row>
    <row r="56" spans="1:18" x14ac:dyDescent="0.25">
      <c r="A56" s="16"/>
      <c r="B56" s="16" t="s">
        <v>23</v>
      </c>
      <c r="C56" s="16" t="s">
        <v>6</v>
      </c>
      <c r="D56" s="18" t="s">
        <v>409</v>
      </c>
      <c r="E56" s="18" t="s">
        <v>352</v>
      </c>
      <c r="F56" s="18" t="s">
        <v>285</v>
      </c>
      <c r="G56" s="18" t="s">
        <v>138</v>
      </c>
      <c r="H56" s="18">
        <v>30</v>
      </c>
      <c r="I56" s="18" t="s">
        <v>58</v>
      </c>
      <c r="J56" s="18">
        <v>0</v>
      </c>
      <c r="K56" s="18">
        <v>1027805914</v>
      </c>
      <c r="L56" s="18">
        <v>1027805914</v>
      </c>
      <c r="M56" s="18">
        <v>0</v>
      </c>
      <c r="N56" s="18">
        <v>23.22</v>
      </c>
      <c r="O56" s="18"/>
      <c r="P56" s="18" t="s">
        <v>148</v>
      </c>
      <c r="Q56" s="18"/>
      <c r="R56" s="18"/>
    </row>
    <row r="57" spans="1:18" x14ac:dyDescent="0.25">
      <c r="A57" s="16"/>
      <c r="B57" s="16" t="s">
        <v>24</v>
      </c>
      <c r="C57" s="16" t="s">
        <v>6</v>
      </c>
      <c r="D57" s="18" t="s">
        <v>344</v>
      </c>
      <c r="E57" s="18" t="s">
        <v>379</v>
      </c>
      <c r="F57" s="18" t="s">
        <v>253</v>
      </c>
      <c r="G57" s="18" t="s">
        <v>139</v>
      </c>
      <c r="H57" s="18">
        <v>31</v>
      </c>
      <c r="I57" s="18" t="s">
        <v>65</v>
      </c>
      <c r="J57" s="18">
        <v>940</v>
      </c>
      <c r="K57" s="18">
        <v>31121321</v>
      </c>
      <c r="L57" s="18">
        <v>31152474</v>
      </c>
      <c r="M57" s="18">
        <v>31152474</v>
      </c>
      <c r="N57" s="18">
        <v>18.36</v>
      </c>
      <c r="O57" s="18" t="s">
        <v>363</v>
      </c>
      <c r="P57" s="18" t="s">
        <v>152</v>
      </c>
      <c r="Q57" s="18"/>
      <c r="R57" s="18"/>
    </row>
    <row r="58" spans="1:18" x14ac:dyDescent="0.25">
      <c r="A58" s="16"/>
      <c r="B58" s="16" t="s">
        <v>75</v>
      </c>
      <c r="C58" s="16" t="s">
        <v>6</v>
      </c>
      <c r="D58" s="18" t="s">
        <v>410</v>
      </c>
      <c r="E58" s="18" t="s">
        <v>202</v>
      </c>
      <c r="F58" s="18" t="s">
        <v>346</v>
      </c>
      <c r="G58" s="18" t="s">
        <v>138</v>
      </c>
      <c r="H58" s="18">
        <v>32</v>
      </c>
      <c r="I58" s="18" t="s">
        <v>58</v>
      </c>
      <c r="J58" s="18">
        <v>0</v>
      </c>
      <c r="K58" s="18">
        <v>20</v>
      </c>
      <c r="L58" s="18">
        <v>20</v>
      </c>
      <c r="M58" s="18">
        <v>0</v>
      </c>
      <c r="N58" s="18">
        <v>12.9</v>
      </c>
      <c r="O58" s="18" t="s">
        <v>248</v>
      </c>
      <c r="P58" s="18" t="s">
        <v>303</v>
      </c>
      <c r="Q58" s="18"/>
      <c r="R58" s="18"/>
    </row>
    <row r="59" spans="1:18" x14ac:dyDescent="0.25">
      <c r="A59" s="16"/>
      <c r="B59" s="16" t="s">
        <v>25</v>
      </c>
      <c r="C59" s="16" t="s">
        <v>6</v>
      </c>
      <c r="D59" s="18" t="s">
        <v>383</v>
      </c>
      <c r="E59" s="18" t="s">
        <v>81</v>
      </c>
      <c r="F59" s="18" t="s">
        <v>285</v>
      </c>
      <c r="G59" s="18" t="s">
        <v>138</v>
      </c>
      <c r="H59" s="18">
        <v>33</v>
      </c>
      <c r="I59" s="18" t="s">
        <v>65</v>
      </c>
      <c r="J59" s="18">
        <v>0</v>
      </c>
      <c r="K59" s="18">
        <v>35281491</v>
      </c>
      <c r="L59" s="18">
        <v>35281491</v>
      </c>
      <c r="M59" s="18">
        <v>0</v>
      </c>
      <c r="N59" s="18">
        <v>12.16</v>
      </c>
      <c r="O59" s="18"/>
      <c r="P59" s="18" t="s">
        <v>148</v>
      </c>
      <c r="Q59" s="18"/>
      <c r="R59" s="18"/>
    </row>
    <row r="60" spans="1:18" x14ac:dyDescent="0.25">
      <c r="A60" s="16"/>
      <c r="B60" s="16" t="s">
        <v>74</v>
      </c>
      <c r="C60" s="16" t="s">
        <v>6</v>
      </c>
      <c r="D60" s="18" t="s">
        <v>292</v>
      </c>
      <c r="E60" s="18" t="s">
        <v>60</v>
      </c>
      <c r="F60" s="18" t="s">
        <v>346</v>
      </c>
      <c r="G60" s="18" t="s">
        <v>139</v>
      </c>
      <c r="H60" s="18">
        <v>34</v>
      </c>
      <c r="I60" s="18" t="s">
        <v>58</v>
      </c>
      <c r="J60" s="18">
        <v>0</v>
      </c>
      <c r="K60" s="18">
        <v>24145540</v>
      </c>
      <c r="L60" s="18">
        <v>24155057</v>
      </c>
      <c r="M60" s="18">
        <v>24155057</v>
      </c>
      <c r="N60" s="18">
        <v>15.59</v>
      </c>
      <c r="O60" s="18" t="s">
        <v>365</v>
      </c>
      <c r="P60" s="18" t="s">
        <v>293</v>
      </c>
      <c r="Q60" s="18"/>
      <c r="R60" s="18"/>
    </row>
    <row r="61" spans="1:18" x14ac:dyDescent="0.25">
      <c r="A61" s="16"/>
      <c r="B61" s="16" t="s">
        <v>26</v>
      </c>
      <c r="C61" s="16" t="s">
        <v>6</v>
      </c>
      <c r="D61" s="18" t="s">
        <v>294</v>
      </c>
      <c r="E61" s="18" t="s">
        <v>56</v>
      </c>
      <c r="F61" s="18" t="s">
        <v>184</v>
      </c>
      <c r="G61" s="18" t="s">
        <v>138</v>
      </c>
      <c r="H61" s="18">
        <v>35</v>
      </c>
      <c r="I61" s="18" t="s">
        <v>65</v>
      </c>
      <c r="J61" s="18">
        <v>0</v>
      </c>
      <c r="K61" s="18">
        <v>22311571</v>
      </c>
      <c r="L61" s="18">
        <v>22311571</v>
      </c>
      <c r="M61" s="18">
        <v>22311571</v>
      </c>
      <c r="N61" s="18">
        <v>13.29</v>
      </c>
      <c r="O61" s="18" t="s">
        <v>337</v>
      </c>
      <c r="P61" s="18" t="s">
        <v>155</v>
      </c>
      <c r="Q61" s="18"/>
      <c r="R61" s="18"/>
    </row>
    <row r="62" spans="1:18" x14ac:dyDescent="0.25">
      <c r="A62" s="16"/>
      <c r="B62" s="16" t="s">
        <v>27</v>
      </c>
      <c r="C62" s="16" t="s">
        <v>6</v>
      </c>
      <c r="D62" s="18" t="s">
        <v>384</v>
      </c>
      <c r="E62" s="18" t="s">
        <v>366</v>
      </c>
      <c r="F62" s="18" t="s">
        <v>346</v>
      </c>
      <c r="G62" s="18" t="s">
        <v>139</v>
      </c>
      <c r="H62" s="18">
        <v>36</v>
      </c>
      <c r="I62" s="18" t="s">
        <v>58</v>
      </c>
      <c r="J62" s="18">
        <v>1304</v>
      </c>
      <c r="K62" s="18">
        <v>33521975</v>
      </c>
      <c r="L62" s="18">
        <v>33564611</v>
      </c>
      <c r="M62" s="18">
        <v>33564611</v>
      </c>
      <c r="N62" s="18">
        <v>13.89</v>
      </c>
      <c r="O62" s="18"/>
      <c r="P62" s="18" t="s">
        <v>269</v>
      </c>
      <c r="Q62" s="18"/>
      <c r="R62" s="18"/>
    </row>
    <row r="63" spans="1:18" x14ac:dyDescent="0.25">
      <c r="A63" s="16"/>
      <c r="B63" s="16" t="s">
        <v>28</v>
      </c>
      <c r="C63" s="16" t="s">
        <v>6</v>
      </c>
      <c r="D63" s="18" t="s">
        <v>411</v>
      </c>
      <c r="E63" s="18" t="s">
        <v>56</v>
      </c>
      <c r="F63" s="18" t="s">
        <v>338</v>
      </c>
      <c r="G63" s="18" t="s">
        <v>139</v>
      </c>
      <c r="H63" s="18">
        <v>37</v>
      </c>
      <c r="I63" s="18" t="s">
        <v>65</v>
      </c>
      <c r="J63" s="18">
        <v>762</v>
      </c>
      <c r="K63" s="18">
        <v>32135074</v>
      </c>
      <c r="L63" s="18">
        <v>32177710</v>
      </c>
      <c r="M63" s="18">
        <v>32177710</v>
      </c>
      <c r="N63" s="18">
        <v>13.59</v>
      </c>
      <c r="O63" s="18" t="s">
        <v>412</v>
      </c>
      <c r="P63" s="18" t="s">
        <v>155</v>
      </c>
      <c r="Q63" s="18"/>
      <c r="R63" s="18"/>
    </row>
    <row r="64" spans="1:18" x14ac:dyDescent="0.25">
      <c r="A64" s="16"/>
      <c r="B64" s="16" t="s">
        <v>72</v>
      </c>
      <c r="C64" s="16" t="s">
        <v>6</v>
      </c>
      <c r="D64" s="18" t="s">
        <v>322</v>
      </c>
      <c r="E64" s="18" t="s">
        <v>202</v>
      </c>
      <c r="F64" s="18" t="s">
        <v>346</v>
      </c>
      <c r="G64" s="18" t="s">
        <v>138</v>
      </c>
      <c r="H64" s="18">
        <v>38</v>
      </c>
      <c r="I64" s="18" t="s">
        <v>58</v>
      </c>
      <c r="J64" s="18">
        <v>0</v>
      </c>
      <c r="K64" s="18">
        <v>22540903</v>
      </c>
      <c r="L64" s="18">
        <v>22540903</v>
      </c>
      <c r="M64" s="18">
        <v>22540903</v>
      </c>
      <c r="N64" s="18">
        <v>15.45</v>
      </c>
      <c r="O64" s="18" t="s">
        <v>248</v>
      </c>
      <c r="P64" s="18" t="s">
        <v>157</v>
      </c>
      <c r="Q64" s="18"/>
      <c r="R64" s="18"/>
    </row>
    <row r="65" spans="1:18" x14ac:dyDescent="0.25">
      <c r="A65" s="16"/>
      <c r="B65" s="16" t="s">
        <v>29</v>
      </c>
      <c r="C65" s="16" t="s">
        <v>6</v>
      </c>
      <c r="D65" s="18" t="s">
        <v>315</v>
      </c>
      <c r="E65" s="18" t="s">
        <v>56</v>
      </c>
      <c r="F65" s="18" t="s">
        <v>338</v>
      </c>
      <c r="G65" s="18" t="s">
        <v>138</v>
      </c>
      <c r="H65" s="18">
        <v>39</v>
      </c>
      <c r="I65" s="18" t="s">
        <v>65</v>
      </c>
      <c r="J65" s="18">
        <v>3408</v>
      </c>
      <c r="K65" s="18">
        <v>31118247</v>
      </c>
      <c r="L65" s="18">
        <v>31121655</v>
      </c>
      <c r="M65" s="18">
        <v>0</v>
      </c>
      <c r="N65" s="18">
        <v>13.98</v>
      </c>
      <c r="O65" s="18" t="s">
        <v>412</v>
      </c>
      <c r="P65" s="18" t="s">
        <v>156</v>
      </c>
      <c r="Q65" s="18"/>
      <c r="R65" s="18"/>
    </row>
    <row r="66" spans="1:18" x14ac:dyDescent="0.25">
      <c r="A66" s="16"/>
      <c r="B66" s="16" t="s">
        <v>30</v>
      </c>
      <c r="C66" s="16" t="s">
        <v>6</v>
      </c>
      <c r="D66" s="18" t="s">
        <v>305</v>
      </c>
      <c r="E66" s="18" t="s">
        <v>81</v>
      </c>
      <c r="F66" s="18" t="s">
        <v>90</v>
      </c>
      <c r="G66" s="18" t="s">
        <v>139</v>
      </c>
      <c r="H66" s="18" t="s">
        <v>71</v>
      </c>
      <c r="I66" s="18" t="s">
        <v>58</v>
      </c>
      <c r="J66" s="18">
        <v>1293</v>
      </c>
      <c r="K66" s="18">
        <v>28277344</v>
      </c>
      <c r="L66" s="18">
        <v>28297151</v>
      </c>
      <c r="M66" s="18">
        <v>28297151</v>
      </c>
      <c r="N66" s="18">
        <v>14.03</v>
      </c>
      <c r="O66" s="18"/>
      <c r="P66" s="18" t="s">
        <v>150</v>
      </c>
      <c r="Q66" s="18"/>
      <c r="R66" s="18"/>
    </row>
    <row r="67" spans="1:18" x14ac:dyDescent="0.25">
      <c r="A67" s="16"/>
      <c r="B67" s="16" t="s">
        <v>31</v>
      </c>
      <c r="C67" s="16" t="s">
        <v>6</v>
      </c>
      <c r="D67" s="18"/>
      <c r="E67" s="18" t="s">
        <v>56</v>
      </c>
      <c r="F67" s="18"/>
      <c r="G67" s="18" t="s">
        <v>138</v>
      </c>
      <c r="H67" s="18" t="s">
        <v>70</v>
      </c>
      <c r="I67" s="18" t="s">
        <v>65</v>
      </c>
      <c r="J67" s="18">
        <v>0</v>
      </c>
      <c r="K67" s="18">
        <v>41266182</v>
      </c>
      <c r="L67" s="18">
        <v>41266182</v>
      </c>
      <c r="M67" s="18">
        <v>0</v>
      </c>
      <c r="N67" s="18">
        <v>13.5</v>
      </c>
      <c r="O67" s="18" t="s">
        <v>250</v>
      </c>
      <c r="P67" s="18" t="s">
        <v>156</v>
      </c>
      <c r="Q67" s="18"/>
      <c r="R67" s="18"/>
    </row>
    <row r="68" spans="1:18" x14ac:dyDescent="0.25">
      <c r="A68" s="16"/>
      <c r="B68" s="16" t="s">
        <v>32</v>
      </c>
      <c r="C68" s="16" t="s">
        <v>6</v>
      </c>
      <c r="D68" s="18" t="s">
        <v>413</v>
      </c>
      <c r="E68" s="18" t="s">
        <v>202</v>
      </c>
      <c r="F68" s="18" t="s">
        <v>346</v>
      </c>
      <c r="G68" s="18" t="s">
        <v>138</v>
      </c>
      <c r="H68" s="18" t="s">
        <v>69</v>
      </c>
      <c r="I68" s="18" t="s">
        <v>58</v>
      </c>
      <c r="J68" s="18">
        <v>0</v>
      </c>
      <c r="K68" s="18">
        <v>558486849</v>
      </c>
      <c r="L68" s="18">
        <v>558486849</v>
      </c>
      <c r="M68" s="18">
        <v>558486849</v>
      </c>
      <c r="N68" s="18">
        <v>14.39</v>
      </c>
      <c r="O68" s="18"/>
      <c r="P68" s="18" t="s">
        <v>414</v>
      </c>
      <c r="Q68" s="18"/>
      <c r="R68" s="18"/>
    </row>
    <row r="69" spans="1:18" x14ac:dyDescent="0.25">
      <c r="A69" s="16"/>
      <c r="B69" s="16" t="s">
        <v>67</v>
      </c>
      <c r="C69" s="16" t="s">
        <v>6</v>
      </c>
      <c r="D69" s="18" t="s">
        <v>354</v>
      </c>
      <c r="E69" s="18" t="s">
        <v>56</v>
      </c>
      <c r="F69" s="18" t="s">
        <v>367</v>
      </c>
      <c r="G69" s="18" t="s">
        <v>139</v>
      </c>
      <c r="H69" s="18" t="s">
        <v>68</v>
      </c>
      <c r="I69" s="18" t="s">
        <v>65</v>
      </c>
      <c r="J69" s="18">
        <v>1122</v>
      </c>
      <c r="K69" s="18">
        <v>32325586</v>
      </c>
      <c r="L69" s="18">
        <v>32326708</v>
      </c>
      <c r="M69" s="18">
        <v>32326708</v>
      </c>
      <c r="N69" s="18">
        <v>13.88</v>
      </c>
      <c r="O69" s="18"/>
      <c r="P69" s="18" t="s">
        <v>156</v>
      </c>
      <c r="Q69" s="18"/>
      <c r="R69" s="18"/>
    </row>
    <row r="70" spans="1:18" x14ac:dyDescent="0.25">
      <c r="A70" s="16"/>
      <c r="B70" s="16" t="s">
        <v>33</v>
      </c>
      <c r="C70" s="16" t="s">
        <v>6</v>
      </c>
      <c r="D70" s="18" t="s">
        <v>277</v>
      </c>
      <c r="E70" s="18" t="s">
        <v>73</v>
      </c>
      <c r="F70" s="18" t="s">
        <v>346</v>
      </c>
      <c r="G70" s="18" t="s">
        <v>138</v>
      </c>
      <c r="H70" s="18" t="s">
        <v>66</v>
      </c>
      <c r="I70" s="18" t="s">
        <v>58</v>
      </c>
      <c r="J70" s="18">
        <v>0</v>
      </c>
      <c r="K70" s="18">
        <v>30224976</v>
      </c>
      <c r="L70" s="18">
        <v>30224976</v>
      </c>
      <c r="M70" s="18">
        <v>30224976</v>
      </c>
      <c r="N70" s="18">
        <v>14.19</v>
      </c>
      <c r="O70" s="18"/>
      <c r="P70" s="18" t="s">
        <v>201</v>
      </c>
      <c r="Q70" s="18"/>
      <c r="R70" s="18"/>
    </row>
    <row r="71" spans="1:18" x14ac:dyDescent="0.25">
      <c r="A71" s="16"/>
      <c r="B71" s="16" t="s">
        <v>34</v>
      </c>
      <c r="C71" s="16" t="s">
        <v>6</v>
      </c>
      <c r="D71" s="18" t="s">
        <v>415</v>
      </c>
      <c r="E71" s="18" t="s">
        <v>56</v>
      </c>
      <c r="F71" s="18" t="s">
        <v>346</v>
      </c>
      <c r="G71" s="18" t="s">
        <v>139</v>
      </c>
      <c r="H71" s="18" t="s">
        <v>64</v>
      </c>
      <c r="I71" s="18" t="s">
        <v>65</v>
      </c>
      <c r="J71" s="18">
        <v>943</v>
      </c>
      <c r="K71" s="18">
        <v>34984830</v>
      </c>
      <c r="L71" s="18">
        <v>34985773</v>
      </c>
      <c r="M71" s="18">
        <v>34985773</v>
      </c>
      <c r="N71" s="18">
        <v>15.89</v>
      </c>
      <c r="O71" s="18"/>
      <c r="P71" s="18" t="s">
        <v>416</v>
      </c>
      <c r="Q71" s="18"/>
      <c r="R71" s="18"/>
    </row>
    <row r="72" spans="1:18" x14ac:dyDescent="0.25">
      <c r="A72" s="16"/>
      <c r="B72" s="16" t="s">
        <v>35</v>
      </c>
      <c r="C72" s="16" t="s">
        <v>6</v>
      </c>
      <c r="D72" s="18" t="s">
        <v>331</v>
      </c>
      <c r="E72" s="18" t="s">
        <v>60</v>
      </c>
      <c r="F72" s="18" t="s">
        <v>346</v>
      </c>
      <c r="G72" s="18" t="s">
        <v>138</v>
      </c>
      <c r="H72" s="18">
        <v>40</v>
      </c>
      <c r="I72" s="18" t="s">
        <v>58</v>
      </c>
      <c r="J72" s="18">
        <v>4970</v>
      </c>
      <c r="K72" s="18">
        <v>13131425</v>
      </c>
      <c r="L72" s="18">
        <v>13131425</v>
      </c>
      <c r="M72" s="18">
        <v>0</v>
      </c>
      <c r="N72" s="18">
        <v>14.64</v>
      </c>
      <c r="O72" s="18" t="s">
        <v>248</v>
      </c>
      <c r="P72" s="18" t="s">
        <v>158</v>
      </c>
      <c r="Q72" s="18"/>
      <c r="R72" s="18"/>
    </row>
    <row r="73" spans="1:18" x14ac:dyDescent="0.25">
      <c r="A73" s="16"/>
      <c r="B73" s="16" t="s">
        <v>63</v>
      </c>
      <c r="C73" s="16" t="s">
        <v>6</v>
      </c>
      <c r="D73" s="18"/>
      <c r="E73" s="18"/>
      <c r="F73" s="18"/>
      <c r="G73" s="18" t="s">
        <v>138</v>
      </c>
      <c r="H73" s="18">
        <v>41</v>
      </c>
      <c r="I73" s="18"/>
      <c r="J73" s="18">
        <v>0</v>
      </c>
      <c r="K73" s="18">
        <v>35238916</v>
      </c>
      <c r="L73" s="18">
        <v>35238916</v>
      </c>
      <c r="M73" s="18">
        <v>0</v>
      </c>
      <c r="N73" s="18">
        <v>17.670000000000002</v>
      </c>
      <c r="O73" s="18"/>
      <c r="P73" s="18"/>
      <c r="Q73" s="18"/>
      <c r="R73" s="18"/>
    </row>
    <row r="74" spans="1:18" x14ac:dyDescent="0.25">
      <c r="A74" s="16"/>
      <c r="B74" s="16" t="s">
        <v>36</v>
      </c>
      <c r="C74" s="16" t="s">
        <v>6</v>
      </c>
      <c r="D74" s="18" t="s">
        <v>295</v>
      </c>
      <c r="E74" s="18" t="s">
        <v>81</v>
      </c>
      <c r="F74" s="18" t="s">
        <v>369</v>
      </c>
      <c r="G74" s="18" t="s">
        <v>138</v>
      </c>
      <c r="H74" s="18">
        <v>42</v>
      </c>
      <c r="I74" s="18" t="s">
        <v>58</v>
      </c>
      <c r="J74" s="18">
        <v>0</v>
      </c>
      <c r="K74" s="18">
        <v>12289211</v>
      </c>
      <c r="L74" s="18">
        <v>12289211</v>
      </c>
      <c r="M74" s="18">
        <v>0</v>
      </c>
      <c r="N74" s="18">
        <v>13.49</v>
      </c>
      <c r="O74" s="18"/>
      <c r="P74" s="18" t="s">
        <v>156</v>
      </c>
      <c r="Q74" s="18"/>
      <c r="R74" s="18"/>
    </row>
    <row r="75" spans="1:18" x14ac:dyDescent="0.25">
      <c r="A75" s="16"/>
      <c r="B75" s="16" t="s">
        <v>256</v>
      </c>
      <c r="C75" s="16" t="s">
        <v>6</v>
      </c>
      <c r="D75" s="18" t="s">
        <v>392</v>
      </c>
      <c r="E75" s="18" t="s">
        <v>417</v>
      </c>
      <c r="F75" s="18" t="s">
        <v>192</v>
      </c>
      <c r="G75" s="18" t="s">
        <v>138</v>
      </c>
      <c r="H75" s="18"/>
      <c r="I75" s="18" t="s">
        <v>262</v>
      </c>
      <c r="J75" s="18">
        <v>0</v>
      </c>
      <c r="K75" s="18">
        <v>12986074</v>
      </c>
      <c r="L75" s="18">
        <v>12986074</v>
      </c>
      <c r="M75" s="18">
        <v>0</v>
      </c>
      <c r="N75" s="18">
        <v>38472557</v>
      </c>
      <c r="O75" s="18"/>
      <c r="P75" s="18" t="s">
        <v>149</v>
      </c>
      <c r="Q75" s="18"/>
      <c r="R75" s="18"/>
    </row>
    <row r="76" spans="1:18" x14ac:dyDescent="0.25">
      <c r="A76" s="16"/>
      <c r="B76" s="16" t="s">
        <v>257</v>
      </c>
      <c r="C76" s="16" t="s">
        <v>6</v>
      </c>
      <c r="D76" s="18" t="s">
        <v>392</v>
      </c>
      <c r="E76" s="18" t="s">
        <v>417</v>
      </c>
      <c r="F76" s="18" t="s">
        <v>192</v>
      </c>
      <c r="G76" s="18" t="s">
        <v>138</v>
      </c>
      <c r="H76" s="18"/>
      <c r="I76" s="18" t="s">
        <v>262</v>
      </c>
      <c r="J76" s="18">
        <v>0</v>
      </c>
      <c r="K76" s="18">
        <v>270053</v>
      </c>
      <c r="L76" s="18">
        <v>270053</v>
      </c>
      <c r="M76" s="18">
        <v>0</v>
      </c>
      <c r="N76" s="18">
        <v>0</v>
      </c>
      <c r="O76" s="18" t="s">
        <v>400</v>
      </c>
      <c r="P76" s="18" t="s">
        <v>149</v>
      </c>
      <c r="Q76" s="18"/>
      <c r="R76" s="18"/>
    </row>
    <row r="77" spans="1:18" x14ac:dyDescent="0.25">
      <c r="A77" s="16"/>
      <c r="B77" s="16" t="s">
        <v>37</v>
      </c>
      <c r="C77" s="16" t="s">
        <v>6</v>
      </c>
      <c r="D77" s="18" t="s">
        <v>347</v>
      </c>
      <c r="E77" s="18" t="s">
        <v>348</v>
      </c>
      <c r="F77" s="18" t="s">
        <v>346</v>
      </c>
      <c r="G77" s="18" t="s">
        <v>138</v>
      </c>
      <c r="H77" s="18">
        <v>43</v>
      </c>
      <c r="I77" s="18" t="s">
        <v>58</v>
      </c>
      <c r="J77" s="18">
        <v>192</v>
      </c>
      <c r="K77" s="18">
        <v>538240125</v>
      </c>
      <c r="L77" s="18">
        <v>538240317</v>
      </c>
      <c r="M77" s="18">
        <v>0</v>
      </c>
      <c r="N77" s="18">
        <v>41.54</v>
      </c>
      <c r="O77" s="18"/>
      <c r="P77" s="18" t="s">
        <v>270</v>
      </c>
      <c r="Q77" s="18"/>
      <c r="R77" s="18"/>
    </row>
    <row r="78" spans="1:18" x14ac:dyDescent="0.25">
      <c r="A78" s="16"/>
      <c r="B78" s="16" t="s">
        <v>258</v>
      </c>
      <c r="C78" s="16" t="s">
        <v>6</v>
      </c>
      <c r="D78" s="18" t="s">
        <v>278</v>
      </c>
      <c r="E78" s="18" t="s">
        <v>279</v>
      </c>
      <c r="F78" s="18" t="s">
        <v>276</v>
      </c>
      <c r="G78" s="18" t="s">
        <v>138</v>
      </c>
      <c r="H78" s="18">
        <v>44</v>
      </c>
      <c r="I78" s="18" t="s">
        <v>262</v>
      </c>
      <c r="J78" s="18">
        <v>0</v>
      </c>
      <c r="K78" s="18">
        <v>30347506</v>
      </c>
      <c r="L78" s="18">
        <v>30347506</v>
      </c>
      <c r="M78" s="18">
        <v>0</v>
      </c>
      <c r="N78" s="18">
        <v>13.5</v>
      </c>
      <c r="O78" s="18"/>
      <c r="P78" s="18" t="s">
        <v>150</v>
      </c>
      <c r="Q78" s="18"/>
      <c r="R78" s="18"/>
    </row>
    <row r="79" spans="1:18" x14ac:dyDescent="0.25">
      <c r="A79" s="16"/>
      <c r="B79" s="16" t="s">
        <v>259</v>
      </c>
      <c r="C79" s="16" t="s">
        <v>6</v>
      </c>
      <c r="D79" s="18" t="s">
        <v>204</v>
      </c>
      <c r="E79" s="18" t="s">
        <v>342</v>
      </c>
      <c r="F79" s="18" t="s">
        <v>310</v>
      </c>
      <c r="G79" s="18" t="s">
        <v>138</v>
      </c>
      <c r="H79" s="18">
        <v>44</v>
      </c>
      <c r="I79" s="18" t="s">
        <v>262</v>
      </c>
      <c r="J79" s="18">
        <v>0</v>
      </c>
      <c r="K79" s="18">
        <v>30347506</v>
      </c>
      <c r="L79" s="18">
        <v>30347506</v>
      </c>
      <c r="M79" s="18">
        <v>0</v>
      </c>
      <c r="N79" s="18">
        <v>13.5</v>
      </c>
      <c r="O79" s="18" t="s">
        <v>245</v>
      </c>
      <c r="P79" s="18" t="s">
        <v>148</v>
      </c>
      <c r="Q79" s="18"/>
      <c r="R79" s="18"/>
    </row>
    <row r="80" spans="1:18" x14ac:dyDescent="0.25">
      <c r="B80" s="16" t="s">
        <v>260</v>
      </c>
      <c r="C80" s="16" t="s">
        <v>6</v>
      </c>
      <c r="D80" s="18" t="s">
        <v>393</v>
      </c>
      <c r="E80" s="18"/>
      <c r="F80" s="18"/>
      <c r="G80" s="18" t="s">
        <v>138</v>
      </c>
      <c r="H80" s="18">
        <v>45</v>
      </c>
      <c r="I80" s="18" t="s">
        <v>262</v>
      </c>
      <c r="J80" s="18">
        <v>0</v>
      </c>
      <c r="K80" s="18">
        <v>42398055</v>
      </c>
      <c r="L80" s="18">
        <v>42398055</v>
      </c>
      <c r="M80" s="18">
        <v>0</v>
      </c>
      <c r="N80" s="18">
        <v>41.06</v>
      </c>
      <c r="O80" s="18" t="s">
        <v>245</v>
      </c>
      <c r="P80" s="18" t="s">
        <v>148</v>
      </c>
      <c r="Q80" s="18"/>
      <c r="R80" s="18"/>
    </row>
    <row r="81" spans="2:18" x14ac:dyDescent="0.25">
      <c r="B81" s="16" t="s">
        <v>261</v>
      </c>
      <c r="C81" s="16" t="s">
        <v>6</v>
      </c>
      <c r="D81" s="18"/>
      <c r="E81" s="18"/>
      <c r="F81" s="18"/>
      <c r="G81" s="18" t="s">
        <v>138</v>
      </c>
      <c r="H81" s="18">
        <v>45</v>
      </c>
      <c r="I81" s="18" t="s">
        <v>262</v>
      </c>
      <c r="J81" s="18">
        <v>-42397331</v>
      </c>
      <c r="K81" s="18">
        <v>623</v>
      </c>
      <c r="L81" s="18">
        <v>623</v>
      </c>
      <c r="M81" s="18">
        <v>0</v>
      </c>
      <c r="N81" s="18">
        <v>41.06</v>
      </c>
      <c r="O81" s="18" t="s">
        <v>245</v>
      </c>
      <c r="P81" s="18"/>
      <c r="Q81" s="18"/>
      <c r="R81" s="18"/>
    </row>
    <row r="82" spans="2:18" x14ac:dyDescent="0.25">
      <c r="B82" s="16" t="s">
        <v>54</v>
      </c>
      <c r="C82" s="16" t="s">
        <v>6</v>
      </c>
      <c r="D82" s="18" t="s">
        <v>55</v>
      </c>
      <c r="E82" s="18" t="s">
        <v>56</v>
      </c>
      <c r="F82" s="18" t="s">
        <v>57</v>
      </c>
      <c r="G82" s="18" t="s">
        <v>138</v>
      </c>
      <c r="H82" s="18">
        <v>46</v>
      </c>
      <c r="I82" s="18" t="s">
        <v>58</v>
      </c>
      <c r="J82" s="18">
        <v>0</v>
      </c>
      <c r="K82" s="18">
        <v>7602983</v>
      </c>
      <c r="L82" s="18">
        <v>7602983</v>
      </c>
      <c r="M82" s="18">
        <v>7602983</v>
      </c>
      <c r="N82" s="18">
        <v>16.59</v>
      </c>
      <c r="O82" s="18"/>
      <c r="P82" s="18" t="s">
        <v>159</v>
      </c>
      <c r="Q82" s="18"/>
      <c r="R82" s="18"/>
    </row>
  </sheetData>
  <mergeCells count="1">
    <mergeCell ref="D1:F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17"/>
  <sheetViews>
    <sheetView zoomScaleNormal="100" workbookViewId="0">
      <selection activeCell="I39" sqref="I39"/>
    </sheetView>
  </sheetViews>
  <sheetFormatPr defaultRowHeight="15" x14ac:dyDescent="0.25"/>
  <cols>
    <col min="1" max="1" width="17.28515625" bestFit="1" customWidth="1"/>
    <col min="2" max="2" width="19" customWidth="1"/>
    <col min="3" max="3" width="15.28515625" bestFit="1" customWidth="1"/>
    <col min="4" max="4" width="15.7109375" bestFit="1" customWidth="1"/>
    <col min="5" max="5" width="12.28515625" customWidth="1"/>
    <col min="6" max="6" width="16.7109375" customWidth="1"/>
    <col min="7" max="7" width="16" customWidth="1"/>
    <col min="8" max="8" width="12" customWidth="1"/>
    <col min="9" max="9" width="16.5703125" customWidth="1"/>
    <col min="10" max="11" width="14.28515625" customWidth="1"/>
    <col min="12" max="12" width="14.140625" customWidth="1"/>
    <col min="13" max="13" width="13.5703125" customWidth="1"/>
    <col min="14" max="14" width="15.5703125" customWidth="1"/>
    <col min="15" max="15" width="16" customWidth="1"/>
    <col min="16" max="16" width="12" customWidth="1"/>
    <col min="18" max="18" width="9.140625" style="38"/>
  </cols>
  <sheetData>
    <row r="1" spans="1:17" x14ac:dyDescent="0.25">
      <c r="A1" t="s">
        <v>0</v>
      </c>
      <c r="B1" t="s">
        <v>1</v>
      </c>
      <c r="C1" t="s">
        <v>3</v>
      </c>
      <c r="D1" t="s">
        <v>44</v>
      </c>
      <c r="E1" t="s">
        <v>45</v>
      </c>
      <c r="F1" t="s">
        <v>46</v>
      </c>
      <c r="G1" t="s">
        <v>4</v>
      </c>
      <c r="H1" t="s">
        <v>47</v>
      </c>
      <c r="I1" t="s">
        <v>48</v>
      </c>
      <c r="J1" t="s">
        <v>2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146</v>
      </c>
    </row>
    <row r="2" spans="1:17" x14ac:dyDescent="0.25">
      <c r="A2" s="39">
        <v>45415</v>
      </c>
      <c r="B2" t="s">
        <v>136</v>
      </c>
      <c r="C2" t="s">
        <v>6</v>
      </c>
      <c r="D2" t="s">
        <v>174</v>
      </c>
      <c r="E2" t="s">
        <v>81</v>
      </c>
      <c r="F2" t="s">
        <v>90</v>
      </c>
      <c r="G2" t="s">
        <v>138</v>
      </c>
      <c r="H2" s="9" t="s">
        <v>160</v>
      </c>
      <c r="I2" t="s">
        <v>58</v>
      </c>
      <c r="J2">
        <v>0</v>
      </c>
      <c r="K2">
        <v>0</v>
      </c>
      <c r="L2">
        <v>0</v>
      </c>
      <c r="M2">
        <v>0</v>
      </c>
      <c r="N2">
        <v>42144554</v>
      </c>
      <c r="P2" t="s">
        <v>153</v>
      </c>
      <c r="Q2" s="38"/>
    </row>
    <row r="3" spans="1:17" x14ac:dyDescent="0.25">
      <c r="A3" s="39">
        <v>45415</v>
      </c>
      <c r="B3" s="38" t="s">
        <v>135</v>
      </c>
      <c r="C3" s="38" t="s">
        <v>6</v>
      </c>
      <c r="D3" s="38" t="s">
        <v>332</v>
      </c>
      <c r="E3" s="38" t="s">
        <v>81</v>
      </c>
      <c r="F3" s="38" t="s">
        <v>90</v>
      </c>
      <c r="G3" s="38" t="s">
        <v>138</v>
      </c>
      <c r="H3" s="9" t="s">
        <v>161</v>
      </c>
      <c r="I3" s="38" t="s">
        <v>58</v>
      </c>
      <c r="J3" s="38">
        <v>0</v>
      </c>
      <c r="K3">
        <v>0</v>
      </c>
      <c r="L3">
        <v>0</v>
      </c>
      <c r="M3">
        <v>0</v>
      </c>
      <c r="N3" s="38">
        <v>24.09</v>
      </c>
      <c r="O3" s="38"/>
      <c r="P3" s="38" t="s">
        <v>148</v>
      </c>
      <c r="Q3" s="38"/>
    </row>
    <row r="4" spans="1:17" x14ac:dyDescent="0.25">
      <c r="A4" s="39">
        <v>45415</v>
      </c>
      <c r="B4" s="38" t="s">
        <v>134</v>
      </c>
      <c r="C4" s="38" t="s">
        <v>6</v>
      </c>
      <c r="D4" s="38" t="s">
        <v>175</v>
      </c>
      <c r="E4" s="38" t="s">
        <v>81</v>
      </c>
      <c r="F4" s="38" t="s">
        <v>90</v>
      </c>
      <c r="G4" s="38" t="s">
        <v>138</v>
      </c>
      <c r="H4" s="9" t="s">
        <v>206</v>
      </c>
      <c r="I4" s="38" t="s">
        <v>58</v>
      </c>
      <c r="J4" s="38">
        <v>0</v>
      </c>
      <c r="K4">
        <v>0</v>
      </c>
      <c r="L4">
        <v>0</v>
      </c>
      <c r="M4">
        <v>0</v>
      </c>
      <c r="N4" s="38">
        <v>0</v>
      </c>
      <c r="O4" s="38"/>
      <c r="P4" s="38" t="s">
        <v>148</v>
      </c>
      <c r="Q4" s="38"/>
    </row>
    <row r="5" spans="1:17" x14ac:dyDescent="0.25">
      <c r="A5" s="39">
        <v>45415</v>
      </c>
      <c r="B5" s="38" t="s">
        <v>132</v>
      </c>
      <c r="C5" s="38" t="s">
        <v>6</v>
      </c>
      <c r="D5" s="38" t="s">
        <v>133</v>
      </c>
      <c r="E5" s="38" t="s">
        <v>126</v>
      </c>
      <c r="F5" s="38" t="s">
        <v>199</v>
      </c>
      <c r="G5" s="38" t="s">
        <v>138</v>
      </c>
      <c r="H5" s="9" t="s">
        <v>162</v>
      </c>
      <c r="I5" s="38" t="s">
        <v>58</v>
      </c>
      <c r="J5" s="38">
        <v>0</v>
      </c>
      <c r="K5">
        <v>0</v>
      </c>
      <c r="L5">
        <v>0</v>
      </c>
      <c r="M5">
        <v>0</v>
      </c>
      <c r="N5" s="38">
        <v>38.369999999999997</v>
      </c>
      <c r="O5" s="38"/>
      <c r="P5" s="38" t="s">
        <v>149</v>
      </c>
      <c r="Q5" s="38"/>
    </row>
    <row r="6" spans="1:17" x14ac:dyDescent="0.25">
      <c r="A6" s="39">
        <v>45415</v>
      </c>
      <c r="B6" s="38" t="s">
        <v>131</v>
      </c>
      <c r="C6" s="38" t="s">
        <v>6</v>
      </c>
      <c r="D6" s="38" t="s">
        <v>396</v>
      </c>
      <c r="E6" s="38" t="s">
        <v>60</v>
      </c>
      <c r="F6" s="38" t="s">
        <v>90</v>
      </c>
      <c r="G6" s="38" t="s">
        <v>138</v>
      </c>
      <c r="H6" s="9" t="s">
        <v>163</v>
      </c>
      <c r="I6" s="38" t="s">
        <v>58</v>
      </c>
      <c r="J6" s="38">
        <v>0</v>
      </c>
      <c r="K6">
        <v>0</v>
      </c>
      <c r="L6">
        <v>0</v>
      </c>
      <c r="M6">
        <v>0</v>
      </c>
      <c r="N6" s="38">
        <v>23.93</v>
      </c>
      <c r="O6" s="38"/>
      <c r="P6" s="38" t="s">
        <v>154</v>
      </c>
      <c r="Q6" s="38"/>
    </row>
    <row r="7" spans="1:17" x14ac:dyDescent="0.25">
      <c r="A7" s="39">
        <v>45415</v>
      </c>
      <c r="B7" s="38" t="s">
        <v>130</v>
      </c>
      <c r="C7" s="38" t="s">
        <v>6</v>
      </c>
      <c r="D7" s="38" t="s">
        <v>191</v>
      </c>
      <c r="E7" s="38" t="s">
        <v>81</v>
      </c>
      <c r="F7" s="38" t="s">
        <v>285</v>
      </c>
      <c r="G7" s="38" t="s">
        <v>138</v>
      </c>
      <c r="H7" s="9" t="s">
        <v>420</v>
      </c>
      <c r="I7" s="38" t="s">
        <v>58</v>
      </c>
      <c r="J7" s="38">
        <v>0</v>
      </c>
      <c r="K7">
        <v>0</v>
      </c>
      <c r="L7">
        <v>0</v>
      </c>
      <c r="M7">
        <v>0</v>
      </c>
      <c r="N7" s="38">
        <v>14.99</v>
      </c>
      <c r="O7" s="38"/>
      <c r="P7" s="38" t="s">
        <v>148</v>
      </c>
      <c r="Q7" s="38"/>
    </row>
    <row r="8" spans="1:17" x14ac:dyDescent="0.25">
      <c r="A8" s="39">
        <v>45415</v>
      </c>
      <c r="B8" s="38" t="s">
        <v>128</v>
      </c>
      <c r="C8" s="38" t="s">
        <v>6</v>
      </c>
      <c r="D8" s="38" t="s">
        <v>129</v>
      </c>
      <c r="E8" s="38" t="s">
        <v>126</v>
      </c>
      <c r="F8" s="38" t="s">
        <v>199</v>
      </c>
      <c r="G8" s="38" t="s">
        <v>138</v>
      </c>
      <c r="H8" s="9" t="s">
        <v>164</v>
      </c>
      <c r="I8" s="38" t="s">
        <v>58</v>
      </c>
      <c r="J8" s="38">
        <v>0</v>
      </c>
      <c r="K8">
        <v>0</v>
      </c>
      <c r="L8">
        <v>0</v>
      </c>
      <c r="M8">
        <v>0</v>
      </c>
      <c r="N8" s="38">
        <v>41.06</v>
      </c>
      <c r="O8" s="38"/>
      <c r="P8" s="38" t="s">
        <v>149</v>
      </c>
      <c r="Q8" s="38"/>
    </row>
    <row r="9" spans="1:17" x14ac:dyDescent="0.25">
      <c r="A9" s="39">
        <v>45415</v>
      </c>
      <c r="B9" s="38" t="s">
        <v>40</v>
      </c>
      <c r="C9" s="38" t="s">
        <v>6</v>
      </c>
      <c r="D9" s="38" t="s">
        <v>397</v>
      </c>
      <c r="E9" s="38" t="s">
        <v>60</v>
      </c>
      <c r="F9" s="38" t="s">
        <v>200</v>
      </c>
      <c r="G9" s="38" t="s">
        <v>138</v>
      </c>
      <c r="H9" s="9" t="s">
        <v>165</v>
      </c>
      <c r="I9" s="38" t="s">
        <v>58</v>
      </c>
      <c r="J9" s="38">
        <v>0</v>
      </c>
      <c r="K9">
        <v>0</v>
      </c>
      <c r="L9">
        <v>0</v>
      </c>
      <c r="M9">
        <v>0</v>
      </c>
      <c r="N9" s="38">
        <v>14.92</v>
      </c>
      <c r="O9" s="38"/>
      <c r="P9" s="38" t="s">
        <v>153</v>
      </c>
      <c r="Q9" s="38"/>
    </row>
    <row r="10" spans="1:17" x14ac:dyDescent="0.25">
      <c r="A10" s="39">
        <v>45415</v>
      </c>
      <c r="B10" s="38" t="s">
        <v>127</v>
      </c>
      <c r="C10" s="38" t="s">
        <v>6</v>
      </c>
      <c r="D10" s="38" t="s">
        <v>203</v>
      </c>
      <c r="E10" s="38" t="s">
        <v>81</v>
      </c>
      <c r="F10" s="38" t="s">
        <v>285</v>
      </c>
      <c r="G10" s="38" t="s">
        <v>138</v>
      </c>
      <c r="H10" s="9" t="s">
        <v>207</v>
      </c>
      <c r="I10" s="38" t="s">
        <v>58</v>
      </c>
      <c r="J10" s="38">
        <v>0</v>
      </c>
      <c r="K10">
        <v>0</v>
      </c>
      <c r="L10">
        <v>0</v>
      </c>
      <c r="M10">
        <v>0</v>
      </c>
      <c r="N10" s="38">
        <v>20.85</v>
      </c>
      <c r="O10" s="38"/>
      <c r="P10" s="38" t="s">
        <v>151</v>
      </c>
      <c r="Q10" s="38"/>
    </row>
    <row r="11" spans="1:17" x14ac:dyDescent="0.25">
      <c r="A11" s="39">
        <v>45415</v>
      </c>
      <c r="B11" s="38" t="s">
        <v>124</v>
      </c>
      <c r="C11" s="38" t="s">
        <v>6</v>
      </c>
      <c r="D11" s="38" t="s">
        <v>340</v>
      </c>
      <c r="E11" s="38" t="s">
        <v>126</v>
      </c>
      <c r="F11" s="38" t="s">
        <v>199</v>
      </c>
      <c r="G11" s="38" t="s">
        <v>138</v>
      </c>
      <c r="H11" s="9" t="s">
        <v>166</v>
      </c>
      <c r="I11" s="38" t="s">
        <v>58</v>
      </c>
      <c r="J11" s="38">
        <v>0</v>
      </c>
      <c r="K11">
        <v>0</v>
      </c>
      <c r="L11">
        <v>0</v>
      </c>
      <c r="M11">
        <v>0</v>
      </c>
      <c r="N11" s="38">
        <v>39863813</v>
      </c>
      <c r="O11" s="38"/>
      <c r="P11" s="38" t="s">
        <v>149</v>
      </c>
      <c r="Q11" s="38"/>
    </row>
    <row r="12" spans="1:17" x14ac:dyDescent="0.25">
      <c r="A12" s="39">
        <v>45415</v>
      </c>
      <c r="B12" s="38" t="s">
        <v>122</v>
      </c>
      <c r="C12" s="38" t="s">
        <v>6</v>
      </c>
      <c r="D12" s="38" t="s">
        <v>356</v>
      </c>
      <c r="E12" s="38" t="s">
        <v>81</v>
      </c>
      <c r="F12" s="38" t="s">
        <v>90</v>
      </c>
      <c r="G12" s="38" t="s">
        <v>138</v>
      </c>
      <c r="H12" s="9" t="s">
        <v>167</v>
      </c>
      <c r="I12" s="38" t="s">
        <v>58</v>
      </c>
      <c r="J12" s="38">
        <v>0</v>
      </c>
      <c r="K12">
        <v>0</v>
      </c>
      <c r="L12">
        <v>0</v>
      </c>
      <c r="M12">
        <v>0</v>
      </c>
      <c r="N12" s="38">
        <v>20.9</v>
      </c>
      <c r="O12" s="38"/>
      <c r="P12" s="38" t="s">
        <v>148</v>
      </c>
      <c r="Q12" s="38"/>
    </row>
    <row r="13" spans="1:17" x14ac:dyDescent="0.25">
      <c r="A13" s="39">
        <v>45415</v>
      </c>
      <c r="B13" s="38" t="s">
        <v>120</v>
      </c>
      <c r="C13" s="38" t="s">
        <v>6</v>
      </c>
      <c r="D13" s="38" t="s">
        <v>333</v>
      </c>
      <c r="E13" s="38" t="s">
        <v>375</v>
      </c>
      <c r="F13" s="38" t="s">
        <v>285</v>
      </c>
      <c r="G13" s="38" t="s">
        <v>138</v>
      </c>
      <c r="H13" s="9" t="s">
        <v>121</v>
      </c>
      <c r="I13" s="38" t="s">
        <v>58</v>
      </c>
      <c r="J13" s="38">
        <v>0</v>
      </c>
      <c r="K13">
        <v>0</v>
      </c>
      <c r="L13">
        <v>0</v>
      </c>
      <c r="M13">
        <v>0</v>
      </c>
      <c r="N13" s="38">
        <v>41.69</v>
      </c>
      <c r="O13" s="38"/>
      <c r="P13" s="38" t="s">
        <v>151</v>
      </c>
      <c r="Q13" s="38"/>
    </row>
    <row r="14" spans="1:17" x14ac:dyDescent="0.25">
      <c r="A14" s="39">
        <v>45415</v>
      </c>
      <c r="B14" s="38" t="s">
        <v>119</v>
      </c>
      <c r="C14" s="38" t="s">
        <v>6</v>
      </c>
      <c r="D14" s="38" t="s">
        <v>178</v>
      </c>
      <c r="E14" s="38" t="s">
        <v>399</v>
      </c>
      <c r="F14" s="38" t="s">
        <v>192</v>
      </c>
      <c r="G14" s="38" t="s">
        <v>138</v>
      </c>
      <c r="H14" s="9" t="s">
        <v>168</v>
      </c>
      <c r="I14" s="38" t="s">
        <v>58</v>
      </c>
      <c r="J14" s="38">
        <v>0</v>
      </c>
      <c r="K14">
        <v>0</v>
      </c>
      <c r="L14">
        <v>0</v>
      </c>
      <c r="M14">
        <v>0</v>
      </c>
      <c r="N14" s="38">
        <v>41.62</v>
      </c>
      <c r="O14" s="38"/>
      <c r="P14" s="38" t="s">
        <v>149</v>
      </c>
      <c r="Q14" s="38"/>
    </row>
    <row r="15" spans="1:17" x14ac:dyDescent="0.25">
      <c r="A15" s="39">
        <v>45415</v>
      </c>
      <c r="B15" s="38" t="s">
        <v>117</v>
      </c>
      <c r="C15" s="38" t="s">
        <v>6</v>
      </c>
      <c r="D15" s="38" t="s">
        <v>349</v>
      </c>
      <c r="E15" s="38" t="s">
        <v>398</v>
      </c>
      <c r="F15" s="38" t="s">
        <v>90</v>
      </c>
      <c r="G15" s="38" t="s">
        <v>138</v>
      </c>
      <c r="H15" s="9" t="s">
        <v>118</v>
      </c>
      <c r="I15" s="38" t="s">
        <v>58</v>
      </c>
      <c r="J15" s="38">
        <v>0</v>
      </c>
      <c r="K15">
        <v>0</v>
      </c>
      <c r="L15">
        <v>0</v>
      </c>
      <c r="M15">
        <v>0</v>
      </c>
      <c r="N15" s="38">
        <v>34.69</v>
      </c>
      <c r="O15" s="38"/>
      <c r="P15" s="38" t="s">
        <v>151</v>
      </c>
      <c r="Q15" s="38"/>
    </row>
    <row r="16" spans="1:17" x14ac:dyDescent="0.25">
      <c r="A16" s="39">
        <v>45415</v>
      </c>
      <c r="B16" s="38" t="s">
        <v>39</v>
      </c>
      <c r="C16" s="38" t="s">
        <v>6</v>
      </c>
      <c r="D16" s="38" t="s">
        <v>177</v>
      </c>
      <c r="E16" s="38" t="s">
        <v>377</v>
      </c>
      <c r="F16" s="38" t="s">
        <v>90</v>
      </c>
      <c r="G16" s="38" t="s">
        <v>138</v>
      </c>
      <c r="H16" s="9" t="s">
        <v>116</v>
      </c>
      <c r="I16" s="38" t="s">
        <v>58</v>
      </c>
      <c r="J16" s="38">
        <v>0</v>
      </c>
      <c r="K16">
        <v>0</v>
      </c>
      <c r="L16">
        <v>0</v>
      </c>
      <c r="M16">
        <v>0</v>
      </c>
      <c r="N16" s="38">
        <v>41.24</v>
      </c>
      <c r="O16" s="38"/>
      <c r="P16" s="38" t="s">
        <v>151</v>
      </c>
      <c r="Q16" s="38"/>
    </row>
    <row r="17" spans="1:17" x14ac:dyDescent="0.25">
      <c r="A17" s="39">
        <v>45415</v>
      </c>
      <c r="B17" s="38" t="s">
        <v>113</v>
      </c>
      <c r="C17" s="38" t="s">
        <v>6</v>
      </c>
      <c r="D17" s="38" t="s">
        <v>188</v>
      </c>
      <c r="E17" s="38" t="s">
        <v>126</v>
      </c>
      <c r="F17" s="38" t="s">
        <v>199</v>
      </c>
      <c r="G17" s="38" t="s">
        <v>138</v>
      </c>
      <c r="H17" s="9" t="s">
        <v>114</v>
      </c>
      <c r="I17" s="38" t="s">
        <v>58</v>
      </c>
      <c r="J17" s="38">
        <v>0</v>
      </c>
      <c r="K17">
        <v>0</v>
      </c>
      <c r="L17">
        <v>0</v>
      </c>
      <c r="M17">
        <v>0</v>
      </c>
      <c r="N17" s="38">
        <v>41.35</v>
      </c>
      <c r="O17" s="38"/>
      <c r="P17" s="38" t="s">
        <v>149</v>
      </c>
      <c r="Q17" s="38"/>
    </row>
    <row r="18" spans="1:17" x14ac:dyDescent="0.25">
      <c r="A18" s="39">
        <v>45415</v>
      </c>
      <c r="B18" s="38" t="s">
        <v>111</v>
      </c>
      <c r="C18" s="38" t="s">
        <v>6</v>
      </c>
      <c r="D18" s="38" t="s">
        <v>189</v>
      </c>
      <c r="E18" s="38" t="s">
        <v>81</v>
      </c>
      <c r="F18" s="38" t="s">
        <v>285</v>
      </c>
      <c r="G18" s="38" t="s">
        <v>138</v>
      </c>
      <c r="H18" s="9" t="s">
        <v>112</v>
      </c>
      <c r="I18" s="38" t="s">
        <v>58</v>
      </c>
      <c r="J18" s="38">
        <v>0</v>
      </c>
      <c r="K18">
        <v>0</v>
      </c>
      <c r="L18">
        <v>0</v>
      </c>
      <c r="M18">
        <v>0</v>
      </c>
      <c r="N18" s="38">
        <v>20.48</v>
      </c>
      <c r="O18" s="38"/>
      <c r="P18" s="38" t="s">
        <v>153</v>
      </c>
      <c r="Q18" s="38"/>
    </row>
    <row r="19" spans="1:17" x14ac:dyDescent="0.25">
      <c r="A19" s="39">
        <v>45415</v>
      </c>
      <c r="B19" s="38" t="s">
        <v>109</v>
      </c>
      <c r="C19" s="38" t="s">
        <v>6</v>
      </c>
      <c r="D19" s="38" t="s">
        <v>142</v>
      </c>
      <c r="E19" s="38" t="s">
        <v>56</v>
      </c>
      <c r="F19" s="38" t="s">
        <v>199</v>
      </c>
      <c r="G19" s="38" t="s">
        <v>138</v>
      </c>
      <c r="H19" s="9" t="s">
        <v>110</v>
      </c>
      <c r="I19" s="38" t="s">
        <v>58</v>
      </c>
      <c r="J19" s="38">
        <v>0</v>
      </c>
      <c r="K19">
        <v>0</v>
      </c>
      <c r="L19">
        <v>0</v>
      </c>
      <c r="M19">
        <v>0</v>
      </c>
      <c r="N19" s="38">
        <v>41.05</v>
      </c>
      <c r="O19" s="38"/>
      <c r="P19" s="38" t="s">
        <v>149</v>
      </c>
      <c r="Q19" s="38"/>
    </row>
    <row r="20" spans="1:17" x14ac:dyDescent="0.25">
      <c r="A20" s="39">
        <v>45415</v>
      </c>
      <c r="B20" s="38" t="s">
        <v>107</v>
      </c>
      <c r="C20" s="38" t="s">
        <v>6</v>
      </c>
      <c r="D20" s="38" t="s">
        <v>401</v>
      </c>
      <c r="E20" s="38" t="s">
        <v>56</v>
      </c>
      <c r="F20" s="38" t="s">
        <v>93</v>
      </c>
      <c r="G20" s="38" t="s">
        <v>138</v>
      </c>
      <c r="H20" s="9" t="s">
        <v>108</v>
      </c>
      <c r="I20" s="38" t="s">
        <v>58</v>
      </c>
      <c r="J20" s="38">
        <v>0</v>
      </c>
      <c r="K20">
        <v>0</v>
      </c>
      <c r="L20">
        <v>0</v>
      </c>
      <c r="M20">
        <v>0</v>
      </c>
      <c r="N20" s="38">
        <v>12.09</v>
      </c>
      <c r="O20" s="38"/>
      <c r="P20" s="38" t="s">
        <v>403</v>
      </c>
      <c r="Q20" s="38"/>
    </row>
    <row r="21" spans="1:17" x14ac:dyDescent="0.25">
      <c r="A21" s="39">
        <v>45415</v>
      </c>
      <c r="B21" s="38" t="s">
        <v>41</v>
      </c>
      <c r="C21" s="38" t="s">
        <v>6</v>
      </c>
      <c r="D21" s="38" t="s">
        <v>123</v>
      </c>
      <c r="E21" s="38" t="s">
        <v>81</v>
      </c>
      <c r="F21" s="38" t="s">
        <v>285</v>
      </c>
      <c r="G21" s="38" t="s">
        <v>138</v>
      </c>
      <c r="H21" s="9" t="s">
        <v>106</v>
      </c>
      <c r="I21" s="38" t="s">
        <v>58</v>
      </c>
      <c r="J21" s="38">
        <v>0</v>
      </c>
      <c r="K21">
        <v>0</v>
      </c>
      <c r="L21">
        <v>0</v>
      </c>
      <c r="M21">
        <v>0</v>
      </c>
      <c r="N21" s="38">
        <v>17.88</v>
      </c>
      <c r="O21" s="38"/>
      <c r="P21" s="38" t="s">
        <v>152</v>
      </c>
      <c r="Q21" s="38"/>
    </row>
    <row r="22" spans="1:17" x14ac:dyDescent="0.25">
      <c r="A22" s="39">
        <v>45415</v>
      </c>
      <c r="B22" s="38" t="s">
        <v>43</v>
      </c>
      <c r="C22" s="38" t="s">
        <v>6</v>
      </c>
      <c r="D22" s="38" t="s">
        <v>282</v>
      </c>
      <c r="E22" s="38" t="s">
        <v>275</v>
      </c>
      <c r="F22" s="38" t="s">
        <v>276</v>
      </c>
      <c r="G22" s="38" t="s">
        <v>138</v>
      </c>
      <c r="H22" s="9" t="s">
        <v>208</v>
      </c>
      <c r="I22" s="38" t="s">
        <v>58</v>
      </c>
      <c r="J22" s="38">
        <v>0</v>
      </c>
      <c r="K22">
        <v>0</v>
      </c>
      <c r="L22">
        <v>0</v>
      </c>
      <c r="M22">
        <v>0</v>
      </c>
      <c r="N22" s="38">
        <v>17.25</v>
      </c>
      <c r="O22" s="38"/>
      <c r="P22" s="38" t="s">
        <v>154</v>
      </c>
      <c r="Q22" s="38"/>
    </row>
    <row r="23" spans="1:17" x14ac:dyDescent="0.25">
      <c r="A23" s="39">
        <v>45415</v>
      </c>
      <c r="B23" s="38" t="s">
        <v>5</v>
      </c>
      <c r="C23" s="38" t="s">
        <v>6</v>
      </c>
      <c r="D23" s="38" t="s">
        <v>283</v>
      </c>
      <c r="E23" s="38" t="s">
        <v>60</v>
      </c>
      <c r="F23" s="38" t="s">
        <v>285</v>
      </c>
      <c r="G23" s="38" t="s">
        <v>138</v>
      </c>
      <c r="H23" s="9" t="s">
        <v>209</v>
      </c>
      <c r="I23" s="38" t="s">
        <v>58</v>
      </c>
      <c r="J23" s="38">
        <v>0</v>
      </c>
      <c r="K23">
        <v>0</v>
      </c>
      <c r="L23">
        <v>0</v>
      </c>
      <c r="M23">
        <v>0</v>
      </c>
      <c r="N23" s="38">
        <v>16.46</v>
      </c>
      <c r="O23" s="38"/>
      <c r="P23" s="38" t="s">
        <v>153</v>
      </c>
      <c r="Q23" s="38"/>
    </row>
    <row r="24" spans="1:17" x14ac:dyDescent="0.25">
      <c r="A24" s="39">
        <v>45415</v>
      </c>
      <c r="B24" s="38" t="s">
        <v>9</v>
      </c>
      <c r="C24" s="38" t="s">
        <v>6</v>
      </c>
      <c r="D24" s="38" t="s">
        <v>189</v>
      </c>
      <c r="E24" s="38" t="s">
        <v>360</v>
      </c>
      <c r="F24" s="38" t="s">
        <v>276</v>
      </c>
      <c r="G24" s="38" t="s">
        <v>138</v>
      </c>
      <c r="H24" s="9" t="s">
        <v>210</v>
      </c>
      <c r="I24" s="38" t="s">
        <v>58</v>
      </c>
      <c r="J24" s="38">
        <v>0</v>
      </c>
      <c r="K24">
        <v>0</v>
      </c>
      <c r="L24">
        <v>0</v>
      </c>
      <c r="M24">
        <v>0</v>
      </c>
      <c r="N24" s="38">
        <v>23.18</v>
      </c>
      <c r="O24" s="38"/>
      <c r="P24" s="38" t="s">
        <v>153</v>
      </c>
      <c r="Q24" s="38"/>
    </row>
    <row r="25" spans="1:17" x14ac:dyDescent="0.25">
      <c r="A25" s="39">
        <v>45415</v>
      </c>
      <c r="B25" s="38" t="s">
        <v>10</v>
      </c>
      <c r="C25" s="38" t="s">
        <v>6</v>
      </c>
      <c r="D25" s="38" t="s">
        <v>263</v>
      </c>
      <c r="E25" s="38" t="s">
        <v>342</v>
      </c>
      <c r="F25" s="38" t="s">
        <v>90</v>
      </c>
      <c r="G25" s="38" t="s">
        <v>138</v>
      </c>
      <c r="H25" s="9" t="s">
        <v>211</v>
      </c>
      <c r="I25" s="38" t="s">
        <v>58</v>
      </c>
      <c r="J25" s="38">
        <v>0</v>
      </c>
      <c r="K25">
        <v>0</v>
      </c>
      <c r="L25">
        <v>0</v>
      </c>
      <c r="M25">
        <v>0</v>
      </c>
      <c r="N25" s="38">
        <v>74.34</v>
      </c>
      <c r="O25" s="38"/>
      <c r="P25" s="38" t="s">
        <v>151</v>
      </c>
      <c r="Q25" s="38"/>
    </row>
    <row r="26" spans="1:17" x14ac:dyDescent="0.25">
      <c r="A26" s="39">
        <v>45415</v>
      </c>
      <c r="B26" s="38" t="s">
        <v>11</v>
      </c>
      <c r="C26" s="38" t="s">
        <v>6</v>
      </c>
      <c r="D26" s="38" t="s">
        <v>205</v>
      </c>
      <c r="E26" s="38" t="s">
        <v>60</v>
      </c>
      <c r="F26" s="38" t="s">
        <v>93</v>
      </c>
      <c r="G26" s="38" t="s">
        <v>138</v>
      </c>
      <c r="H26" s="9" t="s">
        <v>212</v>
      </c>
      <c r="I26" s="38" t="s">
        <v>58</v>
      </c>
      <c r="J26" s="38">
        <v>0</v>
      </c>
      <c r="K26">
        <v>0</v>
      </c>
      <c r="L26">
        <v>0</v>
      </c>
      <c r="M26">
        <v>0</v>
      </c>
      <c r="N26" s="38">
        <v>11.39</v>
      </c>
      <c r="O26" s="38"/>
      <c r="P26" s="38" t="s">
        <v>147</v>
      </c>
      <c r="Q26" s="38"/>
    </row>
    <row r="27" spans="1:17" x14ac:dyDescent="0.25">
      <c r="A27" s="39">
        <v>45415</v>
      </c>
      <c r="B27" s="38" t="s">
        <v>12</v>
      </c>
      <c r="C27" s="38" t="s">
        <v>6</v>
      </c>
      <c r="D27" s="38" t="s">
        <v>286</v>
      </c>
      <c r="E27" s="38" t="s">
        <v>60</v>
      </c>
      <c r="F27" s="38" t="s">
        <v>285</v>
      </c>
      <c r="G27" s="38" t="s">
        <v>138</v>
      </c>
      <c r="H27" s="9" t="s">
        <v>213</v>
      </c>
      <c r="I27" s="38" t="s">
        <v>58</v>
      </c>
      <c r="J27" s="38">
        <v>0</v>
      </c>
      <c r="K27">
        <v>0</v>
      </c>
      <c r="L27">
        <v>0</v>
      </c>
      <c r="M27">
        <v>0</v>
      </c>
      <c r="N27" s="38">
        <v>11.98</v>
      </c>
      <c r="O27" s="38"/>
      <c r="P27" s="38" t="s">
        <v>154</v>
      </c>
      <c r="Q27" s="38"/>
    </row>
    <row r="28" spans="1:17" x14ac:dyDescent="0.25">
      <c r="A28" s="39">
        <v>45415</v>
      </c>
      <c r="B28" s="38" t="s">
        <v>105</v>
      </c>
      <c r="C28" s="38" t="s">
        <v>6</v>
      </c>
      <c r="D28" s="38" t="s">
        <v>267</v>
      </c>
      <c r="E28" s="38" t="s">
        <v>60</v>
      </c>
      <c r="F28" s="38" t="s">
        <v>93</v>
      </c>
      <c r="G28" s="38" t="s">
        <v>138</v>
      </c>
      <c r="H28" s="9" t="s">
        <v>214</v>
      </c>
      <c r="I28" s="38" t="s">
        <v>58</v>
      </c>
      <c r="J28" s="38">
        <v>0</v>
      </c>
      <c r="K28">
        <v>0</v>
      </c>
      <c r="L28">
        <v>0</v>
      </c>
      <c r="M28">
        <v>0</v>
      </c>
      <c r="N28" s="38">
        <v>12.39</v>
      </c>
      <c r="O28" s="38"/>
      <c r="P28" s="38" t="s">
        <v>147</v>
      </c>
      <c r="Q28" s="38"/>
    </row>
    <row r="29" spans="1:17" x14ac:dyDescent="0.25">
      <c r="A29" s="39">
        <v>45415</v>
      </c>
      <c r="B29" s="38" t="s">
        <v>104</v>
      </c>
      <c r="C29" s="38" t="s">
        <v>6</v>
      </c>
      <c r="D29" s="38" t="s">
        <v>143</v>
      </c>
      <c r="E29" s="38" t="s">
        <v>60</v>
      </c>
      <c r="F29" s="38" t="s">
        <v>285</v>
      </c>
      <c r="G29" s="38" t="s">
        <v>138</v>
      </c>
      <c r="H29" s="9" t="s">
        <v>215</v>
      </c>
      <c r="I29" s="38" t="s">
        <v>58</v>
      </c>
      <c r="J29" s="38">
        <v>0</v>
      </c>
      <c r="K29">
        <v>0</v>
      </c>
      <c r="L29">
        <v>0</v>
      </c>
      <c r="M29">
        <v>0</v>
      </c>
      <c r="N29" s="38">
        <v>13.96</v>
      </c>
      <c r="O29" s="38"/>
      <c r="P29" s="38" t="s">
        <v>154</v>
      </c>
      <c r="Q29" s="38"/>
    </row>
    <row r="30" spans="1:17" x14ac:dyDescent="0.25">
      <c r="A30" s="39">
        <v>45415</v>
      </c>
      <c r="B30" s="38" t="s">
        <v>13</v>
      </c>
      <c r="C30" s="38" t="s">
        <v>6</v>
      </c>
      <c r="D30" s="38" t="s">
        <v>350</v>
      </c>
      <c r="E30" s="38" t="s">
        <v>60</v>
      </c>
      <c r="F30" s="38" t="s">
        <v>93</v>
      </c>
      <c r="G30" s="38" t="s">
        <v>138</v>
      </c>
      <c r="H30" s="9" t="s">
        <v>216</v>
      </c>
      <c r="I30" s="38" t="s">
        <v>58</v>
      </c>
      <c r="J30" s="38">
        <v>0</v>
      </c>
      <c r="K30">
        <v>0</v>
      </c>
      <c r="L30">
        <v>0</v>
      </c>
      <c r="M30">
        <v>0</v>
      </c>
      <c r="N30" s="38">
        <v>12.4</v>
      </c>
      <c r="O30" s="38"/>
      <c r="P30" s="38" t="s">
        <v>147</v>
      </c>
      <c r="Q30" s="38"/>
    </row>
    <row r="31" spans="1:17" x14ac:dyDescent="0.25">
      <c r="A31" s="39">
        <v>45415</v>
      </c>
      <c r="B31" s="38" t="s">
        <v>103</v>
      </c>
      <c r="C31" s="38" t="s">
        <v>6</v>
      </c>
      <c r="D31" s="38" t="s">
        <v>179</v>
      </c>
      <c r="E31" s="38" t="s">
        <v>81</v>
      </c>
      <c r="F31" s="38" t="s">
        <v>90</v>
      </c>
      <c r="G31" s="38" t="s">
        <v>138</v>
      </c>
      <c r="H31" s="9" t="s">
        <v>217</v>
      </c>
      <c r="I31" s="38" t="s">
        <v>65</v>
      </c>
      <c r="J31" s="38">
        <v>0</v>
      </c>
      <c r="K31">
        <v>0</v>
      </c>
      <c r="L31">
        <v>0</v>
      </c>
      <c r="M31">
        <v>0</v>
      </c>
      <c r="N31" s="38">
        <v>41.9</v>
      </c>
      <c r="O31" s="38"/>
      <c r="P31" s="38" t="s">
        <v>187</v>
      </c>
      <c r="Q31" s="38"/>
    </row>
    <row r="32" spans="1:17" x14ac:dyDescent="0.25">
      <c r="A32" s="39">
        <v>45415</v>
      </c>
      <c r="B32" s="38" t="s">
        <v>101</v>
      </c>
      <c r="C32" s="38" t="s">
        <v>6</v>
      </c>
      <c r="D32" s="38" t="s">
        <v>405</v>
      </c>
      <c r="E32" s="38" t="s">
        <v>81</v>
      </c>
      <c r="F32" s="38" t="s">
        <v>285</v>
      </c>
      <c r="G32" s="38" t="s">
        <v>138</v>
      </c>
      <c r="H32" s="9" t="s">
        <v>102</v>
      </c>
      <c r="I32" s="38" t="s">
        <v>58</v>
      </c>
      <c r="J32" s="38">
        <v>0</v>
      </c>
      <c r="K32">
        <v>0</v>
      </c>
      <c r="L32">
        <v>0</v>
      </c>
      <c r="M32">
        <v>0</v>
      </c>
      <c r="N32" s="38">
        <v>19.600000000000001</v>
      </c>
      <c r="O32" s="38"/>
      <c r="P32" s="38" t="s">
        <v>151</v>
      </c>
      <c r="Q32" s="38"/>
    </row>
    <row r="33" spans="1:17" x14ac:dyDescent="0.25">
      <c r="A33" s="39">
        <v>45415</v>
      </c>
      <c r="B33" s="38" t="s">
        <v>99</v>
      </c>
      <c r="C33" s="38" t="s">
        <v>6</v>
      </c>
      <c r="D33" s="38" t="s">
        <v>249</v>
      </c>
      <c r="E33" s="38" t="s">
        <v>81</v>
      </c>
      <c r="F33" s="38" t="s">
        <v>90</v>
      </c>
      <c r="G33" s="38" t="s">
        <v>138</v>
      </c>
      <c r="H33" s="9" t="s">
        <v>100</v>
      </c>
      <c r="I33" s="38"/>
      <c r="J33" s="38">
        <v>0</v>
      </c>
      <c r="K33">
        <v>0</v>
      </c>
      <c r="L33">
        <v>0</v>
      </c>
      <c r="M33">
        <v>0</v>
      </c>
      <c r="N33" s="38">
        <v>41.83</v>
      </c>
      <c r="O33" s="38"/>
      <c r="P33" s="38" t="s">
        <v>152</v>
      </c>
      <c r="Q33" s="38"/>
    </row>
    <row r="34" spans="1:17" x14ac:dyDescent="0.25">
      <c r="A34" s="39">
        <v>45415</v>
      </c>
      <c r="B34" s="38" t="s">
        <v>97</v>
      </c>
      <c r="C34" s="38" t="s">
        <v>6</v>
      </c>
      <c r="D34" s="38" t="s">
        <v>288</v>
      </c>
      <c r="E34" s="38" t="s">
        <v>352</v>
      </c>
      <c r="F34" s="38" t="s">
        <v>285</v>
      </c>
      <c r="G34" s="38" t="s">
        <v>138</v>
      </c>
      <c r="H34" s="9" t="s">
        <v>98</v>
      </c>
      <c r="I34" s="38" t="s">
        <v>58</v>
      </c>
      <c r="J34" s="38">
        <v>0</v>
      </c>
      <c r="K34">
        <v>0</v>
      </c>
      <c r="L34">
        <v>0</v>
      </c>
      <c r="M34">
        <v>0</v>
      </c>
      <c r="N34" s="38">
        <v>22.49</v>
      </c>
      <c r="O34" s="38"/>
      <c r="P34" s="38" t="s">
        <v>148</v>
      </c>
      <c r="Q34" s="38"/>
    </row>
    <row r="35" spans="1:17" x14ac:dyDescent="0.25">
      <c r="A35" s="39">
        <v>45415</v>
      </c>
      <c r="B35" s="38" t="s">
        <v>95</v>
      </c>
      <c r="C35" s="38" t="s">
        <v>6</v>
      </c>
      <c r="D35" s="38" t="s">
        <v>181</v>
      </c>
      <c r="E35" s="38" t="s">
        <v>81</v>
      </c>
      <c r="F35" s="38" t="s">
        <v>90</v>
      </c>
      <c r="G35" s="38" t="s">
        <v>138</v>
      </c>
      <c r="H35" s="9" t="s">
        <v>96</v>
      </c>
      <c r="I35" s="38" t="s">
        <v>65</v>
      </c>
      <c r="J35" s="38">
        <v>0</v>
      </c>
      <c r="K35">
        <v>0</v>
      </c>
      <c r="L35">
        <v>0</v>
      </c>
      <c r="M35">
        <v>0</v>
      </c>
      <c r="N35" s="38">
        <v>20.38</v>
      </c>
      <c r="O35" s="38"/>
      <c r="P35" s="38" t="s">
        <v>152</v>
      </c>
      <c r="Q35" s="38"/>
    </row>
    <row r="36" spans="1:17" x14ac:dyDescent="0.25">
      <c r="A36" s="39">
        <v>45415</v>
      </c>
      <c r="B36" s="38" t="s">
        <v>14</v>
      </c>
      <c r="C36" s="38" t="s">
        <v>6</v>
      </c>
      <c r="D36" s="38" t="s">
        <v>289</v>
      </c>
      <c r="E36" s="38" t="s">
        <v>352</v>
      </c>
      <c r="F36" s="38" t="s">
        <v>285</v>
      </c>
      <c r="G36" s="38" t="s">
        <v>138</v>
      </c>
      <c r="H36" s="9" t="s">
        <v>94</v>
      </c>
      <c r="I36" s="38" t="s">
        <v>58</v>
      </c>
      <c r="J36" s="38">
        <v>0</v>
      </c>
      <c r="K36">
        <v>0</v>
      </c>
      <c r="L36">
        <v>0</v>
      </c>
      <c r="M36">
        <v>0</v>
      </c>
      <c r="N36" s="38">
        <v>25.88</v>
      </c>
      <c r="O36" s="38"/>
      <c r="P36" s="38" t="s">
        <v>151</v>
      </c>
      <c r="Q36" s="38"/>
    </row>
    <row r="37" spans="1:17" x14ac:dyDescent="0.25">
      <c r="A37" s="39">
        <v>45415</v>
      </c>
      <c r="B37" s="38" t="s">
        <v>91</v>
      </c>
      <c r="C37" s="38" t="s">
        <v>6</v>
      </c>
      <c r="D37" s="38" t="s">
        <v>180</v>
      </c>
      <c r="E37" s="38" t="s">
        <v>81</v>
      </c>
      <c r="F37" s="38" t="s">
        <v>90</v>
      </c>
      <c r="G37" s="38" t="s">
        <v>138</v>
      </c>
      <c r="H37" s="9" t="s">
        <v>92</v>
      </c>
      <c r="I37" s="38"/>
      <c r="J37" s="38">
        <v>0</v>
      </c>
      <c r="K37">
        <v>0</v>
      </c>
      <c r="L37">
        <v>0</v>
      </c>
      <c r="M37">
        <v>0</v>
      </c>
      <c r="N37" s="38">
        <v>16.73</v>
      </c>
      <c r="O37" s="38"/>
      <c r="P37" s="38" t="s">
        <v>148</v>
      </c>
      <c r="Q37" s="38"/>
    </row>
    <row r="38" spans="1:17" x14ac:dyDescent="0.25">
      <c r="A38" s="39">
        <v>45415</v>
      </c>
      <c r="B38" s="38" t="s">
        <v>15</v>
      </c>
      <c r="C38" s="38" t="s">
        <v>6</v>
      </c>
      <c r="D38" s="38" t="s">
        <v>140</v>
      </c>
      <c r="E38" s="38" t="s">
        <v>81</v>
      </c>
      <c r="F38" s="38" t="s">
        <v>285</v>
      </c>
      <c r="G38" s="38" t="s">
        <v>138</v>
      </c>
      <c r="H38" s="9" t="s">
        <v>218</v>
      </c>
      <c r="I38" s="38" t="s">
        <v>58</v>
      </c>
      <c r="J38" s="38">
        <v>0</v>
      </c>
      <c r="K38">
        <v>0</v>
      </c>
      <c r="L38">
        <v>0</v>
      </c>
      <c r="M38">
        <v>0</v>
      </c>
      <c r="N38" s="38">
        <v>20.190000000000001</v>
      </c>
      <c r="O38" s="38"/>
      <c r="P38" s="38" t="s">
        <v>148</v>
      </c>
      <c r="Q38" s="38"/>
    </row>
    <row r="39" spans="1:17" x14ac:dyDescent="0.25">
      <c r="A39" s="39">
        <v>45415</v>
      </c>
      <c r="B39" s="38" t="s">
        <v>89</v>
      </c>
      <c r="C39" s="38" t="s">
        <v>6</v>
      </c>
      <c r="D39" s="38" t="s">
        <v>176</v>
      </c>
      <c r="E39" s="38" t="s">
        <v>398</v>
      </c>
      <c r="F39" s="38" t="s">
        <v>90</v>
      </c>
      <c r="G39" s="38" t="s">
        <v>138</v>
      </c>
      <c r="H39" s="9" t="s">
        <v>219</v>
      </c>
      <c r="I39" s="38" t="s">
        <v>65</v>
      </c>
      <c r="J39" s="38">
        <v>0</v>
      </c>
      <c r="K39">
        <v>0</v>
      </c>
      <c r="L39">
        <v>0</v>
      </c>
      <c r="M39">
        <v>0</v>
      </c>
      <c r="N39" s="38">
        <v>17.670000000000002</v>
      </c>
      <c r="O39" s="38"/>
      <c r="P39" s="38" t="s">
        <v>186</v>
      </c>
      <c r="Q39" s="38"/>
    </row>
    <row r="40" spans="1:17" x14ac:dyDescent="0.25">
      <c r="A40" s="39">
        <v>45415</v>
      </c>
      <c r="B40" s="38" t="s">
        <v>16</v>
      </c>
      <c r="C40" s="38" t="s">
        <v>6</v>
      </c>
      <c r="D40" s="38" t="s">
        <v>407</v>
      </c>
      <c r="E40" s="38" t="s">
        <v>360</v>
      </c>
      <c r="F40" s="38" t="s">
        <v>253</v>
      </c>
      <c r="G40" s="38" t="s">
        <v>138</v>
      </c>
      <c r="H40" s="9" t="s">
        <v>220</v>
      </c>
      <c r="I40" s="38" t="s">
        <v>58</v>
      </c>
      <c r="J40" s="38">
        <v>0</v>
      </c>
      <c r="K40">
        <v>0</v>
      </c>
      <c r="L40">
        <v>0</v>
      </c>
      <c r="M40">
        <v>0</v>
      </c>
      <c r="N40" s="38">
        <v>21.19</v>
      </c>
      <c r="O40" s="38"/>
      <c r="P40" s="38" t="s">
        <v>151</v>
      </c>
      <c r="Q40" s="38"/>
    </row>
    <row r="41" spans="1:17" x14ac:dyDescent="0.25">
      <c r="A41" s="39">
        <v>45415</v>
      </c>
      <c r="B41" s="38" t="s">
        <v>88</v>
      </c>
      <c r="C41" s="38" t="s">
        <v>6</v>
      </c>
      <c r="D41" s="38" t="s">
        <v>311</v>
      </c>
      <c r="E41" s="38" t="s">
        <v>60</v>
      </c>
      <c r="F41" s="38" t="s">
        <v>253</v>
      </c>
      <c r="G41" s="38" t="s">
        <v>138</v>
      </c>
      <c r="H41" s="9" t="s">
        <v>221</v>
      </c>
      <c r="I41" s="38"/>
      <c r="J41" s="38">
        <v>0</v>
      </c>
      <c r="K41">
        <v>0</v>
      </c>
      <c r="L41">
        <v>0</v>
      </c>
      <c r="M41">
        <v>0</v>
      </c>
      <c r="N41" s="38">
        <v>38.44</v>
      </c>
      <c r="O41" s="38"/>
      <c r="P41" s="38" t="s">
        <v>154</v>
      </c>
      <c r="Q41" s="38"/>
    </row>
    <row r="42" spans="1:17" x14ac:dyDescent="0.25">
      <c r="A42" s="39">
        <v>45415</v>
      </c>
      <c r="B42" s="38" t="s">
        <v>17</v>
      </c>
      <c r="C42" s="38" t="s">
        <v>6</v>
      </c>
      <c r="D42" s="38" t="s">
        <v>272</v>
      </c>
      <c r="E42" s="38" t="s">
        <v>275</v>
      </c>
      <c r="F42" s="38" t="s">
        <v>276</v>
      </c>
      <c r="G42" s="38" t="s">
        <v>138</v>
      </c>
      <c r="H42" s="9" t="s">
        <v>222</v>
      </c>
      <c r="I42" s="38" t="s">
        <v>58</v>
      </c>
      <c r="J42" s="38">
        <v>0</v>
      </c>
      <c r="K42">
        <v>0</v>
      </c>
      <c r="L42">
        <v>0</v>
      </c>
      <c r="M42">
        <v>0</v>
      </c>
      <c r="N42" s="38">
        <v>20.56</v>
      </c>
      <c r="O42" s="38"/>
      <c r="P42" s="38" t="s">
        <v>151</v>
      </c>
      <c r="Q42" s="38"/>
    </row>
    <row r="43" spans="1:17" x14ac:dyDescent="0.25">
      <c r="A43" s="39">
        <v>45415</v>
      </c>
      <c r="B43" s="38" t="s">
        <v>19</v>
      </c>
      <c r="C43" s="38" t="s">
        <v>6</v>
      </c>
      <c r="D43" s="38" t="s">
        <v>343</v>
      </c>
      <c r="E43" s="38" t="s">
        <v>81</v>
      </c>
      <c r="F43" s="38" t="s">
        <v>253</v>
      </c>
      <c r="G43" s="38" t="s">
        <v>138</v>
      </c>
      <c r="H43" s="9" t="s">
        <v>223</v>
      </c>
      <c r="I43" s="38" t="s">
        <v>65</v>
      </c>
      <c r="J43" s="38">
        <v>0</v>
      </c>
      <c r="K43">
        <v>0</v>
      </c>
      <c r="L43">
        <v>0</v>
      </c>
      <c r="M43">
        <v>0</v>
      </c>
      <c r="N43" s="38">
        <v>41.06</v>
      </c>
      <c r="O43" s="38"/>
      <c r="P43" s="38" t="s">
        <v>151</v>
      </c>
      <c r="Q43" s="38"/>
    </row>
    <row r="44" spans="1:17" x14ac:dyDescent="0.25">
      <c r="A44" s="39">
        <v>45415</v>
      </c>
      <c r="B44" s="38" t="s">
        <v>18</v>
      </c>
      <c r="C44" s="38" t="s">
        <v>6</v>
      </c>
      <c r="D44" s="38" t="s">
        <v>268</v>
      </c>
      <c r="E44" s="38" t="s">
        <v>408</v>
      </c>
      <c r="F44" s="38" t="s">
        <v>253</v>
      </c>
      <c r="G44" s="38" t="s">
        <v>138</v>
      </c>
      <c r="H44" s="9" t="s">
        <v>224</v>
      </c>
      <c r="I44" s="38" t="s">
        <v>58</v>
      </c>
      <c r="J44" s="38">
        <v>0</v>
      </c>
      <c r="K44">
        <v>0</v>
      </c>
      <c r="L44">
        <v>0</v>
      </c>
      <c r="M44">
        <v>0</v>
      </c>
      <c r="N44" s="38">
        <v>18.89</v>
      </c>
      <c r="O44" s="38"/>
      <c r="P44" s="38" t="s">
        <v>148</v>
      </c>
      <c r="Q44" s="38"/>
    </row>
    <row r="45" spans="1:17" x14ac:dyDescent="0.25">
      <c r="A45" s="39">
        <v>45415</v>
      </c>
      <c r="B45" s="38" t="s">
        <v>87</v>
      </c>
      <c r="C45" s="38" t="s">
        <v>6</v>
      </c>
      <c r="D45" s="38"/>
      <c r="E45" s="38"/>
      <c r="F45" s="38"/>
      <c r="G45" s="38" t="s">
        <v>138</v>
      </c>
      <c r="H45" s="9" t="s">
        <v>225</v>
      </c>
      <c r="I45" s="38"/>
      <c r="J45" s="38">
        <v>0</v>
      </c>
      <c r="K45">
        <v>0</v>
      </c>
      <c r="L45">
        <v>0</v>
      </c>
      <c r="M45">
        <v>0</v>
      </c>
      <c r="N45" s="38">
        <v>41146219</v>
      </c>
      <c r="O45" s="38"/>
      <c r="P45" s="38"/>
      <c r="Q45" s="38"/>
    </row>
    <row r="46" spans="1:17" x14ac:dyDescent="0.25">
      <c r="A46" s="39">
        <v>45415</v>
      </c>
      <c r="B46" s="38" t="s">
        <v>42</v>
      </c>
      <c r="C46" s="38" t="s">
        <v>6</v>
      </c>
      <c r="D46" s="38" t="s">
        <v>246</v>
      </c>
      <c r="E46" s="38" t="s">
        <v>81</v>
      </c>
      <c r="F46" s="38" t="s">
        <v>285</v>
      </c>
      <c r="G46" s="38" t="s">
        <v>138</v>
      </c>
      <c r="H46" s="9" t="s">
        <v>226</v>
      </c>
      <c r="I46" s="38" t="s">
        <v>58</v>
      </c>
      <c r="J46" s="38">
        <v>0</v>
      </c>
      <c r="K46">
        <v>0</v>
      </c>
      <c r="L46">
        <v>0</v>
      </c>
      <c r="M46">
        <v>0</v>
      </c>
      <c r="N46" s="38">
        <v>20.7</v>
      </c>
      <c r="O46" s="38"/>
      <c r="P46" s="38" t="s">
        <v>148</v>
      </c>
      <c r="Q46" s="38"/>
    </row>
    <row r="47" spans="1:17" x14ac:dyDescent="0.25">
      <c r="A47" s="39">
        <v>45415</v>
      </c>
      <c r="B47" s="38" t="s">
        <v>86</v>
      </c>
      <c r="C47" s="38" t="s">
        <v>6</v>
      </c>
      <c r="D47" s="38" t="s">
        <v>271</v>
      </c>
      <c r="E47" s="38" t="s">
        <v>275</v>
      </c>
      <c r="F47" s="38" t="s">
        <v>276</v>
      </c>
      <c r="G47" s="38" t="s">
        <v>138</v>
      </c>
      <c r="H47" s="9" t="s">
        <v>227</v>
      </c>
      <c r="I47" s="38" t="s">
        <v>65</v>
      </c>
      <c r="J47" s="38">
        <v>0</v>
      </c>
      <c r="K47">
        <v>0</v>
      </c>
      <c r="L47">
        <v>0</v>
      </c>
      <c r="M47">
        <v>0</v>
      </c>
      <c r="N47" s="38">
        <v>41.64</v>
      </c>
      <c r="O47" s="38"/>
      <c r="P47" s="38" t="s">
        <v>152</v>
      </c>
      <c r="Q47" s="38"/>
    </row>
    <row r="48" spans="1:17" x14ac:dyDescent="0.25">
      <c r="A48" s="39">
        <v>45415</v>
      </c>
      <c r="B48" s="38" t="s">
        <v>38</v>
      </c>
      <c r="C48" s="38" t="s">
        <v>6</v>
      </c>
      <c r="D48" s="38" t="s">
        <v>141</v>
      </c>
      <c r="E48" s="38" t="s">
        <v>81</v>
      </c>
      <c r="F48" s="38" t="s">
        <v>285</v>
      </c>
      <c r="G48" s="38" t="s">
        <v>138</v>
      </c>
      <c r="H48" s="9" t="s">
        <v>85</v>
      </c>
      <c r="I48" s="38" t="s">
        <v>58</v>
      </c>
      <c r="J48" s="38">
        <v>0</v>
      </c>
      <c r="K48">
        <v>0</v>
      </c>
      <c r="L48">
        <v>0</v>
      </c>
      <c r="M48">
        <v>0</v>
      </c>
      <c r="N48" s="38">
        <v>37.5</v>
      </c>
      <c r="O48" s="38"/>
      <c r="P48" s="38" t="s">
        <v>151</v>
      </c>
      <c r="Q48" s="38"/>
    </row>
    <row r="49" spans="1:17" x14ac:dyDescent="0.25">
      <c r="A49" s="39">
        <v>45415</v>
      </c>
      <c r="B49" s="38" t="s">
        <v>83</v>
      </c>
      <c r="C49" s="38" t="s">
        <v>6</v>
      </c>
      <c r="D49" s="38"/>
      <c r="E49" s="38"/>
      <c r="F49" s="38"/>
      <c r="G49" s="38" t="s">
        <v>138</v>
      </c>
      <c r="H49" s="9" t="s">
        <v>84</v>
      </c>
      <c r="I49" s="38"/>
      <c r="J49" s="38">
        <v>0</v>
      </c>
      <c r="K49">
        <v>0</v>
      </c>
      <c r="L49">
        <v>0</v>
      </c>
      <c r="M49">
        <v>0</v>
      </c>
      <c r="N49" s="38">
        <v>41.36</v>
      </c>
      <c r="O49" s="38"/>
      <c r="P49" s="38"/>
      <c r="Q49" s="38"/>
    </row>
    <row r="50" spans="1:17" x14ac:dyDescent="0.25">
      <c r="A50" s="39">
        <v>45415</v>
      </c>
      <c r="B50" s="38" t="s">
        <v>20</v>
      </c>
      <c r="C50" s="38" t="s">
        <v>6</v>
      </c>
      <c r="D50" s="38" t="s">
        <v>351</v>
      </c>
      <c r="E50" s="38" t="s">
        <v>352</v>
      </c>
      <c r="F50" s="38" t="s">
        <v>285</v>
      </c>
      <c r="G50" s="38" t="s">
        <v>138</v>
      </c>
      <c r="H50" s="9" t="s">
        <v>82</v>
      </c>
      <c r="I50" s="38" t="s">
        <v>58</v>
      </c>
      <c r="J50" s="38">
        <v>0</v>
      </c>
      <c r="K50">
        <v>0</v>
      </c>
      <c r="L50">
        <v>0</v>
      </c>
      <c r="M50">
        <v>0</v>
      </c>
      <c r="N50" s="38">
        <v>22.79</v>
      </c>
      <c r="O50" s="38"/>
      <c r="P50" s="38" t="s">
        <v>151</v>
      </c>
      <c r="Q50" s="38"/>
    </row>
    <row r="51" spans="1:17" x14ac:dyDescent="0.25">
      <c r="A51" s="39">
        <v>45415</v>
      </c>
      <c r="B51" s="38" t="s">
        <v>21</v>
      </c>
      <c r="C51" s="38" t="s">
        <v>6</v>
      </c>
      <c r="D51" s="38" t="s">
        <v>291</v>
      </c>
      <c r="E51" s="38" t="s">
        <v>352</v>
      </c>
      <c r="F51" s="38" t="s">
        <v>285</v>
      </c>
      <c r="G51" s="38" t="s">
        <v>138</v>
      </c>
      <c r="H51" s="9" t="s">
        <v>80</v>
      </c>
      <c r="I51" s="38" t="s">
        <v>65</v>
      </c>
      <c r="J51" s="38">
        <v>0</v>
      </c>
      <c r="K51">
        <v>0</v>
      </c>
      <c r="L51">
        <v>0</v>
      </c>
      <c r="M51">
        <v>0</v>
      </c>
      <c r="N51" s="38">
        <v>21.59</v>
      </c>
      <c r="O51" s="38"/>
      <c r="P51" s="38" t="s">
        <v>152</v>
      </c>
      <c r="Q51" s="38"/>
    </row>
    <row r="52" spans="1:17" x14ac:dyDescent="0.25">
      <c r="A52" s="39">
        <v>45415</v>
      </c>
      <c r="B52" s="38" t="s">
        <v>22</v>
      </c>
      <c r="C52" s="38" t="s">
        <v>6</v>
      </c>
      <c r="D52" s="38" t="s">
        <v>353</v>
      </c>
      <c r="E52" s="38" t="s">
        <v>352</v>
      </c>
      <c r="F52" s="38" t="s">
        <v>285</v>
      </c>
      <c r="G52" s="38" t="s">
        <v>138</v>
      </c>
      <c r="H52" s="9" t="s">
        <v>79</v>
      </c>
      <c r="I52" s="38" t="s">
        <v>58</v>
      </c>
      <c r="J52" s="38">
        <v>0</v>
      </c>
      <c r="K52">
        <v>0</v>
      </c>
      <c r="L52">
        <v>0</v>
      </c>
      <c r="M52">
        <v>0</v>
      </c>
      <c r="N52" s="38">
        <v>13.62</v>
      </c>
      <c r="O52" s="38"/>
      <c r="P52" s="38" t="s">
        <v>148</v>
      </c>
      <c r="Q52" s="38"/>
    </row>
    <row r="53" spans="1:17" x14ac:dyDescent="0.25">
      <c r="A53" s="39">
        <v>45415</v>
      </c>
      <c r="B53" s="38" t="s">
        <v>77</v>
      </c>
      <c r="C53" s="38" t="s">
        <v>6</v>
      </c>
      <c r="D53" s="38"/>
      <c r="E53" s="38"/>
      <c r="F53" s="38"/>
      <c r="G53" s="38" t="s">
        <v>138</v>
      </c>
      <c r="H53" s="9" t="s">
        <v>78</v>
      </c>
      <c r="I53" s="38"/>
      <c r="J53" s="38">
        <v>0</v>
      </c>
      <c r="K53">
        <v>0</v>
      </c>
      <c r="L53">
        <v>0</v>
      </c>
      <c r="M53">
        <v>0</v>
      </c>
      <c r="N53" s="38">
        <v>17.88</v>
      </c>
      <c r="O53" s="38"/>
      <c r="P53" s="38"/>
      <c r="Q53" s="38"/>
    </row>
    <row r="54" spans="1:17" x14ac:dyDescent="0.25">
      <c r="A54" s="39">
        <v>45415</v>
      </c>
      <c r="B54" s="38" t="s">
        <v>23</v>
      </c>
      <c r="C54" s="38" t="s">
        <v>6</v>
      </c>
      <c r="D54" s="38" t="s">
        <v>409</v>
      </c>
      <c r="E54" s="38" t="s">
        <v>352</v>
      </c>
      <c r="F54" s="38" t="s">
        <v>285</v>
      </c>
      <c r="G54" s="38" t="s">
        <v>138</v>
      </c>
      <c r="H54" s="9" t="s">
        <v>228</v>
      </c>
      <c r="I54" s="38" t="s">
        <v>58</v>
      </c>
      <c r="J54" s="38">
        <v>0</v>
      </c>
      <c r="K54">
        <v>0</v>
      </c>
      <c r="L54">
        <v>0</v>
      </c>
      <c r="M54">
        <v>0</v>
      </c>
      <c r="N54" s="38">
        <v>23.22</v>
      </c>
      <c r="O54" s="38"/>
      <c r="P54" s="38" t="s">
        <v>148</v>
      </c>
      <c r="Q54" s="38"/>
    </row>
    <row r="55" spans="1:17" x14ac:dyDescent="0.25">
      <c r="A55" s="39">
        <v>45415</v>
      </c>
      <c r="B55" s="38" t="s">
        <v>24</v>
      </c>
      <c r="C55" s="38" t="s">
        <v>6</v>
      </c>
      <c r="D55" s="38" t="s">
        <v>344</v>
      </c>
      <c r="E55" s="38" t="s">
        <v>379</v>
      </c>
      <c r="F55" s="38" t="s">
        <v>253</v>
      </c>
      <c r="G55" s="38" t="s">
        <v>138</v>
      </c>
      <c r="H55" s="9" t="s">
        <v>229</v>
      </c>
      <c r="I55" s="38" t="s">
        <v>65</v>
      </c>
      <c r="J55" s="38">
        <v>0</v>
      </c>
      <c r="K55">
        <v>0</v>
      </c>
      <c r="L55">
        <v>0</v>
      </c>
      <c r="M55">
        <v>0</v>
      </c>
      <c r="N55" s="38">
        <v>18.37</v>
      </c>
      <c r="O55" s="38"/>
      <c r="P55" s="38" t="s">
        <v>152</v>
      </c>
      <c r="Q55" s="38"/>
    </row>
    <row r="56" spans="1:17" x14ac:dyDescent="0.25">
      <c r="A56" s="39">
        <v>45415</v>
      </c>
      <c r="B56" s="38" t="s">
        <v>75</v>
      </c>
      <c r="C56" s="38" t="s">
        <v>6</v>
      </c>
      <c r="D56" s="38" t="s">
        <v>410</v>
      </c>
      <c r="E56" s="38" t="s">
        <v>202</v>
      </c>
      <c r="F56" s="38" t="s">
        <v>346</v>
      </c>
      <c r="G56" s="38" t="s">
        <v>138</v>
      </c>
      <c r="H56" s="9" t="s">
        <v>230</v>
      </c>
      <c r="I56" s="38" t="s">
        <v>58</v>
      </c>
      <c r="J56" s="38">
        <v>0</v>
      </c>
      <c r="K56">
        <v>0</v>
      </c>
      <c r="L56">
        <v>0</v>
      </c>
      <c r="M56">
        <v>0</v>
      </c>
      <c r="N56" s="38">
        <v>12.9</v>
      </c>
      <c r="O56" s="38"/>
      <c r="P56" s="38" t="s">
        <v>303</v>
      </c>
      <c r="Q56" s="38"/>
    </row>
    <row r="57" spans="1:17" x14ac:dyDescent="0.25">
      <c r="A57" s="39">
        <v>45415</v>
      </c>
      <c r="B57" s="38" t="s">
        <v>25</v>
      </c>
      <c r="C57" s="38" t="s">
        <v>6</v>
      </c>
      <c r="D57" s="38" t="s">
        <v>383</v>
      </c>
      <c r="E57" s="38" t="s">
        <v>81</v>
      </c>
      <c r="F57" s="38" t="s">
        <v>285</v>
      </c>
      <c r="G57" s="38" t="s">
        <v>138</v>
      </c>
      <c r="H57" s="9" t="s">
        <v>231</v>
      </c>
      <c r="I57" s="38" t="s">
        <v>65</v>
      </c>
      <c r="J57" s="38">
        <v>0</v>
      </c>
      <c r="K57">
        <v>0</v>
      </c>
      <c r="L57">
        <v>0</v>
      </c>
      <c r="M57">
        <v>0</v>
      </c>
      <c r="N57" s="38">
        <v>12.16</v>
      </c>
      <c r="O57" s="38"/>
      <c r="P57" s="38" t="s">
        <v>148</v>
      </c>
      <c r="Q57" s="38"/>
    </row>
    <row r="58" spans="1:17" x14ac:dyDescent="0.25">
      <c r="A58" s="39">
        <v>45415</v>
      </c>
      <c r="B58" s="38" t="s">
        <v>74</v>
      </c>
      <c r="C58" s="38" t="s">
        <v>6</v>
      </c>
      <c r="D58" s="38" t="s">
        <v>292</v>
      </c>
      <c r="E58" s="38" t="s">
        <v>60</v>
      </c>
      <c r="F58" s="38" t="s">
        <v>346</v>
      </c>
      <c r="G58" s="38" t="s">
        <v>138</v>
      </c>
      <c r="H58" s="9" t="s">
        <v>232</v>
      </c>
      <c r="I58" s="38" t="s">
        <v>58</v>
      </c>
      <c r="J58" s="38">
        <v>0</v>
      </c>
      <c r="K58">
        <v>0</v>
      </c>
      <c r="L58">
        <v>0</v>
      </c>
      <c r="M58">
        <v>0</v>
      </c>
      <c r="N58" s="38">
        <v>15.61</v>
      </c>
      <c r="O58" s="38"/>
      <c r="P58" s="38" t="s">
        <v>293</v>
      </c>
      <c r="Q58" s="38"/>
    </row>
    <row r="59" spans="1:17" x14ac:dyDescent="0.25">
      <c r="A59" s="39">
        <v>45415</v>
      </c>
      <c r="B59" s="38" t="s">
        <v>26</v>
      </c>
      <c r="C59" s="38" t="s">
        <v>6</v>
      </c>
      <c r="D59" s="38" t="s">
        <v>294</v>
      </c>
      <c r="E59" s="38" t="s">
        <v>56</v>
      </c>
      <c r="F59" s="38" t="s">
        <v>184</v>
      </c>
      <c r="G59" s="38" t="s">
        <v>138</v>
      </c>
      <c r="H59" s="9" t="s">
        <v>233</v>
      </c>
      <c r="I59" s="38" t="s">
        <v>65</v>
      </c>
      <c r="J59" s="38">
        <v>0</v>
      </c>
      <c r="K59">
        <v>0</v>
      </c>
      <c r="L59">
        <v>0</v>
      </c>
      <c r="M59">
        <v>0</v>
      </c>
      <c r="N59" s="38">
        <v>13.29</v>
      </c>
      <c r="O59" s="38"/>
      <c r="P59" s="38" t="s">
        <v>155</v>
      </c>
      <c r="Q59" s="38"/>
    </row>
    <row r="60" spans="1:17" x14ac:dyDescent="0.25">
      <c r="A60" s="39">
        <v>45415</v>
      </c>
      <c r="B60" s="38" t="s">
        <v>27</v>
      </c>
      <c r="C60" s="38" t="s">
        <v>6</v>
      </c>
      <c r="D60" s="38" t="s">
        <v>384</v>
      </c>
      <c r="E60" s="38" t="s">
        <v>366</v>
      </c>
      <c r="F60" s="38" t="s">
        <v>346</v>
      </c>
      <c r="G60" s="38" t="s">
        <v>138</v>
      </c>
      <c r="H60" s="9" t="s">
        <v>234</v>
      </c>
      <c r="I60" s="38" t="s">
        <v>58</v>
      </c>
      <c r="J60" s="38">
        <v>0</v>
      </c>
      <c r="K60">
        <v>0</v>
      </c>
      <c r="L60">
        <v>0</v>
      </c>
      <c r="M60">
        <v>0</v>
      </c>
      <c r="N60" s="38">
        <v>13.89</v>
      </c>
      <c r="O60" s="38"/>
      <c r="P60" s="38" t="s">
        <v>269</v>
      </c>
      <c r="Q60" s="38"/>
    </row>
    <row r="61" spans="1:17" x14ac:dyDescent="0.25">
      <c r="A61" s="39">
        <v>45415</v>
      </c>
      <c r="B61" s="38" t="s">
        <v>28</v>
      </c>
      <c r="C61" s="38" t="s">
        <v>6</v>
      </c>
      <c r="D61" s="38" t="s">
        <v>411</v>
      </c>
      <c r="E61" s="38" t="s">
        <v>56</v>
      </c>
      <c r="F61" s="38" t="s">
        <v>338</v>
      </c>
      <c r="G61" s="38" t="s">
        <v>138</v>
      </c>
      <c r="H61" s="9" t="s">
        <v>235</v>
      </c>
      <c r="I61" s="38" t="s">
        <v>65</v>
      </c>
      <c r="J61" s="38">
        <v>0</v>
      </c>
      <c r="K61">
        <v>0</v>
      </c>
      <c r="L61">
        <v>0</v>
      </c>
      <c r="M61">
        <v>0</v>
      </c>
      <c r="N61" s="38">
        <v>13.9</v>
      </c>
      <c r="O61" s="38"/>
      <c r="P61" s="38" t="s">
        <v>155</v>
      </c>
      <c r="Q61" s="38"/>
    </row>
    <row r="62" spans="1:17" x14ac:dyDescent="0.25">
      <c r="A62" s="39">
        <v>45415</v>
      </c>
      <c r="B62" s="38" t="s">
        <v>72</v>
      </c>
      <c r="C62" s="38" t="s">
        <v>6</v>
      </c>
      <c r="D62" s="38" t="s">
        <v>322</v>
      </c>
      <c r="E62" s="38" t="s">
        <v>202</v>
      </c>
      <c r="F62" s="38" t="s">
        <v>346</v>
      </c>
      <c r="G62" s="38" t="s">
        <v>138</v>
      </c>
      <c r="H62" s="9" t="s">
        <v>422</v>
      </c>
      <c r="I62" s="38" t="s">
        <v>58</v>
      </c>
      <c r="J62" s="38">
        <v>0</v>
      </c>
      <c r="K62">
        <v>0</v>
      </c>
      <c r="L62">
        <v>0</v>
      </c>
      <c r="M62">
        <v>0</v>
      </c>
      <c r="N62" s="38">
        <v>15.45</v>
      </c>
      <c r="O62" s="38"/>
      <c r="P62" s="38" t="s">
        <v>157</v>
      </c>
      <c r="Q62" s="38"/>
    </row>
    <row r="63" spans="1:17" x14ac:dyDescent="0.25">
      <c r="A63" s="39">
        <v>45415</v>
      </c>
      <c r="B63" s="38" t="s">
        <v>29</v>
      </c>
      <c r="C63" s="38" t="s">
        <v>6</v>
      </c>
      <c r="D63" s="38" t="s">
        <v>315</v>
      </c>
      <c r="E63" s="38" t="s">
        <v>56</v>
      </c>
      <c r="F63" s="38" t="s">
        <v>338</v>
      </c>
      <c r="G63" s="38" t="s">
        <v>138</v>
      </c>
      <c r="H63" s="9" t="s">
        <v>236</v>
      </c>
      <c r="I63" s="38" t="s">
        <v>65</v>
      </c>
      <c r="J63" s="38">
        <v>0</v>
      </c>
      <c r="K63">
        <v>0</v>
      </c>
      <c r="L63">
        <v>0</v>
      </c>
      <c r="M63">
        <v>0</v>
      </c>
      <c r="N63" s="38">
        <v>13.98</v>
      </c>
      <c r="O63" s="38"/>
      <c r="P63" s="38" t="s">
        <v>156</v>
      </c>
      <c r="Q63" s="38"/>
    </row>
    <row r="64" spans="1:17" x14ac:dyDescent="0.25">
      <c r="A64" s="39">
        <v>45415</v>
      </c>
      <c r="B64" s="38" t="s">
        <v>30</v>
      </c>
      <c r="C64" s="38" t="s">
        <v>6</v>
      </c>
      <c r="D64" s="38" t="s">
        <v>305</v>
      </c>
      <c r="E64" s="38" t="s">
        <v>81</v>
      </c>
      <c r="F64" s="38" t="s">
        <v>90</v>
      </c>
      <c r="G64" s="38" t="s">
        <v>138</v>
      </c>
      <c r="H64" s="9" t="s">
        <v>71</v>
      </c>
      <c r="I64" s="38" t="s">
        <v>58</v>
      </c>
      <c r="J64" s="38">
        <v>0</v>
      </c>
      <c r="K64">
        <v>0</v>
      </c>
      <c r="L64">
        <v>0</v>
      </c>
      <c r="M64">
        <v>0</v>
      </c>
      <c r="N64" s="38">
        <v>10.84</v>
      </c>
      <c r="O64" s="38"/>
      <c r="P64" s="38" t="s">
        <v>150</v>
      </c>
      <c r="Q64" s="38"/>
    </row>
    <row r="65" spans="1:17" x14ac:dyDescent="0.25">
      <c r="A65" s="39">
        <v>45415</v>
      </c>
      <c r="B65" s="38" t="s">
        <v>31</v>
      </c>
      <c r="C65" s="38" t="s">
        <v>6</v>
      </c>
      <c r="D65" s="38"/>
      <c r="E65" s="38" t="s">
        <v>56</v>
      </c>
      <c r="F65" s="38"/>
      <c r="G65" s="38" t="s">
        <v>138</v>
      </c>
      <c r="H65" s="9" t="s">
        <v>70</v>
      </c>
      <c r="I65" s="38" t="s">
        <v>65</v>
      </c>
      <c r="J65" s="38">
        <v>0</v>
      </c>
      <c r="K65">
        <v>0</v>
      </c>
      <c r="L65">
        <v>0</v>
      </c>
      <c r="M65">
        <v>0</v>
      </c>
      <c r="N65" s="38">
        <v>13.5</v>
      </c>
      <c r="O65" s="38"/>
      <c r="P65" s="38" t="s">
        <v>156</v>
      </c>
      <c r="Q65" s="38"/>
    </row>
    <row r="66" spans="1:17" x14ac:dyDescent="0.25">
      <c r="A66" s="39">
        <v>45415</v>
      </c>
      <c r="B66" s="38" t="s">
        <v>32</v>
      </c>
      <c r="C66" s="38" t="s">
        <v>6</v>
      </c>
      <c r="D66" s="38" t="s">
        <v>413</v>
      </c>
      <c r="E66" s="38" t="s">
        <v>202</v>
      </c>
      <c r="F66" s="38" t="s">
        <v>346</v>
      </c>
      <c r="G66" s="38" t="s">
        <v>138</v>
      </c>
      <c r="H66" s="9" t="s">
        <v>69</v>
      </c>
      <c r="I66" s="38" t="s">
        <v>58</v>
      </c>
      <c r="J66" s="38">
        <v>0</v>
      </c>
      <c r="K66">
        <v>0</v>
      </c>
      <c r="L66">
        <v>0</v>
      </c>
      <c r="M66">
        <v>0</v>
      </c>
      <c r="N66" s="38">
        <v>14.39</v>
      </c>
      <c r="O66" s="38"/>
      <c r="P66" s="38" t="s">
        <v>414</v>
      </c>
      <c r="Q66" s="38"/>
    </row>
    <row r="67" spans="1:17" x14ac:dyDescent="0.25">
      <c r="A67" s="39">
        <v>45415</v>
      </c>
      <c r="B67" s="38" t="s">
        <v>67</v>
      </c>
      <c r="C67" s="38" t="s">
        <v>6</v>
      </c>
      <c r="D67" s="38" t="s">
        <v>354</v>
      </c>
      <c r="E67" s="38" t="s">
        <v>56</v>
      </c>
      <c r="F67" s="38" t="s">
        <v>367</v>
      </c>
      <c r="G67" s="38" t="s">
        <v>138</v>
      </c>
      <c r="H67" s="9" t="s">
        <v>68</v>
      </c>
      <c r="I67" s="38" t="s">
        <v>65</v>
      </c>
      <c r="J67" s="38">
        <v>0</v>
      </c>
      <c r="K67">
        <v>0</v>
      </c>
      <c r="L67">
        <v>0</v>
      </c>
      <c r="M67">
        <v>0</v>
      </c>
      <c r="N67" s="38">
        <v>13.8</v>
      </c>
      <c r="O67" s="38"/>
      <c r="P67" s="38" t="s">
        <v>156</v>
      </c>
      <c r="Q67" s="38"/>
    </row>
    <row r="68" spans="1:17" x14ac:dyDescent="0.25">
      <c r="A68" s="39">
        <v>45415</v>
      </c>
      <c r="B68" s="38" t="s">
        <v>33</v>
      </c>
      <c r="C68" s="38" t="s">
        <v>6</v>
      </c>
      <c r="D68" s="38" t="s">
        <v>277</v>
      </c>
      <c r="E68" s="38" t="s">
        <v>73</v>
      </c>
      <c r="F68" s="38" t="s">
        <v>346</v>
      </c>
      <c r="G68" s="38" t="s">
        <v>138</v>
      </c>
      <c r="H68" s="9" t="s">
        <v>66</v>
      </c>
      <c r="I68" s="38" t="s">
        <v>58</v>
      </c>
      <c r="J68" s="38">
        <v>0</v>
      </c>
      <c r="K68">
        <v>0</v>
      </c>
      <c r="L68">
        <v>0</v>
      </c>
      <c r="M68">
        <v>0</v>
      </c>
      <c r="N68" s="38">
        <v>14.19</v>
      </c>
      <c r="O68" s="38"/>
      <c r="P68" s="38" t="s">
        <v>201</v>
      </c>
      <c r="Q68" s="38"/>
    </row>
    <row r="69" spans="1:17" x14ac:dyDescent="0.25">
      <c r="A69" s="39">
        <v>45415</v>
      </c>
      <c r="B69" s="38" t="s">
        <v>34</v>
      </c>
      <c r="C69" s="38" t="s">
        <v>6</v>
      </c>
      <c r="D69" s="38" t="s">
        <v>415</v>
      </c>
      <c r="E69" s="38" t="s">
        <v>56</v>
      </c>
      <c r="F69" s="38" t="s">
        <v>346</v>
      </c>
      <c r="G69" s="38" t="s">
        <v>138</v>
      </c>
      <c r="H69" s="9" t="s">
        <v>64</v>
      </c>
      <c r="I69" s="38" t="s">
        <v>65</v>
      </c>
      <c r="J69" s="38">
        <v>0</v>
      </c>
      <c r="K69">
        <v>0</v>
      </c>
      <c r="L69">
        <v>0</v>
      </c>
      <c r="M69">
        <v>0</v>
      </c>
      <c r="N69" s="38">
        <v>15.6</v>
      </c>
      <c r="O69" s="38"/>
      <c r="P69" s="38" t="s">
        <v>416</v>
      </c>
      <c r="Q69" s="38"/>
    </row>
    <row r="70" spans="1:17" x14ac:dyDescent="0.25">
      <c r="A70" s="39">
        <v>45415</v>
      </c>
      <c r="B70" s="38" t="s">
        <v>35</v>
      </c>
      <c r="C70" s="38" t="s">
        <v>6</v>
      </c>
      <c r="D70" s="38" t="s">
        <v>331</v>
      </c>
      <c r="E70" s="38" t="s">
        <v>60</v>
      </c>
      <c r="F70" s="38" t="s">
        <v>346</v>
      </c>
      <c r="G70" s="38" t="s">
        <v>138</v>
      </c>
      <c r="H70" s="9" t="s">
        <v>237</v>
      </c>
      <c r="I70" s="38" t="s">
        <v>58</v>
      </c>
      <c r="J70" s="38">
        <v>0</v>
      </c>
      <c r="K70">
        <v>0</v>
      </c>
      <c r="L70">
        <v>0</v>
      </c>
      <c r="M70">
        <v>0</v>
      </c>
      <c r="N70" s="38">
        <v>14.64</v>
      </c>
      <c r="O70" s="38"/>
      <c r="P70" s="38" t="s">
        <v>158</v>
      </c>
      <c r="Q70" s="38"/>
    </row>
    <row r="71" spans="1:17" x14ac:dyDescent="0.25">
      <c r="A71" s="39">
        <v>45415</v>
      </c>
      <c r="B71" s="38" t="s">
        <v>418</v>
      </c>
      <c r="C71" s="38" t="s">
        <v>6</v>
      </c>
      <c r="D71" s="38"/>
      <c r="E71" s="38"/>
      <c r="F71" s="38"/>
      <c r="G71" s="38" t="s">
        <v>138</v>
      </c>
      <c r="H71" s="9" t="s">
        <v>240</v>
      </c>
      <c r="I71" s="38" t="s">
        <v>262</v>
      </c>
      <c r="J71" s="38">
        <v>0</v>
      </c>
      <c r="K71">
        <v>0</v>
      </c>
      <c r="L71">
        <v>0</v>
      </c>
      <c r="M71">
        <v>0</v>
      </c>
      <c r="N71" s="38">
        <v>17.670000000000002</v>
      </c>
      <c r="O71" s="38"/>
      <c r="P71" s="38"/>
      <c r="Q71" s="38"/>
    </row>
    <row r="72" spans="1:17" x14ac:dyDescent="0.25">
      <c r="A72" s="39">
        <v>45415</v>
      </c>
      <c r="B72" s="38" t="s">
        <v>419</v>
      </c>
      <c r="C72" s="38" t="s">
        <v>6</v>
      </c>
      <c r="D72" s="38"/>
      <c r="E72" s="38"/>
      <c r="F72" s="38"/>
      <c r="G72" s="38" t="s">
        <v>138</v>
      </c>
      <c r="H72" s="9" t="s">
        <v>240</v>
      </c>
      <c r="I72" s="38" t="s">
        <v>262</v>
      </c>
      <c r="J72" s="38">
        <v>0</v>
      </c>
      <c r="K72">
        <v>0</v>
      </c>
      <c r="L72">
        <v>0</v>
      </c>
      <c r="M72">
        <v>0</v>
      </c>
      <c r="N72" s="38">
        <v>13.49</v>
      </c>
      <c r="O72" s="38"/>
      <c r="P72" s="38"/>
      <c r="Q72" s="38"/>
    </row>
    <row r="73" spans="1:17" x14ac:dyDescent="0.25">
      <c r="A73" s="39">
        <v>45415</v>
      </c>
      <c r="B73" s="38" t="s">
        <v>36</v>
      </c>
      <c r="C73" s="38" t="s">
        <v>6</v>
      </c>
      <c r="D73" s="38" t="s">
        <v>295</v>
      </c>
      <c r="E73" s="38" t="s">
        <v>81</v>
      </c>
      <c r="F73" s="38" t="s">
        <v>369</v>
      </c>
      <c r="G73" s="38" t="s">
        <v>138</v>
      </c>
      <c r="H73" s="9" t="s">
        <v>423</v>
      </c>
      <c r="I73" s="38" t="s">
        <v>58</v>
      </c>
      <c r="J73" s="38">
        <v>0</v>
      </c>
      <c r="K73">
        <v>0</v>
      </c>
      <c r="L73">
        <v>0</v>
      </c>
      <c r="M73">
        <v>0</v>
      </c>
      <c r="N73" s="38">
        <v>38472557</v>
      </c>
      <c r="O73" s="38"/>
      <c r="P73" s="38" t="s">
        <v>156</v>
      </c>
      <c r="Q73" s="38"/>
    </row>
    <row r="74" spans="1:17" x14ac:dyDescent="0.25">
      <c r="A74" s="39">
        <v>45415</v>
      </c>
      <c r="B74" s="38" t="s">
        <v>256</v>
      </c>
      <c r="C74" s="38" t="s">
        <v>6</v>
      </c>
      <c r="D74" s="38" t="s">
        <v>392</v>
      </c>
      <c r="E74" s="38" t="s">
        <v>417</v>
      </c>
      <c r="F74" s="38" t="s">
        <v>192</v>
      </c>
      <c r="G74" s="38" t="s">
        <v>138</v>
      </c>
      <c r="H74" s="9"/>
      <c r="I74" s="38" t="s">
        <v>262</v>
      </c>
      <c r="J74" s="38">
        <v>0</v>
      </c>
      <c r="K74">
        <v>0</v>
      </c>
      <c r="L74">
        <v>0</v>
      </c>
      <c r="M74">
        <v>0</v>
      </c>
      <c r="N74" s="38">
        <v>0</v>
      </c>
      <c r="O74" s="38"/>
      <c r="P74" s="38" t="s">
        <v>149</v>
      </c>
      <c r="Q74" s="38"/>
    </row>
    <row r="75" spans="1:17" x14ac:dyDescent="0.25">
      <c r="A75" s="39">
        <v>45415</v>
      </c>
      <c r="B75" s="38" t="s">
        <v>257</v>
      </c>
      <c r="C75" s="38" t="s">
        <v>6</v>
      </c>
      <c r="D75" s="38" t="s">
        <v>392</v>
      </c>
      <c r="E75" s="38" t="s">
        <v>417</v>
      </c>
      <c r="F75" s="38" t="s">
        <v>192</v>
      </c>
      <c r="G75" s="38" t="s">
        <v>138</v>
      </c>
      <c r="H75" s="9"/>
      <c r="I75" s="38" t="s">
        <v>58</v>
      </c>
      <c r="J75" s="38">
        <v>0</v>
      </c>
      <c r="K75">
        <v>0</v>
      </c>
      <c r="L75">
        <v>0</v>
      </c>
      <c r="M75">
        <v>0</v>
      </c>
      <c r="N75" s="38">
        <v>38.46</v>
      </c>
      <c r="O75" s="38"/>
      <c r="P75" s="38" t="s">
        <v>149</v>
      </c>
      <c r="Q75" s="38"/>
    </row>
    <row r="76" spans="1:17" x14ac:dyDescent="0.25">
      <c r="A76" s="39">
        <v>45415</v>
      </c>
      <c r="B76" s="38" t="s">
        <v>37</v>
      </c>
      <c r="C76" s="38" t="s">
        <v>6</v>
      </c>
      <c r="D76" s="38" t="s">
        <v>347</v>
      </c>
      <c r="E76" s="38" t="s">
        <v>348</v>
      </c>
      <c r="F76" s="38" t="s">
        <v>346</v>
      </c>
      <c r="G76" s="38" t="s">
        <v>138</v>
      </c>
      <c r="H76" s="9" t="s">
        <v>425</v>
      </c>
      <c r="I76" s="38" t="s">
        <v>58</v>
      </c>
      <c r="J76" s="38">
        <v>0</v>
      </c>
      <c r="K76">
        <v>0</v>
      </c>
      <c r="L76">
        <v>0</v>
      </c>
      <c r="M76">
        <v>0</v>
      </c>
      <c r="N76" s="38">
        <v>13.5</v>
      </c>
      <c r="O76" s="38"/>
      <c r="P76" s="38" t="s">
        <v>270</v>
      </c>
      <c r="Q76" s="38"/>
    </row>
    <row r="77" spans="1:17" x14ac:dyDescent="0.25">
      <c r="A77" s="39">
        <v>45415</v>
      </c>
      <c r="B77" s="38" t="s">
        <v>258</v>
      </c>
      <c r="C77" s="38" t="s">
        <v>6</v>
      </c>
      <c r="D77" s="38"/>
      <c r="E77" s="38"/>
      <c r="F77" s="38"/>
      <c r="G77" s="38" t="s">
        <v>138</v>
      </c>
      <c r="H77" s="9" t="s">
        <v>426</v>
      </c>
      <c r="I77" s="38" t="s">
        <v>262</v>
      </c>
      <c r="J77" s="38">
        <v>0</v>
      </c>
      <c r="K77">
        <v>0</v>
      </c>
      <c r="L77">
        <v>0</v>
      </c>
      <c r="M77">
        <v>0</v>
      </c>
      <c r="N77" s="38">
        <v>13.5</v>
      </c>
      <c r="O77" s="38"/>
      <c r="P77" s="38" t="s">
        <v>148</v>
      </c>
      <c r="Q77" s="38"/>
    </row>
    <row r="78" spans="1:17" x14ac:dyDescent="0.25">
      <c r="A78" s="39">
        <v>45415</v>
      </c>
      <c r="B78" s="38" t="s">
        <v>259</v>
      </c>
      <c r="C78" s="38" t="s">
        <v>6</v>
      </c>
      <c r="D78" s="38"/>
      <c r="E78" s="38"/>
      <c r="F78" s="38"/>
      <c r="G78" s="38" t="s">
        <v>138</v>
      </c>
      <c r="H78" s="9" t="s">
        <v>426</v>
      </c>
      <c r="I78" s="38" t="s">
        <v>262</v>
      </c>
      <c r="J78" s="38">
        <v>0</v>
      </c>
      <c r="K78">
        <v>0</v>
      </c>
      <c r="L78">
        <v>0</v>
      </c>
      <c r="M78">
        <v>0</v>
      </c>
      <c r="N78" s="38">
        <v>41.06</v>
      </c>
      <c r="O78" s="38"/>
      <c r="P78" s="38" t="s">
        <v>148</v>
      </c>
      <c r="Q78" s="38"/>
    </row>
    <row r="79" spans="1:17" x14ac:dyDescent="0.25">
      <c r="A79" s="39">
        <v>45415</v>
      </c>
      <c r="B79" s="38" t="s">
        <v>54</v>
      </c>
      <c r="C79" s="38" t="s">
        <v>6</v>
      </c>
      <c r="D79" s="38" t="s">
        <v>55</v>
      </c>
      <c r="E79" s="38" t="s">
        <v>56</v>
      </c>
      <c r="F79" s="38" t="s">
        <v>57</v>
      </c>
      <c r="G79" s="38" t="s">
        <v>138</v>
      </c>
      <c r="H79" s="9" t="s">
        <v>427</v>
      </c>
      <c r="I79" s="38" t="s">
        <v>58</v>
      </c>
      <c r="J79" s="38">
        <v>0</v>
      </c>
      <c r="K79">
        <v>0</v>
      </c>
      <c r="L79">
        <v>0</v>
      </c>
      <c r="M79">
        <v>0</v>
      </c>
      <c r="N79" s="38">
        <v>41.06</v>
      </c>
      <c r="O79" s="38"/>
      <c r="P79" s="38" t="s">
        <v>159</v>
      </c>
      <c r="Q79" s="38"/>
    </row>
    <row r="80" spans="1:17" x14ac:dyDescent="0.25">
      <c r="A80" s="39">
        <v>45415</v>
      </c>
      <c r="B80" s="38" t="s">
        <v>136</v>
      </c>
      <c r="C80" s="38" t="s">
        <v>7</v>
      </c>
      <c r="D80" s="38" t="s">
        <v>174</v>
      </c>
      <c r="E80" s="38" t="s">
        <v>81</v>
      </c>
      <c r="F80" s="38" t="s">
        <v>90</v>
      </c>
      <c r="G80" s="38" t="s">
        <v>138</v>
      </c>
      <c r="H80" s="9" t="s">
        <v>160</v>
      </c>
      <c r="I80" s="38" t="s">
        <v>58</v>
      </c>
      <c r="J80" s="38">
        <v>0</v>
      </c>
      <c r="K80" s="38">
        <v>0</v>
      </c>
      <c r="L80" s="38">
        <v>0</v>
      </c>
      <c r="M80" s="38">
        <v>0</v>
      </c>
      <c r="N80" s="38">
        <v>42144554</v>
      </c>
      <c r="O80" s="38"/>
      <c r="P80" s="38" t="s">
        <v>153</v>
      </c>
      <c r="Q80" s="38"/>
    </row>
    <row r="81" spans="1:17" x14ac:dyDescent="0.25">
      <c r="A81" s="39">
        <v>45415</v>
      </c>
      <c r="B81" s="38" t="s">
        <v>135</v>
      </c>
      <c r="C81" s="38" t="s">
        <v>7</v>
      </c>
      <c r="D81" s="38" t="s">
        <v>332</v>
      </c>
      <c r="E81" s="38" t="s">
        <v>81</v>
      </c>
      <c r="F81" s="38" t="s">
        <v>90</v>
      </c>
      <c r="G81" s="38" t="s">
        <v>138</v>
      </c>
      <c r="H81" s="9" t="s">
        <v>161</v>
      </c>
      <c r="I81" s="38" t="s">
        <v>58</v>
      </c>
      <c r="J81" s="38">
        <v>0</v>
      </c>
      <c r="K81" s="38">
        <v>0</v>
      </c>
      <c r="L81" s="38">
        <v>0</v>
      </c>
      <c r="M81" s="38">
        <v>0</v>
      </c>
      <c r="N81" s="38">
        <v>24.09</v>
      </c>
      <c r="O81" s="38"/>
      <c r="P81" s="38" t="s">
        <v>148</v>
      </c>
      <c r="Q81" s="38"/>
    </row>
    <row r="82" spans="1:17" x14ac:dyDescent="0.25">
      <c r="A82" s="39">
        <v>45415</v>
      </c>
      <c r="B82" s="38" t="s">
        <v>134</v>
      </c>
      <c r="C82" s="38" t="s">
        <v>7</v>
      </c>
      <c r="D82" s="38" t="s">
        <v>175</v>
      </c>
      <c r="E82" s="38" t="s">
        <v>81</v>
      </c>
      <c r="F82" s="38" t="s">
        <v>90</v>
      </c>
      <c r="G82" s="38" t="s">
        <v>138</v>
      </c>
      <c r="H82" s="9" t="s">
        <v>206</v>
      </c>
      <c r="I82" s="38" t="s">
        <v>58</v>
      </c>
      <c r="J82" s="38">
        <v>0</v>
      </c>
      <c r="K82" s="38">
        <v>0</v>
      </c>
      <c r="L82" s="38">
        <v>0</v>
      </c>
      <c r="M82" s="38">
        <v>0</v>
      </c>
      <c r="N82" s="38">
        <v>0</v>
      </c>
      <c r="O82" s="38"/>
      <c r="P82" s="38" t="s">
        <v>148</v>
      </c>
      <c r="Q82" s="38"/>
    </row>
    <row r="83" spans="1:17" x14ac:dyDescent="0.25">
      <c r="A83" s="39">
        <v>45415</v>
      </c>
      <c r="B83" s="38" t="s">
        <v>132</v>
      </c>
      <c r="C83" s="38" t="s">
        <v>7</v>
      </c>
      <c r="D83" s="38" t="s">
        <v>133</v>
      </c>
      <c r="E83" s="38" t="s">
        <v>126</v>
      </c>
      <c r="F83" s="38" t="s">
        <v>199</v>
      </c>
      <c r="G83" s="38" t="s">
        <v>138</v>
      </c>
      <c r="H83" s="9" t="s">
        <v>162</v>
      </c>
      <c r="I83" s="38" t="s">
        <v>58</v>
      </c>
      <c r="J83" s="38">
        <v>0</v>
      </c>
      <c r="K83" s="38">
        <v>0</v>
      </c>
      <c r="L83" s="38">
        <v>0</v>
      </c>
      <c r="M83" s="38">
        <v>0</v>
      </c>
      <c r="N83" s="38">
        <v>38.369999999999997</v>
      </c>
      <c r="O83" s="38"/>
      <c r="P83" s="38" t="s">
        <v>149</v>
      </c>
      <c r="Q83" s="38"/>
    </row>
    <row r="84" spans="1:17" x14ac:dyDescent="0.25">
      <c r="A84" s="39">
        <v>45415</v>
      </c>
      <c r="B84" s="38" t="s">
        <v>131</v>
      </c>
      <c r="C84" s="38" t="s">
        <v>7</v>
      </c>
      <c r="D84" s="38" t="s">
        <v>396</v>
      </c>
      <c r="E84" s="38" t="s">
        <v>60</v>
      </c>
      <c r="F84" s="38" t="s">
        <v>90</v>
      </c>
      <c r="G84" s="38" t="s">
        <v>138</v>
      </c>
      <c r="H84" s="9" t="s">
        <v>163</v>
      </c>
      <c r="I84" s="38" t="s">
        <v>58</v>
      </c>
      <c r="J84" s="38">
        <v>0</v>
      </c>
      <c r="K84" s="38">
        <v>0</v>
      </c>
      <c r="L84" s="38">
        <v>0</v>
      </c>
      <c r="M84" s="38">
        <v>0</v>
      </c>
      <c r="N84" s="38">
        <v>23.93</v>
      </c>
      <c r="O84" s="38"/>
      <c r="P84" s="38" t="s">
        <v>154</v>
      </c>
      <c r="Q84" s="38"/>
    </row>
    <row r="85" spans="1:17" x14ac:dyDescent="0.25">
      <c r="A85" s="39">
        <v>45415</v>
      </c>
      <c r="B85" s="38" t="s">
        <v>130</v>
      </c>
      <c r="C85" s="38" t="s">
        <v>7</v>
      </c>
      <c r="D85" s="38" t="s">
        <v>191</v>
      </c>
      <c r="E85" s="38" t="s">
        <v>81</v>
      </c>
      <c r="F85" s="38" t="s">
        <v>285</v>
      </c>
      <c r="G85" s="38" t="s">
        <v>138</v>
      </c>
      <c r="H85" s="9" t="s">
        <v>420</v>
      </c>
      <c r="I85" s="38" t="s">
        <v>58</v>
      </c>
      <c r="J85" s="38">
        <v>0</v>
      </c>
      <c r="K85" s="38">
        <v>0</v>
      </c>
      <c r="L85" s="38">
        <v>0</v>
      </c>
      <c r="M85" s="38">
        <v>0</v>
      </c>
      <c r="N85" s="38">
        <v>14.99</v>
      </c>
      <c r="O85" s="38"/>
      <c r="P85" s="38" t="s">
        <v>148</v>
      </c>
      <c r="Q85" s="38"/>
    </row>
    <row r="86" spans="1:17" x14ac:dyDescent="0.25">
      <c r="A86" s="39">
        <v>45415</v>
      </c>
      <c r="B86" s="38" t="s">
        <v>128</v>
      </c>
      <c r="C86" s="38" t="s">
        <v>7</v>
      </c>
      <c r="D86" s="38" t="s">
        <v>129</v>
      </c>
      <c r="E86" s="38" t="s">
        <v>126</v>
      </c>
      <c r="F86" s="38" t="s">
        <v>199</v>
      </c>
      <c r="G86" s="38" t="s">
        <v>138</v>
      </c>
      <c r="H86" s="9" t="s">
        <v>164</v>
      </c>
      <c r="I86" s="38" t="s">
        <v>58</v>
      </c>
      <c r="J86" s="38">
        <v>0</v>
      </c>
      <c r="K86" s="38">
        <v>0</v>
      </c>
      <c r="L86" s="38">
        <v>0</v>
      </c>
      <c r="M86" s="38">
        <v>0</v>
      </c>
      <c r="N86" s="38">
        <v>41.06</v>
      </c>
      <c r="O86" s="38"/>
      <c r="P86" s="38" t="s">
        <v>149</v>
      </c>
      <c r="Q86" s="38"/>
    </row>
    <row r="87" spans="1:17" x14ac:dyDescent="0.25">
      <c r="A87" s="39">
        <v>45415</v>
      </c>
      <c r="B87" s="38" t="s">
        <v>40</v>
      </c>
      <c r="C87" s="38" t="s">
        <v>7</v>
      </c>
      <c r="D87" s="38" t="s">
        <v>397</v>
      </c>
      <c r="E87" s="38" t="s">
        <v>60</v>
      </c>
      <c r="F87" s="38" t="s">
        <v>200</v>
      </c>
      <c r="G87" s="38" t="s">
        <v>138</v>
      </c>
      <c r="H87" s="9" t="s">
        <v>165</v>
      </c>
      <c r="I87" s="38" t="s">
        <v>58</v>
      </c>
      <c r="J87" s="38">
        <v>0</v>
      </c>
      <c r="K87" s="38">
        <v>0</v>
      </c>
      <c r="L87" s="38">
        <v>0</v>
      </c>
      <c r="M87" s="38">
        <v>0</v>
      </c>
      <c r="N87" s="38">
        <v>14.92</v>
      </c>
      <c r="O87" s="38"/>
      <c r="P87" s="38" t="s">
        <v>153</v>
      </c>
      <c r="Q87" s="38"/>
    </row>
    <row r="88" spans="1:17" x14ac:dyDescent="0.25">
      <c r="A88" s="39">
        <v>45415</v>
      </c>
      <c r="B88" s="38" t="s">
        <v>127</v>
      </c>
      <c r="C88" s="38" t="s">
        <v>7</v>
      </c>
      <c r="D88" s="38" t="s">
        <v>203</v>
      </c>
      <c r="E88" s="38" t="s">
        <v>81</v>
      </c>
      <c r="F88" s="38" t="s">
        <v>285</v>
      </c>
      <c r="G88" s="38" t="s">
        <v>138</v>
      </c>
      <c r="H88" s="9" t="s">
        <v>207</v>
      </c>
      <c r="I88" s="38" t="s">
        <v>58</v>
      </c>
      <c r="J88" s="38">
        <v>0</v>
      </c>
      <c r="K88" s="38">
        <v>0</v>
      </c>
      <c r="L88" s="38">
        <v>0</v>
      </c>
      <c r="M88" s="38">
        <v>0</v>
      </c>
      <c r="N88" s="38">
        <v>20.85</v>
      </c>
      <c r="O88" s="38"/>
      <c r="P88" s="38" t="s">
        <v>151</v>
      </c>
      <c r="Q88" s="38"/>
    </row>
    <row r="89" spans="1:17" x14ac:dyDescent="0.25">
      <c r="A89" s="39">
        <v>45415</v>
      </c>
      <c r="B89" s="38" t="s">
        <v>124</v>
      </c>
      <c r="C89" s="38" t="s">
        <v>7</v>
      </c>
      <c r="D89" s="38" t="s">
        <v>340</v>
      </c>
      <c r="E89" s="38" t="s">
        <v>126</v>
      </c>
      <c r="F89" s="38" t="s">
        <v>199</v>
      </c>
      <c r="G89" s="38" t="s">
        <v>138</v>
      </c>
      <c r="H89" s="9" t="s">
        <v>166</v>
      </c>
      <c r="I89" s="38" t="s">
        <v>58</v>
      </c>
      <c r="J89" s="38">
        <v>0</v>
      </c>
      <c r="K89" s="38">
        <v>0</v>
      </c>
      <c r="L89" s="38">
        <v>0</v>
      </c>
      <c r="M89" s="38">
        <v>0</v>
      </c>
      <c r="N89" s="38">
        <v>39863813</v>
      </c>
      <c r="O89" s="38"/>
      <c r="P89" s="38" t="s">
        <v>149</v>
      </c>
      <c r="Q89" s="38"/>
    </row>
    <row r="90" spans="1:17" x14ac:dyDescent="0.25">
      <c r="A90" s="39">
        <v>45415</v>
      </c>
      <c r="B90" s="38" t="s">
        <v>122</v>
      </c>
      <c r="C90" s="38" t="s">
        <v>7</v>
      </c>
      <c r="D90" s="38" t="s">
        <v>356</v>
      </c>
      <c r="E90" s="38" t="s">
        <v>81</v>
      </c>
      <c r="F90" s="38" t="s">
        <v>90</v>
      </c>
      <c r="G90" s="38" t="s">
        <v>138</v>
      </c>
      <c r="H90" s="9" t="s">
        <v>167</v>
      </c>
      <c r="I90" s="38" t="s">
        <v>58</v>
      </c>
      <c r="J90" s="38">
        <v>0</v>
      </c>
      <c r="K90" s="38">
        <v>0</v>
      </c>
      <c r="L90" s="38">
        <v>0</v>
      </c>
      <c r="M90" s="38">
        <v>0</v>
      </c>
      <c r="N90" s="38">
        <v>20.9</v>
      </c>
      <c r="O90" s="38"/>
      <c r="P90" s="38" t="s">
        <v>148</v>
      </c>
      <c r="Q90" s="38"/>
    </row>
    <row r="91" spans="1:17" x14ac:dyDescent="0.25">
      <c r="A91" s="39">
        <v>45415</v>
      </c>
      <c r="B91" s="38" t="s">
        <v>120</v>
      </c>
      <c r="C91" s="38" t="s">
        <v>7</v>
      </c>
      <c r="D91" s="38" t="s">
        <v>333</v>
      </c>
      <c r="E91" s="38" t="s">
        <v>375</v>
      </c>
      <c r="F91" s="38" t="s">
        <v>285</v>
      </c>
      <c r="G91" s="38" t="s">
        <v>138</v>
      </c>
      <c r="H91" s="9" t="s">
        <v>121</v>
      </c>
      <c r="I91" s="38" t="s">
        <v>58</v>
      </c>
      <c r="J91" s="38">
        <v>0</v>
      </c>
      <c r="K91" s="38">
        <v>0</v>
      </c>
      <c r="L91" s="38">
        <v>0</v>
      </c>
      <c r="M91" s="38">
        <v>0</v>
      </c>
      <c r="N91" s="38">
        <v>41.69</v>
      </c>
      <c r="O91" s="38"/>
      <c r="P91" s="38" t="s">
        <v>151</v>
      </c>
      <c r="Q91" s="38"/>
    </row>
    <row r="92" spans="1:17" x14ac:dyDescent="0.25">
      <c r="A92" s="39">
        <v>45415</v>
      </c>
      <c r="B92" s="38" t="s">
        <v>119</v>
      </c>
      <c r="C92" s="38" t="s">
        <v>7</v>
      </c>
      <c r="D92" s="38" t="s">
        <v>178</v>
      </c>
      <c r="E92" s="38" t="s">
        <v>399</v>
      </c>
      <c r="F92" s="38" t="s">
        <v>192</v>
      </c>
      <c r="G92" s="38" t="s">
        <v>138</v>
      </c>
      <c r="H92" s="9" t="s">
        <v>168</v>
      </c>
      <c r="I92" s="38" t="s">
        <v>58</v>
      </c>
      <c r="J92" s="38">
        <v>0</v>
      </c>
      <c r="K92" s="38">
        <v>0</v>
      </c>
      <c r="L92" s="38">
        <v>0</v>
      </c>
      <c r="M92" s="38">
        <v>0</v>
      </c>
      <c r="N92" s="38">
        <v>41.62</v>
      </c>
      <c r="O92" s="38"/>
      <c r="P92" s="38" t="s">
        <v>149</v>
      </c>
      <c r="Q92" s="38"/>
    </row>
    <row r="93" spans="1:17" x14ac:dyDescent="0.25">
      <c r="A93" s="39">
        <v>45415</v>
      </c>
      <c r="B93" s="38" t="s">
        <v>117</v>
      </c>
      <c r="C93" s="38" t="s">
        <v>7</v>
      </c>
      <c r="D93" s="38" t="s">
        <v>349</v>
      </c>
      <c r="E93" s="38" t="s">
        <v>398</v>
      </c>
      <c r="F93" s="38" t="s">
        <v>90</v>
      </c>
      <c r="G93" s="38" t="s">
        <v>138</v>
      </c>
      <c r="H93" s="9" t="s">
        <v>118</v>
      </c>
      <c r="I93" s="38" t="s">
        <v>58</v>
      </c>
      <c r="J93" s="38">
        <v>0</v>
      </c>
      <c r="K93" s="38">
        <v>0</v>
      </c>
      <c r="L93" s="38">
        <v>0</v>
      </c>
      <c r="M93" s="38">
        <v>0</v>
      </c>
      <c r="N93" s="38">
        <v>34.69</v>
      </c>
      <c r="O93" s="38"/>
      <c r="P93" s="38" t="s">
        <v>151</v>
      </c>
      <c r="Q93" s="38"/>
    </row>
    <row r="94" spans="1:17" x14ac:dyDescent="0.25">
      <c r="A94" s="39">
        <v>45415</v>
      </c>
      <c r="B94" s="38" t="s">
        <v>39</v>
      </c>
      <c r="C94" s="38" t="s">
        <v>7</v>
      </c>
      <c r="D94" s="38" t="s">
        <v>177</v>
      </c>
      <c r="E94" s="38" t="s">
        <v>377</v>
      </c>
      <c r="F94" s="38" t="s">
        <v>90</v>
      </c>
      <c r="G94" s="38" t="s">
        <v>138</v>
      </c>
      <c r="H94" s="9" t="s">
        <v>116</v>
      </c>
      <c r="I94" s="38" t="s">
        <v>58</v>
      </c>
      <c r="J94" s="38">
        <v>0</v>
      </c>
      <c r="K94" s="38">
        <v>0</v>
      </c>
      <c r="L94" s="38">
        <v>0</v>
      </c>
      <c r="M94" s="38">
        <v>0</v>
      </c>
      <c r="N94" s="38">
        <v>41.24</v>
      </c>
      <c r="O94" s="38"/>
      <c r="P94" s="38" t="s">
        <v>151</v>
      </c>
      <c r="Q94" s="38"/>
    </row>
    <row r="95" spans="1:17" x14ac:dyDescent="0.25">
      <c r="A95" s="39">
        <v>45415</v>
      </c>
      <c r="B95" s="38" t="s">
        <v>113</v>
      </c>
      <c r="C95" s="38" t="s">
        <v>7</v>
      </c>
      <c r="D95" s="38" t="s">
        <v>188</v>
      </c>
      <c r="E95" s="38" t="s">
        <v>126</v>
      </c>
      <c r="F95" s="38" t="s">
        <v>199</v>
      </c>
      <c r="G95" s="38" t="s">
        <v>138</v>
      </c>
      <c r="H95" s="9" t="s">
        <v>114</v>
      </c>
      <c r="I95" s="38" t="s">
        <v>58</v>
      </c>
      <c r="J95" s="38">
        <v>0</v>
      </c>
      <c r="K95" s="38">
        <v>0</v>
      </c>
      <c r="L95" s="38">
        <v>0</v>
      </c>
      <c r="M95" s="38">
        <v>0</v>
      </c>
      <c r="N95" s="38">
        <v>41.35</v>
      </c>
      <c r="O95" s="38"/>
      <c r="P95" s="38" t="s">
        <v>149</v>
      </c>
      <c r="Q95" s="38"/>
    </row>
    <row r="96" spans="1:17" x14ac:dyDescent="0.25">
      <c r="A96" s="39">
        <v>45415</v>
      </c>
      <c r="B96" s="38" t="s">
        <v>111</v>
      </c>
      <c r="C96" s="38" t="s">
        <v>7</v>
      </c>
      <c r="D96" s="38" t="s">
        <v>189</v>
      </c>
      <c r="E96" s="38" t="s">
        <v>81</v>
      </c>
      <c r="F96" s="38" t="s">
        <v>285</v>
      </c>
      <c r="G96" s="38" t="s">
        <v>138</v>
      </c>
      <c r="H96" s="9" t="s">
        <v>112</v>
      </c>
      <c r="I96" s="38" t="s">
        <v>58</v>
      </c>
      <c r="J96" s="38">
        <v>0</v>
      </c>
      <c r="K96" s="38">
        <v>0</v>
      </c>
      <c r="L96" s="38">
        <v>0</v>
      </c>
      <c r="M96" s="38">
        <v>0</v>
      </c>
      <c r="N96" s="38">
        <v>20.48</v>
      </c>
      <c r="O96" s="38"/>
      <c r="P96" s="38" t="s">
        <v>153</v>
      </c>
      <c r="Q96" s="38"/>
    </row>
    <row r="97" spans="1:17" x14ac:dyDescent="0.25">
      <c r="A97" s="39">
        <v>45415</v>
      </c>
      <c r="B97" s="38" t="s">
        <v>109</v>
      </c>
      <c r="C97" s="38" t="s">
        <v>7</v>
      </c>
      <c r="D97" s="38" t="s">
        <v>142</v>
      </c>
      <c r="E97" s="38" t="s">
        <v>56</v>
      </c>
      <c r="F97" s="38" t="s">
        <v>199</v>
      </c>
      <c r="G97" s="38" t="s">
        <v>138</v>
      </c>
      <c r="H97" s="9" t="s">
        <v>110</v>
      </c>
      <c r="I97" s="38" t="s">
        <v>58</v>
      </c>
      <c r="J97" s="38">
        <v>0</v>
      </c>
      <c r="K97" s="38">
        <v>0</v>
      </c>
      <c r="L97" s="38">
        <v>0</v>
      </c>
      <c r="M97" s="38">
        <v>0</v>
      </c>
      <c r="N97" s="38">
        <v>41.05</v>
      </c>
      <c r="O97" s="38"/>
      <c r="P97" s="38" t="s">
        <v>149</v>
      </c>
      <c r="Q97" s="38"/>
    </row>
    <row r="98" spans="1:17" x14ac:dyDescent="0.25">
      <c r="A98" s="39">
        <v>45415</v>
      </c>
      <c r="B98" s="38" t="s">
        <v>107</v>
      </c>
      <c r="C98" s="38" t="s">
        <v>7</v>
      </c>
      <c r="D98" s="38" t="s">
        <v>401</v>
      </c>
      <c r="E98" s="38" t="s">
        <v>56</v>
      </c>
      <c r="F98" s="38" t="s">
        <v>93</v>
      </c>
      <c r="G98" s="38" t="s">
        <v>138</v>
      </c>
      <c r="H98" s="9" t="s">
        <v>108</v>
      </c>
      <c r="I98" s="38" t="s">
        <v>58</v>
      </c>
      <c r="J98" s="38">
        <v>0</v>
      </c>
      <c r="K98" s="38">
        <v>0</v>
      </c>
      <c r="L98" s="38">
        <v>0</v>
      </c>
      <c r="M98" s="38">
        <v>0</v>
      </c>
      <c r="N98" s="38">
        <v>12.09</v>
      </c>
      <c r="O98" s="38"/>
      <c r="P98" s="38" t="s">
        <v>403</v>
      </c>
      <c r="Q98" s="38"/>
    </row>
    <row r="99" spans="1:17" x14ac:dyDescent="0.25">
      <c r="A99" s="39">
        <v>45415</v>
      </c>
      <c r="B99" s="38" t="s">
        <v>41</v>
      </c>
      <c r="C99" s="38" t="s">
        <v>7</v>
      </c>
      <c r="D99" s="38" t="s">
        <v>123</v>
      </c>
      <c r="E99" s="38" t="s">
        <v>81</v>
      </c>
      <c r="F99" s="38" t="s">
        <v>285</v>
      </c>
      <c r="G99" s="38" t="s">
        <v>138</v>
      </c>
      <c r="H99" s="9" t="s">
        <v>106</v>
      </c>
      <c r="I99" s="38" t="s">
        <v>58</v>
      </c>
      <c r="J99" s="38">
        <v>0</v>
      </c>
      <c r="K99" s="38">
        <v>0</v>
      </c>
      <c r="L99" s="38">
        <v>0</v>
      </c>
      <c r="M99" s="38">
        <v>0</v>
      </c>
      <c r="N99" s="38">
        <v>17.88</v>
      </c>
      <c r="O99" s="38"/>
      <c r="P99" s="38" t="s">
        <v>152</v>
      </c>
      <c r="Q99" s="38"/>
    </row>
    <row r="100" spans="1:17" x14ac:dyDescent="0.25">
      <c r="A100" s="39">
        <v>45415</v>
      </c>
      <c r="B100" s="38" t="s">
        <v>43</v>
      </c>
      <c r="C100" s="38" t="s">
        <v>7</v>
      </c>
      <c r="D100" s="38" t="s">
        <v>282</v>
      </c>
      <c r="E100" s="38" t="s">
        <v>275</v>
      </c>
      <c r="F100" s="38" t="s">
        <v>276</v>
      </c>
      <c r="G100" s="38" t="s">
        <v>138</v>
      </c>
      <c r="H100" s="9" t="s">
        <v>208</v>
      </c>
      <c r="I100" s="38" t="s">
        <v>58</v>
      </c>
      <c r="J100" s="38">
        <v>0</v>
      </c>
      <c r="K100" s="38">
        <v>0</v>
      </c>
      <c r="L100" s="38">
        <v>0</v>
      </c>
      <c r="M100" s="38">
        <v>0</v>
      </c>
      <c r="N100" s="38">
        <v>17.25</v>
      </c>
      <c r="O100" s="38"/>
      <c r="P100" s="38" t="s">
        <v>154</v>
      </c>
      <c r="Q100" s="38"/>
    </row>
    <row r="101" spans="1:17" x14ac:dyDescent="0.25">
      <c r="A101" s="39">
        <v>45415</v>
      </c>
      <c r="B101" s="38" t="s">
        <v>5</v>
      </c>
      <c r="C101" s="38" t="s">
        <v>7</v>
      </c>
      <c r="D101" s="38" t="s">
        <v>283</v>
      </c>
      <c r="E101" s="38" t="s">
        <v>60</v>
      </c>
      <c r="F101" s="38" t="s">
        <v>285</v>
      </c>
      <c r="G101" s="38" t="s">
        <v>138</v>
      </c>
      <c r="H101" s="9" t="s">
        <v>209</v>
      </c>
      <c r="I101" s="38" t="s">
        <v>58</v>
      </c>
      <c r="J101" s="38">
        <v>0</v>
      </c>
      <c r="K101" s="38">
        <v>0</v>
      </c>
      <c r="L101" s="38">
        <v>0</v>
      </c>
      <c r="M101" s="38">
        <v>0</v>
      </c>
      <c r="N101" s="38">
        <v>16.46</v>
      </c>
      <c r="O101" s="38"/>
      <c r="P101" s="38" t="s">
        <v>153</v>
      </c>
      <c r="Q101" s="38"/>
    </row>
    <row r="102" spans="1:17" x14ac:dyDescent="0.25">
      <c r="A102" s="39">
        <v>45415</v>
      </c>
      <c r="B102" s="38" t="s">
        <v>9</v>
      </c>
      <c r="C102" s="38" t="s">
        <v>7</v>
      </c>
      <c r="D102" s="38" t="s">
        <v>189</v>
      </c>
      <c r="E102" s="38" t="s">
        <v>360</v>
      </c>
      <c r="F102" s="38" t="s">
        <v>276</v>
      </c>
      <c r="G102" s="38" t="s">
        <v>138</v>
      </c>
      <c r="H102" s="9" t="s">
        <v>210</v>
      </c>
      <c r="I102" s="38" t="s">
        <v>58</v>
      </c>
      <c r="J102" s="38">
        <v>0</v>
      </c>
      <c r="K102" s="38">
        <v>0</v>
      </c>
      <c r="L102" s="38">
        <v>0</v>
      </c>
      <c r="M102" s="38">
        <v>0</v>
      </c>
      <c r="N102" s="38">
        <v>23.18</v>
      </c>
      <c r="O102" s="38"/>
      <c r="P102" s="38" t="s">
        <v>153</v>
      </c>
      <c r="Q102" s="38"/>
    </row>
    <row r="103" spans="1:17" x14ac:dyDescent="0.25">
      <c r="A103" s="39">
        <v>45415</v>
      </c>
      <c r="B103" s="38" t="s">
        <v>10</v>
      </c>
      <c r="C103" s="38" t="s">
        <v>7</v>
      </c>
      <c r="D103" s="38" t="s">
        <v>263</v>
      </c>
      <c r="E103" s="38" t="s">
        <v>342</v>
      </c>
      <c r="F103" s="38" t="s">
        <v>90</v>
      </c>
      <c r="G103" s="38" t="s">
        <v>138</v>
      </c>
      <c r="H103" s="9" t="s">
        <v>211</v>
      </c>
      <c r="I103" s="38" t="s">
        <v>58</v>
      </c>
      <c r="J103" s="38">
        <v>0</v>
      </c>
      <c r="K103" s="38">
        <v>0</v>
      </c>
      <c r="L103" s="38">
        <v>0</v>
      </c>
      <c r="M103" s="38">
        <v>0</v>
      </c>
      <c r="N103" s="38">
        <v>74.34</v>
      </c>
      <c r="O103" s="38"/>
      <c r="P103" s="38" t="s">
        <v>151</v>
      </c>
      <c r="Q103" s="38"/>
    </row>
    <row r="104" spans="1:17" x14ac:dyDescent="0.25">
      <c r="A104" s="39">
        <v>45415</v>
      </c>
      <c r="B104" s="38" t="s">
        <v>11</v>
      </c>
      <c r="C104" s="38" t="s">
        <v>7</v>
      </c>
      <c r="D104" s="38" t="s">
        <v>205</v>
      </c>
      <c r="E104" s="38" t="s">
        <v>60</v>
      </c>
      <c r="F104" s="38" t="s">
        <v>93</v>
      </c>
      <c r="G104" s="38" t="s">
        <v>138</v>
      </c>
      <c r="H104" s="9" t="s">
        <v>212</v>
      </c>
      <c r="I104" s="38" t="s">
        <v>58</v>
      </c>
      <c r="J104" s="38">
        <v>0</v>
      </c>
      <c r="K104" s="38">
        <v>0</v>
      </c>
      <c r="L104" s="38">
        <v>0</v>
      </c>
      <c r="M104" s="38">
        <v>0</v>
      </c>
      <c r="N104" s="38">
        <v>11.39</v>
      </c>
      <c r="O104" s="38"/>
      <c r="P104" s="38" t="s">
        <v>147</v>
      </c>
      <c r="Q104" s="38"/>
    </row>
    <row r="105" spans="1:17" x14ac:dyDescent="0.25">
      <c r="A105" s="39">
        <v>45415</v>
      </c>
      <c r="B105" s="38" t="s">
        <v>12</v>
      </c>
      <c r="C105" s="38" t="s">
        <v>7</v>
      </c>
      <c r="D105" s="38" t="s">
        <v>286</v>
      </c>
      <c r="E105" s="38" t="s">
        <v>60</v>
      </c>
      <c r="F105" s="38" t="s">
        <v>285</v>
      </c>
      <c r="G105" s="38" t="s">
        <v>138</v>
      </c>
      <c r="H105" s="9" t="s">
        <v>213</v>
      </c>
      <c r="I105" s="38" t="s">
        <v>58</v>
      </c>
      <c r="J105" s="38">
        <v>0</v>
      </c>
      <c r="K105" s="38">
        <v>0</v>
      </c>
      <c r="L105" s="38">
        <v>0</v>
      </c>
      <c r="M105" s="38">
        <v>0</v>
      </c>
      <c r="N105" s="38">
        <v>11.98</v>
      </c>
      <c r="O105" s="38"/>
      <c r="P105" s="38" t="s">
        <v>154</v>
      </c>
      <c r="Q105" s="38"/>
    </row>
    <row r="106" spans="1:17" x14ac:dyDescent="0.25">
      <c r="A106" s="39">
        <v>45415</v>
      </c>
      <c r="B106" s="38" t="s">
        <v>105</v>
      </c>
      <c r="C106" s="38" t="s">
        <v>7</v>
      </c>
      <c r="D106" s="38" t="s">
        <v>267</v>
      </c>
      <c r="E106" s="38" t="s">
        <v>60</v>
      </c>
      <c r="F106" s="38" t="s">
        <v>93</v>
      </c>
      <c r="G106" s="38" t="s">
        <v>138</v>
      </c>
      <c r="H106" s="9" t="s">
        <v>214</v>
      </c>
      <c r="I106" s="38" t="s">
        <v>58</v>
      </c>
      <c r="J106" s="38">
        <v>0</v>
      </c>
      <c r="K106" s="38">
        <v>0</v>
      </c>
      <c r="L106" s="38">
        <v>0</v>
      </c>
      <c r="M106" s="38">
        <v>0</v>
      </c>
      <c r="N106" s="38">
        <v>12.39</v>
      </c>
      <c r="O106" s="38"/>
      <c r="P106" s="38" t="s">
        <v>147</v>
      </c>
      <c r="Q106" s="38"/>
    </row>
    <row r="107" spans="1:17" x14ac:dyDescent="0.25">
      <c r="A107" s="39">
        <v>45415</v>
      </c>
      <c r="B107" s="38" t="s">
        <v>104</v>
      </c>
      <c r="C107" s="38" t="s">
        <v>7</v>
      </c>
      <c r="D107" s="38" t="s">
        <v>143</v>
      </c>
      <c r="E107" s="38" t="s">
        <v>60</v>
      </c>
      <c r="F107" s="38" t="s">
        <v>285</v>
      </c>
      <c r="G107" s="38" t="s">
        <v>138</v>
      </c>
      <c r="H107" s="9" t="s">
        <v>215</v>
      </c>
      <c r="I107" s="38" t="s">
        <v>58</v>
      </c>
      <c r="J107" s="38">
        <v>0</v>
      </c>
      <c r="K107" s="38">
        <v>0</v>
      </c>
      <c r="L107" s="38">
        <v>0</v>
      </c>
      <c r="M107" s="38">
        <v>0</v>
      </c>
      <c r="N107" s="38">
        <v>13.96</v>
      </c>
      <c r="O107" s="38"/>
      <c r="P107" s="38" t="s">
        <v>154</v>
      </c>
      <c r="Q107" s="38"/>
    </row>
    <row r="108" spans="1:17" x14ac:dyDescent="0.25">
      <c r="A108" s="39">
        <v>45415</v>
      </c>
      <c r="B108" s="38" t="s">
        <v>13</v>
      </c>
      <c r="C108" s="38" t="s">
        <v>7</v>
      </c>
      <c r="D108" s="38" t="s">
        <v>350</v>
      </c>
      <c r="E108" s="38" t="s">
        <v>60</v>
      </c>
      <c r="F108" s="38" t="s">
        <v>93</v>
      </c>
      <c r="G108" s="38" t="s">
        <v>138</v>
      </c>
      <c r="H108" s="9" t="s">
        <v>216</v>
      </c>
      <c r="I108" s="38" t="s">
        <v>58</v>
      </c>
      <c r="J108" s="38">
        <v>0</v>
      </c>
      <c r="K108" s="38">
        <v>0</v>
      </c>
      <c r="L108" s="38">
        <v>0</v>
      </c>
      <c r="M108" s="38">
        <v>0</v>
      </c>
      <c r="N108" s="38">
        <v>12.4</v>
      </c>
      <c r="O108" s="38"/>
      <c r="P108" s="38" t="s">
        <v>147</v>
      </c>
      <c r="Q108" s="38"/>
    </row>
    <row r="109" spans="1:17" x14ac:dyDescent="0.25">
      <c r="A109" s="39">
        <v>45415</v>
      </c>
      <c r="B109" s="38" t="s">
        <v>103</v>
      </c>
      <c r="C109" s="38" t="s">
        <v>7</v>
      </c>
      <c r="D109" s="38" t="s">
        <v>179</v>
      </c>
      <c r="E109" s="38" t="s">
        <v>81</v>
      </c>
      <c r="F109" s="38" t="s">
        <v>90</v>
      </c>
      <c r="G109" s="38" t="s">
        <v>138</v>
      </c>
      <c r="H109" s="9" t="s">
        <v>217</v>
      </c>
      <c r="I109" s="38" t="s">
        <v>65</v>
      </c>
      <c r="J109" s="38">
        <v>0</v>
      </c>
      <c r="K109" s="38">
        <v>0</v>
      </c>
      <c r="L109" s="38">
        <v>0</v>
      </c>
      <c r="M109" s="38">
        <v>0</v>
      </c>
      <c r="N109" s="38">
        <v>41.9</v>
      </c>
      <c r="O109" s="38"/>
      <c r="P109" s="38" t="s">
        <v>187</v>
      </c>
      <c r="Q109" s="38"/>
    </row>
    <row r="110" spans="1:17" x14ac:dyDescent="0.25">
      <c r="A110" s="39">
        <v>45415</v>
      </c>
      <c r="B110" s="38" t="s">
        <v>101</v>
      </c>
      <c r="C110" s="38" t="s">
        <v>7</v>
      </c>
      <c r="D110" s="38" t="s">
        <v>405</v>
      </c>
      <c r="E110" s="38" t="s">
        <v>81</v>
      </c>
      <c r="F110" s="38" t="s">
        <v>285</v>
      </c>
      <c r="G110" s="38" t="s">
        <v>138</v>
      </c>
      <c r="H110" s="9" t="s">
        <v>102</v>
      </c>
      <c r="I110" s="38" t="s">
        <v>58</v>
      </c>
      <c r="J110" s="38">
        <v>0</v>
      </c>
      <c r="K110" s="38">
        <v>0</v>
      </c>
      <c r="L110" s="38">
        <v>0</v>
      </c>
      <c r="M110" s="38">
        <v>0</v>
      </c>
      <c r="N110" s="38">
        <v>19.600000000000001</v>
      </c>
      <c r="O110" s="38"/>
      <c r="P110" s="38" t="s">
        <v>151</v>
      </c>
      <c r="Q110" s="38"/>
    </row>
    <row r="111" spans="1:17" x14ac:dyDescent="0.25">
      <c r="A111" s="39">
        <v>45415</v>
      </c>
      <c r="B111" s="38" t="s">
        <v>99</v>
      </c>
      <c r="C111" s="38" t="s">
        <v>7</v>
      </c>
      <c r="D111" s="38" t="s">
        <v>249</v>
      </c>
      <c r="E111" s="38" t="s">
        <v>81</v>
      </c>
      <c r="F111" s="38" t="s">
        <v>90</v>
      </c>
      <c r="G111" s="38" t="s">
        <v>138</v>
      </c>
      <c r="H111" s="9" t="s">
        <v>100</v>
      </c>
      <c r="I111" s="38"/>
      <c r="J111" s="38">
        <v>0</v>
      </c>
      <c r="K111" s="38">
        <v>0</v>
      </c>
      <c r="L111" s="38">
        <v>0</v>
      </c>
      <c r="M111" s="38">
        <v>0</v>
      </c>
      <c r="N111" s="38">
        <v>41.83</v>
      </c>
      <c r="O111" s="38"/>
      <c r="P111" s="38" t="s">
        <v>152</v>
      </c>
      <c r="Q111" s="38"/>
    </row>
    <row r="112" spans="1:17" x14ac:dyDescent="0.25">
      <c r="A112" s="39">
        <v>45415</v>
      </c>
      <c r="B112" s="38" t="s">
        <v>97</v>
      </c>
      <c r="C112" s="38" t="s">
        <v>7</v>
      </c>
      <c r="D112" s="38" t="s">
        <v>288</v>
      </c>
      <c r="E112" s="38" t="s">
        <v>352</v>
      </c>
      <c r="F112" s="38" t="s">
        <v>285</v>
      </c>
      <c r="G112" s="38" t="s">
        <v>138</v>
      </c>
      <c r="H112" s="9" t="s">
        <v>98</v>
      </c>
      <c r="I112" s="38" t="s">
        <v>58</v>
      </c>
      <c r="J112" s="38">
        <v>0</v>
      </c>
      <c r="K112" s="38">
        <v>0</v>
      </c>
      <c r="L112" s="38">
        <v>0</v>
      </c>
      <c r="M112" s="38">
        <v>0</v>
      </c>
      <c r="N112" s="38">
        <v>22.49</v>
      </c>
      <c r="O112" s="38"/>
      <c r="P112" s="38" t="s">
        <v>148</v>
      </c>
      <c r="Q112" s="38"/>
    </row>
    <row r="113" spans="1:17" x14ac:dyDescent="0.25">
      <c r="A113" s="39">
        <v>45415</v>
      </c>
      <c r="B113" s="38" t="s">
        <v>95</v>
      </c>
      <c r="C113" s="38" t="s">
        <v>7</v>
      </c>
      <c r="D113" s="38" t="s">
        <v>181</v>
      </c>
      <c r="E113" s="38" t="s">
        <v>81</v>
      </c>
      <c r="F113" s="38" t="s">
        <v>90</v>
      </c>
      <c r="G113" s="38" t="s">
        <v>138</v>
      </c>
      <c r="H113" s="9" t="s">
        <v>96</v>
      </c>
      <c r="I113" s="38" t="s">
        <v>65</v>
      </c>
      <c r="J113" s="38">
        <v>0</v>
      </c>
      <c r="K113" s="38">
        <v>0</v>
      </c>
      <c r="L113" s="38">
        <v>0</v>
      </c>
      <c r="M113" s="38">
        <v>0</v>
      </c>
      <c r="N113" s="38">
        <v>20.38</v>
      </c>
      <c r="O113" s="38"/>
      <c r="P113" s="38" t="s">
        <v>152</v>
      </c>
      <c r="Q113" s="38"/>
    </row>
    <row r="114" spans="1:17" x14ac:dyDescent="0.25">
      <c r="A114" s="39">
        <v>45415</v>
      </c>
      <c r="B114" s="38" t="s">
        <v>14</v>
      </c>
      <c r="C114" s="38" t="s">
        <v>7</v>
      </c>
      <c r="D114" s="38" t="s">
        <v>289</v>
      </c>
      <c r="E114" s="38" t="s">
        <v>352</v>
      </c>
      <c r="F114" s="38" t="s">
        <v>285</v>
      </c>
      <c r="G114" s="38" t="s">
        <v>138</v>
      </c>
      <c r="H114" s="9" t="s">
        <v>94</v>
      </c>
      <c r="I114" s="38" t="s">
        <v>58</v>
      </c>
      <c r="J114" s="38">
        <v>0</v>
      </c>
      <c r="K114" s="38">
        <v>0</v>
      </c>
      <c r="L114" s="38">
        <v>0</v>
      </c>
      <c r="M114" s="38">
        <v>0</v>
      </c>
      <c r="N114" s="38">
        <v>25.88</v>
      </c>
      <c r="O114" s="38"/>
      <c r="P114" s="38" t="s">
        <v>151</v>
      </c>
      <c r="Q114" s="38"/>
    </row>
    <row r="115" spans="1:17" x14ac:dyDescent="0.25">
      <c r="A115" s="39">
        <v>45415</v>
      </c>
      <c r="B115" s="38" t="s">
        <v>91</v>
      </c>
      <c r="C115" s="38" t="s">
        <v>7</v>
      </c>
      <c r="D115" s="38" t="s">
        <v>180</v>
      </c>
      <c r="E115" s="38" t="s">
        <v>81</v>
      </c>
      <c r="F115" s="38" t="s">
        <v>90</v>
      </c>
      <c r="G115" s="38" t="s">
        <v>138</v>
      </c>
      <c r="H115" s="9" t="s">
        <v>92</v>
      </c>
      <c r="I115" s="38"/>
      <c r="J115" s="38">
        <v>0</v>
      </c>
      <c r="K115" s="38">
        <v>0</v>
      </c>
      <c r="L115" s="38">
        <v>0</v>
      </c>
      <c r="M115" s="38">
        <v>0</v>
      </c>
      <c r="N115" s="38">
        <v>16.73</v>
      </c>
      <c r="O115" s="38"/>
      <c r="P115" s="38" t="s">
        <v>148</v>
      </c>
      <c r="Q115" s="38"/>
    </row>
    <row r="116" spans="1:17" x14ac:dyDescent="0.25">
      <c r="A116" s="39">
        <v>45415</v>
      </c>
      <c r="B116" s="38" t="s">
        <v>15</v>
      </c>
      <c r="C116" s="38" t="s">
        <v>7</v>
      </c>
      <c r="D116" s="38" t="s">
        <v>140</v>
      </c>
      <c r="E116" s="38" t="s">
        <v>81</v>
      </c>
      <c r="F116" s="38" t="s">
        <v>285</v>
      </c>
      <c r="G116" s="38" t="s">
        <v>138</v>
      </c>
      <c r="H116" s="9" t="s">
        <v>218</v>
      </c>
      <c r="I116" s="38" t="s">
        <v>58</v>
      </c>
      <c r="J116" s="38">
        <v>0</v>
      </c>
      <c r="K116" s="38">
        <v>0</v>
      </c>
      <c r="L116" s="38">
        <v>0</v>
      </c>
      <c r="M116" s="38">
        <v>0</v>
      </c>
      <c r="N116" s="38">
        <v>20.190000000000001</v>
      </c>
      <c r="O116" s="38"/>
      <c r="P116" s="38" t="s">
        <v>148</v>
      </c>
      <c r="Q116" s="38"/>
    </row>
    <row r="117" spans="1:17" x14ac:dyDescent="0.25">
      <c r="A117" s="39">
        <v>45415</v>
      </c>
      <c r="B117" s="38" t="s">
        <v>89</v>
      </c>
      <c r="C117" s="38" t="s">
        <v>7</v>
      </c>
      <c r="D117" s="38" t="s">
        <v>176</v>
      </c>
      <c r="E117" s="38" t="s">
        <v>398</v>
      </c>
      <c r="F117" s="38" t="s">
        <v>90</v>
      </c>
      <c r="G117" s="38" t="s">
        <v>138</v>
      </c>
      <c r="H117" s="9" t="s">
        <v>219</v>
      </c>
      <c r="I117" s="38" t="s">
        <v>65</v>
      </c>
      <c r="J117" s="38">
        <v>0</v>
      </c>
      <c r="K117" s="38">
        <v>0</v>
      </c>
      <c r="L117" s="38">
        <v>0</v>
      </c>
      <c r="M117" s="38">
        <v>0</v>
      </c>
      <c r="N117" s="38">
        <v>17.670000000000002</v>
      </c>
      <c r="O117" s="38"/>
      <c r="P117" s="38" t="s">
        <v>186</v>
      </c>
      <c r="Q117" s="38"/>
    </row>
    <row r="118" spans="1:17" x14ac:dyDescent="0.25">
      <c r="A118" s="39">
        <v>45415</v>
      </c>
      <c r="B118" s="38" t="s">
        <v>16</v>
      </c>
      <c r="C118" s="38" t="s">
        <v>7</v>
      </c>
      <c r="D118" s="38" t="s">
        <v>407</v>
      </c>
      <c r="E118" s="38" t="s">
        <v>360</v>
      </c>
      <c r="F118" s="38" t="s">
        <v>253</v>
      </c>
      <c r="G118" s="38" t="s">
        <v>138</v>
      </c>
      <c r="H118" s="9" t="s">
        <v>220</v>
      </c>
      <c r="I118" s="38" t="s">
        <v>58</v>
      </c>
      <c r="J118" s="38">
        <v>0</v>
      </c>
      <c r="K118" s="38">
        <v>0</v>
      </c>
      <c r="L118" s="38">
        <v>0</v>
      </c>
      <c r="M118" s="38">
        <v>0</v>
      </c>
      <c r="N118" s="38">
        <v>21.19</v>
      </c>
      <c r="O118" s="38"/>
      <c r="P118" s="38" t="s">
        <v>151</v>
      </c>
      <c r="Q118" s="38"/>
    </row>
    <row r="119" spans="1:17" x14ac:dyDescent="0.25">
      <c r="A119" s="39">
        <v>45415</v>
      </c>
      <c r="B119" s="38" t="s">
        <v>88</v>
      </c>
      <c r="C119" s="38" t="s">
        <v>7</v>
      </c>
      <c r="D119" s="38" t="s">
        <v>311</v>
      </c>
      <c r="E119" s="38" t="s">
        <v>60</v>
      </c>
      <c r="F119" s="38" t="s">
        <v>253</v>
      </c>
      <c r="G119" s="38" t="s">
        <v>138</v>
      </c>
      <c r="H119" s="9" t="s">
        <v>221</v>
      </c>
      <c r="I119" s="38"/>
      <c r="J119" s="38">
        <v>0</v>
      </c>
      <c r="K119" s="38">
        <v>0</v>
      </c>
      <c r="L119" s="38">
        <v>0</v>
      </c>
      <c r="M119" s="38">
        <v>0</v>
      </c>
      <c r="N119" s="38">
        <v>38.44</v>
      </c>
      <c r="O119" s="38"/>
      <c r="P119" s="38" t="s">
        <v>154</v>
      </c>
      <c r="Q119" s="38"/>
    </row>
    <row r="120" spans="1:17" x14ac:dyDescent="0.25">
      <c r="A120" s="39">
        <v>45415</v>
      </c>
      <c r="B120" s="38" t="s">
        <v>17</v>
      </c>
      <c r="C120" s="38" t="s">
        <v>7</v>
      </c>
      <c r="D120" s="38" t="s">
        <v>272</v>
      </c>
      <c r="E120" s="38" t="s">
        <v>275</v>
      </c>
      <c r="F120" s="38" t="s">
        <v>276</v>
      </c>
      <c r="G120" s="38" t="s">
        <v>138</v>
      </c>
      <c r="H120" s="9" t="s">
        <v>222</v>
      </c>
      <c r="I120" s="38" t="s">
        <v>58</v>
      </c>
      <c r="J120" s="38">
        <v>0</v>
      </c>
      <c r="K120" s="38">
        <v>0</v>
      </c>
      <c r="L120" s="38">
        <v>0</v>
      </c>
      <c r="M120" s="38">
        <v>0</v>
      </c>
      <c r="N120" s="38">
        <v>20.56</v>
      </c>
      <c r="O120" s="38"/>
      <c r="P120" s="38" t="s">
        <v>151</v>
      </c>
      <c r="Q120" s="38"/>
    </row>
    <row r="121" spans="1:17" x14ac:dyDescent="0.25">
      <c r="A121" s="39">
        <v>45415</v>
      </c>
      <c r="B121" s="38" t="s">
        <v>19</v>
      </c>
      <c r="C121" s="38" t="s">
        <v>7</v>
      </c>
      <c r="D121" s="38" t="s">
        <v>343</v>
      </c>
      <c r="E121" s="38" t="s">
        <v>81</v>
      </c>
      <c r="F121" s="38" t="s">
        <v>253</v>
      </c>
      <c r="G121" s="38" t="s">
        <v>138</v>
      </c>
      <c r="H121" s="9" t="s">
        <v>223</v>
      </c>
      <c r="I121" s="38" t="s">
        <v>65</v>
      </c>
      <c r="J121" s="38">
        <v>0</v>
      </c>
      <c r="K121" s="38">
        <v>0</v>
      </c>
      <c r="L121" s="38">
        <v>0</v>
      </c>
      <c r="M121" s="38">
        <v>0</v>
      </c>
      <c r="N121" s="38">
        <v>41.06</v>
      </c>
      <c r="O121" s="38"/>
      <c r="P121" s="38" t="s">
        <v>151</v>
      </c>
      <c r="Q121" s="38"/>
    </row>
    <row r="122" spans="1:17" x14ac:dyDescent="0.25">
      <c r="A122" s="39">
        <v>45415</v>
      </c>
      <c r="B122" s="38" t="s">
        <v>18</v>
      </c>
      <c r="C122" s="38" t="s">
        <v>7</v>
      </c>
      <c r="D122" s="38" t="s">
        <v>268</v>
      </c>
      <c r="E122" s="38" t="s">
        <v>408</v>
      </c>
      <c r="F122" s="38" t="s">
        <v>253</v>
      </c>
      <c r="G122" s="38" t="s">
        <v>138</v>
      </c>
      <c r="H122" s="9" t="s">
        <v>224</v>
      </c>
      <c r="I122" s="38" t="s">
        <v>58</v>
      </c>
      <c r="J122" s="38">
        <v>0</v>
      </c>
      <c r="K122" s="38">
        <v>0</v>
      </c>
      <c r="L122" s="38">
        <v>0</v>
      </c>
      <c r="M122" s="38">
        <v>0</v>
      </c>
      <c r="N122" s="38">
        <v>18.89</v>
      </c>
      <c r="O122" s="38"/>
      <c r="P122" s="38" t="s">
        <v>148</v>
      </c>
      <c r="Q122" s="38"/>
    </row>
    <row r="123" spans="1:17" x14ac:dyDescent="0.25">
      <c r="A123" s="39">
        <v>45415</v>
      </c>
      <c r="B123" s="38" t="s">
        <v>87</v>
      </c>
      <c r="C123" s="38" t="s">
        <v>7</v>
      </c>
      <c r="D123" s="38"/>
      <c r="E123" s="38"/>
      <c r="F123" s="38"/>
      <c r="G123" s="38" t="s">
        <v>138</v>
      </c>
      <c r="H123" s="9" t="s">
        <v>225</v>
      </c>
      <c r="I123" s="38"/>
      <c r="J123" s="38">
        <v>0</v>
      </c>
      <c r="K123" s="38">
        <v>0</v>
      </c>
      <c r="L123" s="38">
        <v>0</v>
      </c>
      <c r="M123" s="38">
        <v>0</v>
      </c>
      <c r="N123" s="38">
        <v>41146219</v>
      </c>
      <c r="O123" s="38"/>
      <c r="P123" s="38"/>
      <c r="Q123" s="38"/>
    </row>
    <row r="124" spans="1:17" x14ac:dyDescent="0.25">
      <c r="A124" s="39">
        <v>45415</v>
      </c>
      <c r="B124" s="38" t="s">
        <v>42</v>
      </c>
      <c r="C124" s="38" t="s">
        <v>7</v>
      </c>
      <c r="D124" s="38" t="s">
        <v>246</v>
      </c>
      <c r="E124" s="38" t="s">
        <v>81</v>
      </c>
      <c r="F124" s="38" t="s">
        <v>285</v>
      </c>
      <c r="G124" s="38" t="s">
        <v>138</v>
      </c>
      <c r="H124" s="9" t="s">
        <v>226</v>
      </c>
      <c r="I124" s="38" t="s">
        <v>58</v>
      </c>
      <c r="J124" s="38">
        <v>0</v>
      </c>
      <c r="K124" s="38">
        <v>0</v>
      </c>
      <c r="L124" s="38">
        <v>0</v>
      </c>
      <c r="M124" s="38">
        <v>0</v>
      </c>
      <c r="N124" s="38">
        <v>20.7</v>
      </c>
      <c r="O124" s="38"/>
      <c r="P124" s="38" t="s">
        <v>148</v>
      </c>
      <c r="Q124" s="38"/>
    </row>
    <row r="125" spans="1:17" x14ac:dyDescent="0.25">
      <c r="A125" s="39">
        <v>45415</v>
      </c>
      <c r="B125" s="38" t="s">
        <v>86</v>
      </c>
      <c r="C125" s="38" t="s">
        <v>7</v>
      </c>
      <c r="D125" s="38" t="s">
        <v>271</v>
      </c>
      <c r="E125" s="38" t="s">
        <v>275</v>
      </c>
      <c r="F125" s="38" t="s">
        <v>276</v>
      </c>
      <c r="G125" s="38" t="s">
        <v>138</v>
      </c>
      <c r="H125" s="9" t="s">
        <v>227</v>
      </c>
      <c r="I125" s="38" t="s">
        <v>65</v>
      </c>
      <c r="J125" s="38">
        <v>0</v>
      </c>
      <c r="K125" s="38">
        <v>0</v>
      </c>
      <c r="L125" s="38">
        <v>0</v>
      </c>
      <c r="M125" s="38">
        <v>0</v>
      </c>
      <c r="N125" s="38">
        <v>41.64</v>
      </c>
      <c r="O125" s="38"/>
      <c r="P125" s="38" t="s">
        <v>152</v>
      </c>
      <c r="Q125" s="38"/>
    </row>
    <row r="126" spans="1:17" x14ac:dyDescent="0.25">
      <c r="A126" s="39">
        <v>45415</v>
      </c>
      <c r="B126" s="38" t="s">
        <v>38</v>
      </c>
      <c r="C126" s="38" t="s">
        <v>7</v>
      </c>
      <c r="D126" s="38" t="s">
        <v>141</v>
      </c>
      <c r="E126" s="38" t="s">
        <v>81</v>
      </c>
      <c r="F126" s="38" t="s">
        <v>285</v>
      </c>
      <c r="G126" s="38" t="s">
        <v>138</v>
      </c>
      <c r="H126" s="9" t="s">
        <v>85</v>
      </c>
      <c r="I126" s="38" t="s">
        <v>58</v>
      </c>
      <c r="J126" s="38">
        <v>0</v>
      </c>
      <c r="K126" s="38">
        <v>0</v>
      </c>
      <c r="L126" s="38">
        <v>0</v>
      </c>
      <c r="M126" s="38">
        <v>0</v>
      </c>
      <c r="N126" s="38">
        <v>37.5</v>
      </c>
      <c r="O126" s="38"/>
      <c r="P126" s="38" t="s">
        <v>151</v>
      </c>
      <c r="Q126" s="38"/>
    </row>
    <row r="127" spans="1:17" x14ac:dyDescent="0.25">
      <c r="A127" s="39">
        <v>45415</v>
      </c>
      <c r="B127" s="38" t="s">
        <v>83</v>
      </c>
      <c r="C127" s="38" t="s">
        <v>7</v>
      </c>
      <c r="D127" s="38"/>
      <c r="E127" s="38"/>
      <c r="F127" s="38"/>
      <c r="G127" s="38" t="s">
        <v>138</v>
      </c>
      <c r="H127" s="9" t="s">
        <v>84</v>
      </c>
      <c r="I127" s="38"/>
      <c r="J127" s="38">
        <v>0</v>
      </c>
      <c r="K127" s="38">
        <v>0</v>
      </c>
      <c r="L127" s="38">
        <v>0</v>
      </c>
      <c r="M127" s="38">
        <v>0</v>
      </c>
      <c r="N127" s="38">
        <v>41.36</v>
      </c>
      <c r="O127" s="38"/>
      <c r="P127" s="38"/>
      <c r="Q127" s="38"/>
    </row>
    <row r="128" spans="1:17" x14ac:dyDescent="0.25">
      <c r="A128" s="39">
        <v>45415</v>
      </c>
      <c r="B128" s="38" t="s">
        <v>20</v>
      </c>
      <c r="C128" s="38" t="s">
        <v>7</v>
      </c>
      <c r="D128" s="38" t="s">
        <v>351</v>
      </c>
      <c r="E128" s="38" t="s">
        <v>352</v>
      </c>
      <c r="F128" s="38" t="s">
        <v>285</v>
      </c>
      <c r="G128" s="38" t="s">
        <v>138</v>
      </c>
      <c r="H128" s="9" t="s">
        <v>82</v>
      </c>
      <c r="I128" s="38" t="s">
        <v>58</v>
      </c>
      <c r="J128" s="38">
        <v>0</v>
      </c>
      <c r="K128" s="38">
        <v>0</v>
      </c>
      <c r="L128" s="38">
        <v>0</v>
      </c>
      <c r="M128" s="38">
        <v>0</v>
      </c>
      <c r="N128" s="38">
        <v>22.79</v>
      </c>
      <c r="O128" s="38"/>
      <c r="P128" s="38" t="s">
        <v>151</v>
      </c>
      <c r="Q128" s="38"/>
    </row>
    <row r="129" spans="1:17" x14ac:dyDescent="0.25">
      <c r="A129" s="39">
        <v>45415</v>
      </c>
      <c r="B129" s="38" t="s">
        <v>21</v>
      </c>
      <c r="C129" s="38" t="s">
        <v>7</v>
      </c>
      <c r="D129" s="38" t="s">
        <v>291</v>
      </c>
      <c r="E129" s="38" t="s">
        <v>352</v>
      </c>
      <c r="F129" s="38" t="s">
        <v>285</v>
      </c>
      <c r="G129" s="38" t="s">
        <v>138</v>
      </c>
      <c r="H129" s="9" t="s">
        <v>80</v>
      </c>
      <c r="I129" s="38" t="s">
        <v>65</v>
      </c>
      <c r="J129" s="38">
        <v>0</v>
      </c>
      <c r="K129" s="38">
        <v>0</v>
      </c>
      <c r="L129" s="38">
        <v>0</v>
      </c>
      <c r="M129" s="38">
        <v>0</v>
      </c>
      <c r="N129" s="38">
        <v>21.59</v>
      </c>
      <c r="O129" s="38"/>
      <c r="P129" s="38" t="s">
        <v>152</v>
      </c>
      <c r="Q129" s="38"/>
    </row>
    <row r="130" spans="1:17" x14ac:dyDescent="0.25">
      <c r="A130" s="39">
        <v>45415</v>
      </c>
      <c r="B130" s="38" t="s">
        <v>22</v>
      </c>
      <c r="C130" s="38" t="s">
        <v>7</v>
      </c>
      <c r="D130" s="38" t="s">
        <v>353</v>
      </c>
      <c r="E130" s="38" t="s">
        <v>352</v>
      </c>
      <c r="F130" s="38" t="s">
        <v>285</v>
      </c>
      <c r="G130" s="38" t="s">
        <v>138</v>
      </c>
      <c r="H130" s="9" t="s">
        <v>79</v>
      </c>
      <c r="I130" s="38" t="s">
        <v>58</v>
      </c>
      <c r="J130" s="38">
        <v>0</v>
      </c>
      <c r="K130" s="38">
        <v>0</v>
      </c>
      <c r="L130" s="38">
        <v>0</v>
      </c>
      <c r="M130" s="38">
        <v>0</v>
      </c>
      <c r="N130" s="38">
        <v>13.62</v>
      </c>
      <c r="O130" s="38"/>
      <c r="P130" s="38" t="s">
        <v>148</v>
      </c>
      <c r="Q130" s="38"/>
    </row>
    <row r="131" spans="1:17" x14ac:dyDescent="0.25">
      <c r="A131" s="39">
        <v>45415</v>
      </c>
      <c r="B131" s="38" t="s">
        <v>77</v>
      </c>
      <c r="C131" s="38" t="s">
        <v>7</v>
      </c>
      <c r="D131" s="38"/>
      <c r="E131" s="38"/>
      <c r="F131" s="38"/>
      <c r="G131" s="38" t="s">
        <v>138</v>
      </c>
      <c r="H131" s="9" t="s">
        <v>78</v>
      </c>
      <c r="I131" s="38"/>
      <c r="J131" s="38">
        <v>0</v>
      </c>
      <c r="K131" s="38">
        <v>0</v>
      </c>
      <c r="L131" s="38">
        <v>0</v>
      </c>
      <c r="M131" s="38">
        <v>0</v>
      </c>
      <c r="N131" s="38">
        <v>17.88</v>
      </c>
      <c r="O131" s="38"/>
      <c r="P131" s="38"/>
      <c r="Q131" s="38"/>
    </row>
    <row r="132" spans="1:17" x14ac:dyDescent="0.25">
      <c r="A132" s="39">
        <v>45415</v>
      </c>
      <c r="B132" s="38" t="s">
        <v>23</v>
      </c>
      <c r="C132" s="38" t="s">
        <v>7</v>
      </c>
      <c r="D132" s="38" t="s">
        <v>409</v>
      </c>
      <c r="E132" s="38" t="s">
        <v>352</v>
      </c>
      <c r="F132" s="38" t="s">
        <v>285</v>
      </c>
      <c r="G132" s="38" t="s">
        <v>138</v>
      </c>
      <c r="H132" s="9" t="s">
        <v>228</v>
      </c>
      <c r="I132" s="38" t="s">
        <v>58</v>
      </c>
      <c r="J132" s="38">
        <v>0</v>
      </c>
      <c r="K132" s="38">
        <v>0</v>
      </c>
      <c r="L132" s="38">
        <v>0</v>
      </c>
      <c r="M132" s="38">
        <v>0</v>
      </c>
      <c r="N132" s="38">
        <v>23.22</v>
      </c>
      <c r="O132" s="38"/>
      <c r="P132" s="38" t="s">
        <v>148</v>
      </c>
      <c r="Q132" s="38"/>
    </row>
    <row r="133" spans="1:17" x14ac:dyDescent="0.25">
      <c r="A133" s="39">
        <v>45415</v>
      </c>
      <c r="B133" s="38" t="s">
        <v>24</v>
      </c>
      <c r="C133" s="38" t="s">
        <v>7</v>
      </c>
      <c r="D133" s="38" t="s">
        <v>344</v>
      </c>
      <c r="E133" s="38" t="s">
        <v>379</v>
      </c>
      <c r="F133" s="38" t="s">
        <v>253</v>
      </c>
      <c r="G133" s="38" t="s">
        <v>138</v>
      </c>
      <c r="H133" s="9" t="s">
        <v>229</v>
      </c>
      <c r="I133" s="38" t="s">
        <v>65</v>
      </c>
      <c r="J133" s="38">
        <v>0</v>
      </c>
      <c r="K133" s="38">
        <v>0</v>
      </c>
      <c r="L133" s="38">
        <v>0</v>
      </c>
      <c r="M133" s="38">
        <v>0</v>
      </c>
      <c r="N133" s="38">
        <v>18.37</v>
      </c>
      <c r="O133" s="38"/>
      <c r="P133" s="38" t="s">
        <v>152</v>
      </c>
      <c r="Q133" s="38"/>
    </row>
    <row r="134" spans="1:17" x14ac:dyDescent="0.25">
      <c r="A134" s="39">
        <v>45415</v>
      </c>
      <c r="B134" s="38" t="s">
        <v>75</v>
      </c>
      <c r="C134" s="38" t="s">
        <v>7</v>
      </c>
      <c r="D134" s="38" t="s">
        <v>410</v>
      </c>
      <c r="E134" s="38" t="s">
        <v>202</v>
      </c>
      <c r="F134" s="38" t="s">
        <v>346</v>
      </c>
      <c r="G134" s="38" t="s">
        <v>138</v>
      </c>
      <c r="H134" s="9" t="s">
        <v>230</v>
      </c>
      <c r="I134" s="38" t="s">
        <v>58</v>
      </c>
      <c r="J134" s="38">
        <v>0</v>
      </c>
      <c r="K134" s="38">
        <v>0</v>
      </c>
      <c r="L134" s="38">
        <v>0</v>
      </c>
      <c r="M134" s="38">
        <v>0</v>
      </c>
      <c r="N134" s="38">
        <v>12.9</v>
      </c>
      <c r="O134" s="38"/>
      <c r="P134" s="38" t="s">
        <v>303</v>
      </c>
      <c r="Q134" s="38"/>
    </row>
    <row r="135" spans="1:17" x14ac:dyDescent="0.25">
      <c r="A135" s="39">
        <v>45415</v>
      </c>
      <c r="B135" s="38" t="s">
        <v>25</v>
      </c>
      <c r="C135" s="38" t="s">
        <v>7</v>
      </c>
      <c r="D135" s="38" t="s">
        <v>383</v>
      </c>
      <c r="E135" s="38" t="s">
        <v>81</v>
      </c>
      <c r="F135" s="38" t="s">
        <v>285</v>
      </c>
      <c r="G135" s="38" t="s">
        <v>138</v>
      </c>
      <c r="H135" s="9" t="s">
        <v>231</v>
      </c>
      <c r="I135" s="38" t="s">
        <v>65</v>
      </c>
      <c r="J135" s="38">
        <v>0</v>
      </c>
      <c r="K135" s="38">
        <v>0</v>
      </c>
      <c r="L135" s="38">
        <v>0</v>
      </c>
      <c r="M135" s="38">
        <v>0</v>
      </c>
      <c r="N135" s="38">
        <v>12.16</v>
      </c>
      <c r="O135" s="38"/>
      <c r="P135" s="38" t="s">
        <v>148</v>
      </c>
      <c r="Q135" s="38"/>
    </row>
    <row r="136" spans="1:17" x14ac:dyDescent="0.25">
      <c r="A136" s="39">
        <v>45415</v>
      </c>
      <c r="B136" s="38" t="s">
        <v>74</v>
      </c>
      <c r="C136" s="38" t="s">
        <v>7</v>
      </c>
      <c r="D136" s="38" t="s">
        <v>292</v>
      </c>
      <c r="E136" s="38" t="s">
        <v>60</v>
      </c>
      <c r="F136" s="38" t="s">
        <v>346</v>
      </c>
      <c r="G136" s="38" t="s">
        <v>138</v>
      </c>
      <c r="H136" s="9" t="s">
        <v>232</v>
      </c>
      <c r="I136" s="38" t="s">
        <v>58</v>
      </c>
      <c r="J136" s="38">
        <v>0</v>
      </c>
      <c r="K136" s="38">
        <v>0</v>
      </c>
      <c r="L136" s="38">
        <v>0</v>
      </c>
      <c r="M136" s="38">
        <v>0</v>
      </c>
      <c r="N136" s="38">
        <v>15.61</v>
      </c>
      <c r="O136" s="38"/>
      <c r="P136" s="38" t="s">
        <v>293</v>
      </c>
      <c r="Q136" s="38"/>
    </row>
    <row r="137" spans="1:17" x14ac:dyDescent="0.25">
      <c r="A137" s="39">
        <v>45415</v>
      </c>
      <c r="B137" s="38" t="s">
        <v>26</v>
      </c>
      <c r="C137" s="38" t="s">
        <v>7</v>
      </c>
      <c r="D137" s="38" t="s">
        <v>294</v>
      </c>
      <c r="E137" s="38" t="s">
        <v>56</v>
      </c>
      <c r="F137" s="38" t="s">
        <v>184</v>
      </c>
      <c r="G137" s="38" t="s">
        <v>138</v>
      </c>
      <c r="H137" s="9" t="s">
        <v>233</v>
      </c>
      <c r="I137" s="38" t="s">
        <v>65</v>
      </c>
      <c r="J137" s="38">
        <v>0</v>
      </c>
      <c r="K137" s="38">
        <v>0</v>
      </c>
      <c r="L137" s="38">
        <v>0</v>
      </c>
      <c r="M137" s="38">
        <v>0</v>
      </c>
      <c r="N137" s="38">
        <v>13.29</v>
      </c>
      <c r="O137" s="38"/>
      <c r="P137" s="38" t="s">
        <v>155</v>
      </c>
      <c r="Q137" s="38"/>
    </row>
    <row r="138" spans="1:17" x14ac:dyDescent="0.25">
      <c r="A138" s="39">
        <v>45415</v>
      </c>
      <c r="B138" s="38" t="s">
        <v>27</v>
      </c>
      <c r="C138" s="38" t="s">
        <v>7</v>
      </c>
      <c r="D138" s="38" t="s">
        <v>384</v>
      </c>
      <c r="E138" s="38" t="s">
        <v>366</v>
      </c>
      <c r="F138" s="38" t="s">
        <v>346</v>
      </c>
      <c r="G138" s="38" t="s">
        <v>138</v>
      </c>
      <c r="H138" s="9" t="s">
        <v>234</v>
      </c>
      <c r="I138" s="38" t="s">
        <v>58</v>
      </c>
      <c r="J138" s="38">
        <v>0</v>
      </c>
      <c r="K138" s="38">
        <v>0</v>
      </c>
      <c r="L138" s="38">
        <v>0</v>
      </c>
      <c r="M138" s="38">
        <v>0</v>
      </c>
      <c r="N138" s="38">
        <v>13.89</v>
      </c>
      <c r="O138" s="38"/>
      <c r="P138" s="38" t="s">
        <v>269</v>
      </c>
      <c r="Q138" s="38"/>
    </row>
    <row r="139" spans="1:17" x14ac:dyDescent="0.25">
      <c r="A139" s="39">
        <v>45415</v>
      </c>
      <c r="B139" s="38" t="s">
        <v>28</v>
      </c>
      <c r="C139" s="38" t="s">
        <v>7</v>
      </c>
      <c r="D139" s="38" t="s">
        <v>411</v>
      </c>
      <c r="E139" s="38" t="s">
        <v>56</v>
      </c>
      <c r="F139" s="38" t="s">
        <v>338</v>
      </c>
      <c r="G139" s="38" t="s">
        <v>138</v>
      </c>
      <c r="H139" s="9" t="s">
        <v>235</v>
      </c>
      <c r="I139" s="38" t="s">
        <v>65</v>
      </c>
      <c r="J139" s="38">
        <v>0</v>
      </c>
      <c r="K139" s="38">
        <v>0</v>
      </c>
      <c r="L139" s="38">
        <v>0</v>
      </c>
      <c r="M139" s="38">
        <v>0</v>
      </c>
      <c r="N139" s="38">
        <v>13.9</v>
      </c>
      <c r="O139" s="38"/>
      <c r="P139" s="38" t="s">
        <v>155</v>
      </c>
      <c r="Q139" s="38"/>
    </row>
    <row r="140" spans="1:17" x14ac:dyDescent="0.25">
      <c r="A140" s="39">
        <v>45415</v>
      </c>
      <c r="B140" s="38" t="s">
        <v>72</v>
      </c>
      <c r="C140" s="38" t="s">
        <v>7</v>
      </c>
      <c r="D140" s="38" t="s">
        <v>322</v>
      </c>
      <c r="E140" s="38" t="s">
        <v>202</v>
      </c>
      <c r="F140" s="38" t="s">
        <v>346</v>
      </c>
      <c r="G140" s="38" t="s">
        <v>138</v>
      </c>
      <c r="H140" s="9" t="s">
        <v>422</v>
      </c>
      <c r="I140" s="38" t="s">
        <v>58</v>
      </c>
      <c r="J140" s="38">
        <v>0</v>
      </c>
      <c r="K140" s="38">
        <v>0</v>
      </c>
      <c r="L140" s="38">
        <v>0</v>
      </c>
      <c r="M140" s="38">
        <v>0</v>
      </c>
      <c r="N140" s="38">
        <v>15.45</v>
      </c>
      <c r="O140" s="38"/>
      <c r="P140" s="38" t="s">
        <v>157</v>
      </c>
      <c r="Q140" s="38"/>
    </row>
    <row r="141" spans="1:17" x14ac:dyDescent="0.25">
      <c r="A141" s="39">
        <v>45415</v>
      </c>
      <c r="B141" s="38" t="s">
        <v>29</v>
      </c>
      <c r="C141" s="38" t="s">
        <v>7</v>
      </c>
      <c r="D141" s="38" t="s">
        <v>315</v>
      </c>
      <c r="E141" s="38" t="s">
        <v>56</v>
      </c>
      <c r="F141" s="38" t="s">
        <v>338</v>
      </c>
      <c r="G141" s="38" t="s">
        <v>138</v>
      </c>
      <c r="H141" s="9" t="s">
        <v>236</v>
      </c>
      <c r="I141" s="38" t="s">
        <v>65</v>
      </c>
      <c r="J141" s="38">
        <v>0</v>
      </c>
      <c r="K141" s="38">
        <v>0</v>
      </c>
      <c r="L141" s="38">
        <v>0</v>
      </c>
      <c r="M141" s="38">
        <v>0</v>
      </c>
      <c r="N141" s="38">
        <v>13.98</v>
      </c>
      <c r="O141" s="38"/>
      <c r="P141" s="38" t="s">
        <v>156</v>
      </c>
      <c r="Q141" s="38"/>
    </row>
    <row r="142" spans="1:17" x14ac:dyDescent="0.25">
      <c r="A142" s="39">
        <v>45415</v>
      </c>
      <c r="B142" s="38" t="s">
        <v>30</v>
      </c>
      <c r="C142" s="38" t="s">
        <v>7</v>
      </c>
      <c r="D142" s="38" t="s">
        <v>305</v>
      </c>
      <c r="E142" s="38" t="s">
        <v>81</v>
      </c>
      <c r="F142" s="38" t="s">
        <v>90</v>
      </c>
      <c r="G142" s="38" t="s">
        <v>138</v>
      </c>
      <c r="H142" s="9" t="s">
        <v>71</v>
      </c>
      <c r="I142" s="38" t="s">
        <v>58</v>
      </c>
      <c r="J142" s="38">
        <v>0</v>
      </c>
      <c r="K142" s="38">
        <v>0</v>
      </c>
      <c r="L142" s="38">
        <v>0</v>
      </c>
      <c r="M142" s="38">
        <v>0</v>
      </c>
      <c r="N142" s="38">
        <v>10.84</v>
      </c>
      <c r="O142" s="38"/>
      <c r="P142" s="38" t="s">
        <v>150</v>
      </c>
      <c r="Q142" s="38"/>
    </row>
    <row r="143" spans="1:17" x14ac:dyDescent="0.25">
      <c r="A143" s="39">
        <v>45415</v>
      </c>
      <c r="B143" s="38" t="s">
        <v>31</v>
      </c>
      <c r="C143" s="38" t="s">
        <v>7</v>
      </c>
      <c r="D143" s="38"/>
      <c r="E143" s="38" t="s">
        <v>56</v>
      </c>
      <c r="F143" s="38"/>
      <c r="G143" s="38" t="s">
        <v>138</v>
      </c>
      <c r="H143" s="9" t="s">
        <v>70</v>
      </c>
      <c r="I143" s="38" t="s">
        <v>65</v>
      </c>
      <c r="J143" s="38">
        <v>0</v>
      </c>
      <c r="K143" s="38">
        <v>0</v>
      </c>
      <c r="L143" s="38">
        <v>0</v>
      </c>
      <c r="M143" s="38">
        <v>0</v>
      </c>
      <c r="N143" s="38">
        <v>13.5</v>
      </c>
      <c r="O143" s="38"/>
      <c r="P143" s="38" t="s">
        <v>156</v>
      </c>
      <c r="Q143" s="38"/>
    </row>
    <row r="144" spans="1:17" x14ac:dyDescent="0.25">
      <c r="A144" s="39">
        <v>45415</v>
      </c>
      <c r="B144" s="38" t="s">
        <v>32</v>
      </c>
      <c r="C144" s="38" t="s">
        <v>7</v>
      </c>
      <c r="D144" s="38" t="s">
        <v>413</v>
      </c>
      <c r="E144" s="38" t="s">
        <v>202</v>
      </c>
      <c r="F144" s="38" t="s">
        <v>346</v>
      </c>
      <c r="G144" s="38" t="s">
        <v>138</v>
      </c>
      <c r="H144" s="9" t="s">
        <v>69</v>
      </c>
      <c r="I144" s="38" t="s">
        <v>58</v>
      </c>
      <c r="J144" s="38">
        <v>0</v>
      </c>
      <c r="K144" s="38">
        <v>0</v>
      </c>
      <c r="L144" s="38">
        <v>0</v>
      </c>
      <c r="M144" s="38">
        <v>0</v>
      </c>
      <c r="N144" s="38">
        <v>14.39</v>
      </c>
      <c r="O144" s="38"/>
      <c r="P144" s="38" t="s">
        <v>414</v>
      </c>
      <c r="Q144" s="38"/>
    </row>
    <row r="145" spans="1:17" x14ac:dyDescent="0.25">
      <c r="A145" s="39">
        <v>45415</v>
      </c>
      <c r="B145" s="38" t="s">
        <v>67</v>
      </c>
      <c r="C145" s="38" t="s">
        <v>7</v>
      </c>
      <c r="D145" s="38" t="s">
        <v>354</v>
      </c>
      <c r="E145" s="38" t="s">
        <v>56</v>
      </c>
      <c r="F145" s="38" t="s">
        <v>367</v>
      </c>
      <c r="G145" s="38" t="s">
        <v>138</v>
      </c>
      <c r="H145" s="9" t="s">
        <v>68</v>
      </c>
      <c r="I145" s="38" t="s">
        <v>65</v>
      </c>
      <c r="J145" s="38">
        <v>0</v>
      </c>
      <c r="K145" s="38">
        <v>0</v>
      </c>
      <c r="L145" s="38">
        <v>0</v>
      </c>
      <c r="M145" s="38">
        <v>0</v>
      </c>
      <c r="N145" s="38">
        <v>13.8</v>
      </c>
      <c r="O145" s="38"/>
      <c r="P145" s="38" t="s">
        <v>156</v>
      </c>
      <c r="Q145" s="38"/>
    </row>
    <row r="146" spans="1:17" x14ac:dyDescent="0.25">
      <c r="A146" s="39">
        <v>45415</v>
      </c>
      <c r="B146" s="38" t="s">
        <v>33</v>
      </c>
      <c r="C146" s="38" t="s">
        <v>7</v>
      </c>
      <c r="D146" s="38" t="s">
        <v>277</v>
      </c>
      <c r="E146" s="38" t="s">
        <v>73</v>
      </c>
      <c r="F146" s="38" t="s">
        <v>346</v>
      </c>
      <c r="G146" s="38" t="s">
        <v>138</v>
      </c>
      <c r="H146" s="9" t="s">
        <v>66</v>
      </c>
      <c r="I146" s="38" t="s">
        <v>58</v>
      </c>
      <c r="J146" s="38">
        <v>0</v>
      </c>
      <c r="K146" s="38">
        <v>0</v>
      </c>
      <c r="L146" s="38">
        <v>0</v>
      </c>
      <c r="M146" s="38">
        <v>0</v>
      </c>
      <c r="N146" s="38">
        <v>14.19</v>
      </c>
      <c r="O146" s="38"/>
      <c r="P146" s="38" t="s">
        <v>201</v>
      </c>
      <c r="Q146" s="38"/>
    </row>
    <row r="147" spans="1:17" x14ac:dyDescent="0.25">
      <c r="A147" s="39">
        <v>45415</v>
      </c>
      <c r="B147" s="38" t="s">
        <v>34</v>
      </c>
      <c r="C147" s="38" t="s">
        <v>7</v>
      </c>
      <c r="D147" s="38" t="s">
        <v>415</v>
      </c>
      <c r="E147" s="38" t="s">
        <v>56</v>
      </c>
      <c r="F147" s="38" t="s">
        <v>346</v>
      </c>
      <c r="G147" s="38" t="s">
        <v>138</v>
      </c>
      <c r="H147" s="9" t="s">
        <v>64</v>
      </c>
      <c r="I147" s="38" t="s">
        <v>65</v>
      </c>
      <c r="J147" s="38">
        <v>0</v>
      </c>
      <c r="K147" s="38">
        <v>0</v>
      </c>
      <c r="L147" s="38">
        <v>0</v>
      </c>
      <c r="M147" s="38">
        <v>0</v>
      </c>
      <c r="N147" s="38">
        <v>15.6</v>
      </c>
      <c r="O147" s="38"/>
      <c r="P147" s="38" t="s">
        <v>416</v>
      </c>
      <c r="Q147" s="38"/>
    </row>
    <row r="148" spans="1:17" x14ac:dyDescent="0.25">
      <c r="A148" s="39">
        <v>45415</v>
      </c>
      <c r="B148" s="38" t="s">
        <v>35</v>
      </c>
      <c r="C148" s="38" t="s">
        <v>7</v>
      </c>
      <c r="D148" s="38" t="s">
        <v>331</v>
      </c>
      <c r="E148" s="38" t="s">
        <v>60</v>
      </c>
      <c r="F148" s="38" t="s">
        <v>346</v>
      </c>
      <c r="G148" s="38" t="s">
        <v>138</v>
      </c>
      <c r="H148" s="9" t="s">
        <v>237</v>
      </c>
      <c r="I148" s="38" t="s">
        <v>58</v>
      </c>
      <c r="J148" s="38">
        <v>0</v>
      </c>
      <c r="K148" s="38">
        <v>0</v>
      </c>
      <c r="L148" s="38">
        <v>0</v>
      </c>
      <c r="M148" s="38">
        <v>0</v>
      </c>
      <c r="N148" s="38">
        <v>14.64</v>
      </c>
      <c r="O148" s="38"/>
      <c r="P148" s="38" t="s">
        <v>158</v>
      </c>
      <c r="Q148" s="38"/>
    </row>
    <row r="149" spans="1:17" x14ac:dyDescent="0.25">
      <c r="A149" s="39">
        <v>45415</v>
      </c>
      <c r="B149" s="38" t="s">
        <v>418</v>
      </c>
      <c r="C149" s="38" t="s">
        <v>7</v>
      </c>
      <c r="D149" s="38"/>
      <c r="E149" s="38"/>
      <c r="F149" s="38"/>
      <c r="G149" s="38" t="s">
        <v>138</v>
      </c>
      <c r="H149" s="9" t="s">
        <v>240</v>
      </c>
      <c r="I149" s="38" t="s">
        <v>262</v>
      </c>
      <c r="J149" s="38">
        <v>0</v>
      </c>
      <c r="K149" s="38">
        <v>0</v>
      </c>
      <c r="L149" s="38">
        <v>0</v>
      </c>
      <c r="M149" s="38">
        <v>0</v>
      </c>
      <c r="N149" s="38">
        <v>17.670000000000002</v>
      </c>
      <c r="O149" s="38"/>
      <c r="P149" s="38"/>
      <c r="Q149" s="38"/>
    </row>
    <row r="150" spans="1:17" x14ac:dyDescent="0.25">
      <c r="A150" s="39">
        <v>45415</v>
      </c>
      <c r="B150" s="38" t="s">
        <v>419</v>
      </c>
      <c r="C150" s="38" t="s">
        <v>7</v>
      </c>
      <c r="D150" s="38"/>
      <c r="E150" s="38"/>
      <c r="F150" s="38"/>
      <c r="G150" s="38" t="s">
        <v>138</v>
      </c>
      <c r="H150" s="9" t="s">
        <v>240</v>
      </c>
      <c r="I150" s="38" t="s">
        <v>262</v>
      </c>
      <c r="J150" s="38">
        <v>0</v>
      </c>
      <c r="K150" s="38">
        <v>0</v>
      </c>
      <c r="L150" s="38">
        <v>0</v>
      </c>
      <c r="M150" s="38">
        <v>0</v>
      </c>
      <c r="N150" s="38">
        <v>13.49</v>
      </c>
      <c r="O150" s="38"/>
      <c r="P150" s="38"/>
      <c r="Q150" s="38"/>
    </row>
    <row r="151" spans="1:17" x14ac:dyDescent="0.25">
      <c r="A151" s="39">
        <v>45415</v>
      </c>
      <c r="B151" s="38" t="s">
        <v>36</v>
      </c>
      <c r="C151" s="38" t="s">
        <v>7</v>
      </c>
      <c r="D151" s="38" t="s">
        <v>295</v>
      </c>
      <c r="E151" s="38" t="s">
        <v>81</v>
      </c>
      <c r="F151" s="38" t="s">
        <v>369</v>
      </c>
      <c r="G151" s="38" t="s">
        <v>138</v>
      </c>
      <c r="H151" s="9" t="s">
        <v>423</v>
      </c>
      <c r="I151" s="38" t="s">
        <v>58</v>
      </c>
      <c r="J151" s="38">
        <v>0</v>
      </c>
      <c r="K151" s="38">
        <v>0</v>
      </c>
      <c r="L151" s="38">
        <v>0</v>
      </c>
      <c r="M151" s="38">
        <v>0</v>
      </c>
      <c r="N151" s="38">
        <v>38472557</v>
      </c>
      <c r="O151" s="38"/>
      <c r="P151" s="38" t="s">
        <v>156</v>
      </c>
      <c r="Q151" s="38"/>
    </row>
    <row r="152" spans="1:17" x14ac:dyDescent="0.25">
      <c r="A152" s="39">
        <v>45415</v>
      </c>
      <c r="B152" s="38" t="s">
        <v>256</v>
      </c>
      <c r="C152" s="38" t="s">
        <v>7</v>
      </c>
      <c r="D152" s="38" t="s">
        <v>392</v>
      </c>
      <c r="E152" s="38" t="s">
        <v>417</v>
      </c>
      <c r="F152" s="38" t="s">
        <v>192</v>
      </c>
      <c r="G152" s="38" t="s">
        <v>138</v>
      </c>
      <c r="H152" s="9"/>
      <c r="I152" s="38" t="s">
        <v>262</v>
      </c>
      <c r="J152" s="38">
        <v>0</v>
      </c>
      <c r="K152" s="38">
        <v>0</v>
      </c>
      <c r="L152" s="38">
        <v>0</v>
      </c>
      <c r="M152" s="38">
        <v>0</v>
      </c>
      <c r="N152" s="38">
        <v>0</v>
      </c>
      <c r="O152" s="38"/>
      <c r="P152" s="38" t="s">
        <v>149</v>
      </c>
      <c r="Q152" s="38"/>
    </row>
    <row r="153" spans="1:17" x14ac:dyDescent="0.25">
      <c r="A153" s="39">
        <v>45415</v>
      </c>
      <c r="B153" s="38" t="s">
        <v>257</v>
      </c>
      <c r="C153" s="38" t="s">
        <v>7</v>
      </c>
      <c r="D153" s="38" t="s">
        <v>392</v>
      </c>
      <c r="E153" s="38" t="s">
        <v>417</v>
      </c>
      <c r="F153" s="38" t="s">
        <v>192</v>
      </c>
      <c r="G153" s="38" t="s">
        <v>138</v>
      </c>
      <c r="H153" s="9"/>
      <c r="I153" s="38" t="s">
        <v>58</v>
      </c>
      <c r="J153" s="38">
        <v>0</v>
      </c>
      <c r="K153" s="38">
        <v>0</v>
      </c>
      <c r="L153" s="38">
        <v>0</v>
      </c>
      <c r="M153" s="38">
        <v>0</v>
      </c>
      <c r="N153" s="38">
        <v>38.46</v>
      </c>
      <c r="O153" s="38"/>
      <c r="P153" s="38" t="s">
        <v>149</v>
      </c>
      <c r="Q153" s="38"/>
    </row>
    <row r="154" spans="1:17" x14ac:dyDescent="0.25">
      <c r="A154" s="39">
        <v>45415</v>
      </c>
      <c r="B154" s="38" t="s">
        <v>37</v>
      </c>
      <c r="C154" s="38" t="s">
        <v>7</v>
      </c>
      <c r="D154" s="38" t="s">
        <v>347</v>
      </c>
      <c r="E154" s="38" t="s">
        <v>348</v>
      </c>
      <c r="F154" s="38" t="s">
        <v>346</v>
      </c>
      <c r="G154" s="38" t="s">
        <v>138</v>
      </c>
      <c r="H154" s="9" t="s">
        <v>425</v>
      </c>
      <c r="I154" s="38" t="s">
        <v>58</v>
      </c>
      <c r="J154" s="38">
        <v>0</v>
      </c>
      <c r="K154" s="38">
        <v>0</v>
      </c>
      <c r="L154" s="38">
        <v>0</v>
      </c>
      <c r="M154" s="38">
        <v>0</v>
      </c>
      <c r="N154" s="38">
        <v>13.5</v>
      </c>
      <c r="O154" s="38"/>
      <c r="P154" s="38" t="s">
        <v>270</v>
      </c>
      <c r="Q154" s="38"/>
    </row>
    <row r="155" spans="1:17" x14ac:dyDescent="0.25">
      <c r="A155" s="39">
        <v>45415</v>
      </c>
      <c r="B155" s="38" t="s">
        <v>258</v>
      </c>
      <c r="C155" s="38" t="s">
        <v>7</v>
      </c>
      <c r="D155" s="38"/>
      <c r="E155" s="38"/>
      <c r="F155" s="38"/>
      <c r="G155" s="38" t="s">
        <v>138</v>
      </c>
      <c r="H155" s="9" t="s">
        <v>426</v>
      </c>
      <c r="I155" s="38" t="s">
        <v>262</v>
      </c>
      <c r="J155" s="38">
        <v>0</v>
      </c>
      <c r="K155" s="38">
        <v>0</v>
      </c>
      <c r="L155" s="38">
        <v>0</v>
      </c>
      <c r="M155" s="38">
        <v>0</v>
      </c>
      <c r="N155" s="38">
        <v>13.5</v>
      </c>
      <c r="O155" s="38"/>
      <c r="P155" s="38" t="s">
        <v>148</v>
      </c>
      <c r="Q155" s="38"/>
    </row>
    <row r="156" spans="1:17" x14ac:dyDescent="0.25">
      <c r="A156" s="39">
        <v>45415</v>
      </c>
      <c r="B156" s="38" t="s">
        <v>259</v>
      </c>
      <c r="C156" s="38" t="s">
        <v>7</v>
      </c>
      <c r="D156" s="38"/>
      <c r="E156" s="38"/>
      <c r="F156" s="38"/>
      <c r="G156" s="38" t="s">
        <v>138</v>
      </c>
      <c r="H156" s="9" t="s">
        <v>426</v>
      </c>
      <c r="I156" s="38" t="s">
        <v>262</v>
      </c>
      <c r="J156" s="38">
        <v>0</v>
      </c>
      <c r="K156" s="38">
        <v>0</v>
      </c>
      <c r="L156" s="38">
        <v>0</v>
      </c>
      <c r="M156" s="38">
        <v>0</v>
      </c>
      <c r="N156" s="38">
        <v>41.06</v>
      </c>
      <c r="O156" s="38"/>
      <c r="P156" s="38" t="s">
        <v>148</v>
      </c>
      <c r="Q156" s="38"/>
    </row>
    <row r="157" spans="1:17" x14ac:dyDescent="0.25">
      <c r="A157" s="39">
        <v>45415</v>
      </c>
      <c r="B157" s="38" t="s">
        <v>54</v>
      </c>
      <c r="C157" s="38" t="s">
        <v>7</v>
      </c>
      <c r="D157" s="38" t="s">
        <v>55</v>
      </c>
      <c r="E157" s="38" t="s">
        <v>56</v>
      </c>
      <c r="F157" s="38" t="s">
        <v>57</v>
      </c>
      <c r="G157" s="38" t="s">
        <v>138</v>
      </c>
      <c r="H157" s="9" t="s">
        <v>427</v>
      </c>
      <c r="I157" s="38" t="s">
        <v>58</v>
      </c>
      <c r="J157" s="38">
        <v>0</v>
      </c>
      <c r="K157" s="38">
        <v>0</v>
      </c>
      <c r="L157" s="38">
        <v>0</v>
      </c>
      <c r="M157" s="38">
        <v>0</v>
      </c>
      <c r="N157" s="38">
        <v>41.06</v>
      </c>
      <c r="O157" s="38"/>
      <c r="P157" s="38" t="s">
        <v>159</v>
      </c>
      <c r="Q157" s="38"/>
    </row>
    <row r="158" spans="1:17" x14ac:dyDescent="0.25">
      <c r="A158" s="39">
        <v>45415</v>
      </c>
      <c r="B158" s="38" t="s">
        <v>136</v>
      </c>
      <c r="C158" s="38" t="s">
        <v>8</v>
      </c>
      <c r="D158" s="38" t="s">
        <v>174</v>
      </c>
      <c r="E158" s="38" t="s">
        <v>81</v>
      </c>
      <c r="F158" s="38" t="s">
        <v>90</v>
      </c>
      <c r="G158" s="38" t="s">
        <v>138</v>
      </c>
      <c r="H158" s="9" t="s">
        <v>160</v>
      </c>
      <c r="I158" s="38" t="s">
        <v>58</v>
      </c>
      <c r="J158" s="38">
        <v>0</v>
      </c>
      <c r="K158" s="38">
        <v>0</v>
      </c>
      <c r="L158" s="38">
        <v>0</v>
      </c>
      <c r="M158" s="38">
        <v>0</v>
      </c>
      <c r="N158" s="38">
        <v>42144554</v>
      </c>
      <c r="O158" s="38"/>
      <c r="P158" s="38" t="s">
        <v>153</v>
      </c>
      <c r="Q158" s="38"/>
    </row>
    <row r="159" spans="1:17" x14ac:dyDescent="0.25">
      <c r="A159" s="39">
        <v>45415</v>
      </c>
      <c r="B159" s="38" t="s">
        <v>135</v>
      </c>
      <c r="C159" s="38" t="s">
        <v>8</v>
      </c>
      <c r="D159" s="38" t="s">
        <v>332</v>
      </c>
      <c r="E159" s="38" t="s">
        <v>81</v>
      </c>
      <c r="F159" s="38" t="s">
        <v>90</v>
      </c>
      <c r="G159" s="38" t="s">
        <v>138</v>
      </c>
      <c r="H159" s="9" t="s">
        <v>161</v>
      </c>
      <c r="I159" s="38" t="s">
        <v>58</v>
      </c>
      <c r="J159" s="38">
        <v>0</v>
      </c>
      <c r="K159" s="38">
        <v>0</v>
      </c>
      <c r="L159" s="38">
        <v>0</v>
      </c>
      <c r="M159" s="38">
        <v>0</v>
      </c>
      <c r="N159" s="38">
        <v>24.09</v>
      </c>
      <c r="O159" s="38"/>
      <c r="P159" s="38" t="s">
        <v>148</v>
      </c>
      <c r="Q159" s="38"/>
    </row>
    <row r="160" spans="1:17" x14ac:dyDescent="0.25">
      <c r="A160" s="39">
        <v>45415</v>
      </c>
      <c r="B160" s="38" t="s">
        <v>134</v>
      </c>
      <c r="C160" s="38" t="s">
        <v>8</v>
      </c>
      <c r="D160" s="38" t="s">
        <v>175</v>
      </c>
      <c r="E160" s="38" t="s">
        <v>81</v>
      </c>
      <c r="F160" s="38" t="s">
        <v>90</v>
      </c>
      <c r="G160" s="38" t="s">
        <v>138</v>
      </c>
      <c r="H160" s="9" t="s">
        <v>206</v>
      </c>
      <c r="I160" s="38" t="s">
        <v>58</v>
      </c>
      <c r="J160" s="38">
        <v>0</v>
      </c>
      <c r="K160" s="38">
        <v>0</v>
      </c>
      <c r="L160" s="38">
        <v>0</v>
      </c>
      <c r="M160" s="38">
        <v>0</v>
      </c>
      <c r="N160" s="38">
        <v>0</v>
      </c>
      <c r="O160" s="38"/>
      <c r="P160" s="38" t="s">
        <v>148</v>
      </c>
      <c r="Q160" s="38"/>
    </row>
    <row r="161" spans="1:17" x14ac:dyDescent="0.25">
      <c r="A161" s="39">
        <v>45415</v>
      </c>
      <c r="B161" s="38" t="s">
        <v>132</v>
      </c>
      <c r="C161" s="38" t="s">
        <v>8</v>
      </c>
      <c r="D161" s="38" t="s">
        <v>133</v>
      </c>
      <c r="E161" s="38" t="s">
        <v>126</v>
      </c>
      <c r="F161" s="38" t="s">
        <v>199</v>
      </c>
      <c r="G161" s="38" t="s">
        <v>138</v>
      </c>
      <c r="H161" s="9" t="s">
        <v>162</v>
      </c>
      <c r="I161" s="38" t="s">
        <v>58</v>
      </c>
      <c r="J161" s="38">
        <v>0</v>
      </c>
      <c r="K161" s="38">
        <v>0</v>
      </c>
      <c r="L161" s="38">
        <v>0</v>
      </c>
      <c r="M161" s="38">
        <v>0</v>
      </c>
      <c r="N161" s="38">
        <v>38.369999999999997</v>
      </c>
      <c r="O161" s="38"/>
      <c r="P161" s="38" t="s">
        <v>149</v>
      </c>
      <c r="Q161" s="38"/>
    </row>
    <row r="162" spans="1:17" x14ac:dyDescent="0.25">
      <c r="A162" s="39">
        <v>45415</v>
      </c>
      <c r="B162" s="38" t="s">
        <v>131</v>
      </c>
      <c r="C162" s="38" t="s">
        <v>8</v>
      </c>
      <c r="D162" s="38" t="s">
        <v>396</v>
      </c>
      <c r="E162" s="38" t="s">
        <v>60</v>
      </c>
      <c r="F162" s="38" t="s">
        <v>90</v>
      </c>
      <c r="G162" s="38" t="s">
        <v>138</v>
      </c>
      <c r="H162" s="9" t="s">
        <v>163</v>
      </c>
      <c r="I162" s="38" t="s">
        <v>58</v>
      </c>
      <c r="J162" s="38">
        <v>0</v>
      </c>
      <c r="K162" s="38">
        <v>0</v>
      </c>
      <c r="L162" s="38">
        <v>0</v>
      </c>
      <c r="M162" s="38">
        <v>0</v>
      </c>
      <c r="N162" s="38">
        <v>23.93</v>
      </c>
      <c r="O162" s="38"/>
      <c r="P162" s="38" t="s">
        <v>154</v>
      </c>
      <c r="Q162" s="38"/>
    </row>
    <row r="163" spans="1:17" x14ac:dyDescent="0.25">
      <c r="A163" s="39">
        <v>45415</v>
      </c>
      <c r="B163" s="38" t="s">
        <v>130</v>
      </c>
      <c r="C163" s="38" t="s">
        <v>8</v>
      </c>
      <c r="D163" s="38" t="s">
        <v>191</v>
      </c>
      <c r="E163" s="38" t="s">
        <v>81</v>
      </c>
      <c r="F163" s="38" t="s">
        <v>285</v>
      </c>
      <c r="G163" s="38" t="s">
        <v>138</v>
      </c>
      <c r="H163" s="9" t="s">
        <v>420</v>
      </c>
      <c r="I163" s="38" t="s">
        <v>58</v>
      </c>
      <c r="J163" s="38">
        <v>0</v>
      </c>
      <c r="K163" s="38">
        <v>0</v>
      </c>
      <c r="L163" s="38">
        <v>0</v>
      </c>
      <c r="M163" s="38">
        <v>0</v>
      </c>
      <c r="N163" s="38">
        <v>14.99</v>
      </c>
      <c r="O163" s="38"/>
      <c r="P163" s="38" t="s">
        <v>148</v>
      </c>
      <c r="Q163" s="38"/>
    </row>
    <row r="164" spans="1:17" x14ac:dyDescent="0.25">
      <c r="A164" s="39">
        <v>45415</v>
      </c>
      <c r="B164" s="38" t="s">
        <v>128</v>
      </c>
      <c r="C164" s="38" t="s">
        <v>8</v>
      </c>
      <c r="D164" s="38" t="s">
        <v>129</v>
      </c>
      <c r="E164" s="38" t="s">
        <v>126</v>
      </c>
      <c r="F164" s="38" t="s">
        <v>199</v>
      </c>
      <c r="G164" s="38" t="s">
        <v>138</v>
      </c>
      <c r="H164" s="9" t="s">
        <v>164</v>
      </c>
      <c r="I164" s="38" t="s">
        <v>58</v>
      </c>
      <c r="J164" s="38">
        <v>0</v>
      </c>
      <c r="K164" s="38">
        <v>0</v>
      </c>
      <c r="L164" s="38">
        <v>0</v>
      </c>
      <c r="M164" s="38">
        <v>0</v>
      </c>
      <c r="N164" s="38">
        <v>41.06</v>
      </c>
      <c r="O164" s="38"/>
      <c r="P164" s="38" t="s">
        <v>149</v>
      </c>
      <c r="Q164" s="38"/>
    </row>
    <row r="165" spans="1:17" x14ac:dyDescent="0.25">
      <c r="A165" s="39">
        <v>45415</v>
      </c>
      <c r="B165" s="38" t="s">
        <v>40</v>
      </c>
      <c r="C165" s="38" t="s">
        <v>8</v>
      </c>
      <c r="D165" s="38" t="s">
        <v>397</v>
      </c>
      <c r="E165" s="38" t="s">
        <v>60</v>
      </c>
      <c r="F165" s="38" t="s">
        <v>200</v>
      </c>
      <c r="G165" s="38" t="s">
        <v>138</v>
      </c>
      <c r="H165" s="9" t="s">
        <v>165</v>
      </c>
      <c r="I165" s="38" t="s">
        <v>58</v>
      </c>
      <c r="J165" s="38">
        <v>0</v>
      </c>
      <c r="K165" s="38">
        <v>0</v>
      </c>
      <c r="L165" s="38">
        <v>0</v>
      </c>
      <c r="M165" s="38">
        <v>0</v>
      </c>
      <c r="N165" s="38">
        <v>14.92</v>
      </c>
      <c r="O165" s="38"/>
      <c r="P165" s="38" t="s">
        <v>153</v>
      </c>
      <c r="Q165" s="38"/>
    </row>
    <row r="166" spans="1:17" x14ac:dyDescent="0.25">
      <c r="A166" s="39">
        <v>45415</v>
      </c>
      <c r="B166" s="38" t="s">
        <v>127</v>
      </c>
      <c r="C166" s="38" t="s">
        <v>8</v>
      </c>
      <c r="D166" s="38" t="s">
        <v>203</v>
      </c>
      <c r="E166" s="38" t="s">
        <v>81</v>
      </c>
      <c r="F166" s="38" t="s">
        <v>285</v>
      </c>
      <c r="G166" s="38" t="s">
        <v>138</v>
      </c>
      <c r="H166" s="9" t="s">
        <v>207</v>
      </c>
      <c r="I166" s="38" t="s">
        <v>58</v>
      </c>
      <c r="J166" s="38">
        <v>0</v>
      </c>
      <c r="K166" s="38">
        <v>0</v>
      </c>
      <c r="L166" s="38">
        <v>0</v>
      </c>
      <c r="M166" s="38">
        <v>0</v>
      </c>
      <c r="N166" s="38">
        <v>20.85</v>
      </c>
      <c r="O166" s="38"/>
      <c r="P166" s="38" t="s">
        <v>151</v>
      </c>
      <c r="Q166" s="38"/>
    </row>
    <row r="167" spans="1:17" x14ac:dyDescent="0.25">
      <c r="A167" s="39">
        <v>45415</v>
      </c>
      <c r="B167" s="38" t="s">
        <v>124</v>
      </c>
      <c r="C167" s="38" t="s">
        <v>8</v>
      </c>
      <c r="D167" s="38" t="s">
        <v>340</v>
      </c>
      <c r="E167" s="38" t="s">
        <v>126</v>
      </c>
      <c r="F167" s="38" t="s">
        <v>199</v>
      </c>
      <c r="G167" s="38" t="s">
        <v>138</v>
      </c>
      <c r="H167" s="9" t="s">
        <v>166</v>
      </c>
      <c r="I167" s="38" t="s">
        <v>58</v>
      </c>
      <c r="J167" s="38">
        <v>0</v>
      </c>
      <c r="K167" s="38">
        <v>0</v>
      </c>
      <c r="L167" s="38">
        <v>0</v>
      </c>
      <c r="M167" s="38">
        <v>0</v>
      </c>
      <c r="N167" s="38">
        <v>39863813</v>
      </c>
      <c r="O167" s="38"/>
      <c r="P167" s="38" t="s">
        <v>149</v>
      </c>
      <c r="Q167" s="38"/>
    </row>
    <row r="168" spans="1:17" x14ac:dyDescent="0.25">
      <c r="A168" s="39">
        <v>45415</v>
      </c>
      <c r="B168" s="38" t="s">
        <v>122</v>
      </c>
      <c r="C168" s="38" t="s">
        <v>8</v>
      </c>
      <c r="D168" s="38" t="s">
        <v>356</v>
      </c>
      <c r="E168" s="38" t="s">
        <v>81</v>
      </c>
      <c r="F168" s="38" t="s">
        <v>90</v>
      </c>
      <c r="G168" s="38" t="s">
        <v>138</v>
      </c>
      <c r="H168" s="9" t="s">
        <v>167</v>
      </c>
      <c r="I168" s="38" t="s">
        <v>58</v>
      </c>
      <c r="J168" s="38">
        <v>0</v>
      </c>
      <c r="K168" s="38">
        <v>0</v>
      </c>
      <c r="L168" s="38">
        <v>0</v>
      </c>
      <c r="M168" s="38">
        <v>0</v>
      </c>
      <c r="N168" s="38">
        <v>20.9</v>
      </c>
      <c r="O168" s="38"/>
      <c r="P168" s="38" t="s">
        <v>148</v>
      </c>
      <c r="Q168" s="38"/>
    </row>
    <row r="169" spans="1:17" x14ac:dyDescent="0.25">
      <c r="A169" s="39">
        <v>45415</v>
      </c>
      <c r="B169" s="38" t="s">
        <v>120</v>
      </c>
      <c r="C169" s="38" t="s">
        <v>8</v>
      </c>
      <c r="D169" s="38" t="s">
        <v>333</v>
      </c>
      <c r="E169" s="38" t="s">
        <v>375</v>
      </c>
      <c r="F169" s="38" t="s">
        <v>285</v>
      </c>
      <c r="G169" s="38" t="s">
        <v>138</v>
      </c>
      <c r="H169" s="9" t="s">
        <v>121</v>
      </c>
      <c r="I169" s="38" t="s">
        <v>58</v>
      </c>
      <c r="J169" s="38">
        <v>0</v>
      </c>
      <c r="K169" s="38">
        <v>0</v>
      </c>
      <c r="L169" s="38">
        <v>0</v>
      </c>
      <c r="M169" s="38">
        <v>0</v>
      </c>
      <c r="N169" s="38">
        <v>41.69</v>
      </c>
      <c r="O169" s="38"/>
      <c r="P169" s="38" t="s">
        <v>151</v>
      </c>
      <c r="Q169" s="38"/>
    </row>
    <row r="170" spans="1:17" x14ac:dyDescent="0.25">
      <c r="A170" s="39">
        <v>45415</v>
      </c>
      <c r="B170" s="38" t="s">
        <v>119</v>
      </c>
      <c r="C170" s="38" t="s">
        <v>8</v>
      </c>
      <c r="D170" s="38" t="s">
        <v>178</v>
      </c>
      <c r="E170" s="38" t="s">
        <v>399</v>
      </c>
      <c r="F170" s="38" t="s">
        <v>192</v>
      </c>
      <c r="G170" s="38" t="s">
        <v>138</v>
      </c>
      <c r="H170" s="9" t="s">
        <v>168</v>
      </c>
      <c r="I170" s="38" t="s">
        <v>58</v>
      </c>
      <c r="J170" s="38">
        <v>0</v>
      </c>
      <c r="K170" s="38">
        <v>0</v>
      </c>
      <c r="L170" s="38">
        <v>0</v>
      </c>
      <c r="M170" s="38">
        <v>0</v>
      </c>
      <c r="N170" s="38">
        <v>41.62</v>
      </c>
      <c r="O170" s="38"/>
      <c r="P170" s="38" t="s">
        <v>149</v>
      </c>
      <c r="Q170" s="38"/>
    </row>
    <row r="171" spans="1:17" x14ac:dyDescent="0.25">
      <c r="A171" s="39">
        <v>45415</v>
      </c>
      <c r="B171" s="38" t="s">
        <v>117</v>
      </c>
      <c r="C171" s="38" t="s">
        <v>8</v>
      </c>
      <c r="D171" s="38" t="s">
        <v>349</v>
      </c>
      <c r="E171" s="38" t="s">
        <v>398</v>
      </c>
      <c r="F171" s="38" t="s">
        <v>90</v>
      </c>
      <c r="G171" s="38" t="s">
        <v>138</v>
      </c>
      <c r="H171" s="9" t="s">
        <v>118</v>
      </c>
      <c r="I171" s="38" t="s">
        <v>58</v>
      </c>
      <c r="J171" s="38">
        <v>0</v>
      </c>
      <c r="K171" s="38">
        <v>0</v>
      </c>
      <c r="L171" s="38">
        <v>0</v>
      </c>
      <c r="M171" s="38">
        <v>0</v>
      </c>
      <c r="N171" s="38">
        <v>34.69</v>
      </c>
      <c r="O171" s="38"/>
      <c r="P171" s="38" t="s">
        <v>151</v>
      </c>
      <c r="Q171" s="38"/>
    </row>
    <row r="172" spans="1:17" x14ac:dyDescent="0.25">
      <c r="A172" s="39">
        <v>45415</v>
      </c>
      <c r="B172" s="38" t="s">
        <v>39</v>
      </c>
      <c r="C172" s="38" t="s">
        <v>8</v>
      </c>
      <c r="D172" s="38" t="s">
        <v>177</v>
      </c>
      <c r="E172" s="38" t="s">
        <v>377</v>
      </c>
      <c r="F172" s="38" t="s">
        <v>90</v>
      </c>
      <c r="G172" s="38" t="s">
        <v>138</v>
      </c>
      <c r="H172" s="9" t="s">
        <v>116</v>
      </c>
      <c r="I172" s="38" t="s">
        <v>58</v>
      </c>
      <c r="J172" s="38">
        <v>0</v>
      </c>
      <c r="K172" s="38">
        <v>0</v>
      </c>
      <c r="L172" s="38">
        <v>0</v>
      </c>
      <c r="M172" s="38">
        <v>0</v>
      </c>
      <c r="N172" s="38">
        <v>41.24</v>
      </c>
      <c r="O172" s="38"/>
      <c r="P172" s="38" t="s">
        <v>151</v>
      </c>
      <c r="Q172" s="38"/>
    </row>
    <row r="173" spans="1:17" x14ac:dyDescent="0.25">
      <c r="A173" s="39">
        <v>45415</v>
      </c>
      <c r="B173" s="38" t="s">
        <v>113</v>
      </c>
      <c r="C173" s="38" t="s">
        <v>8</v>
      </c>
      <c r="D173" s="38" t="s">
        <v>188</v>
      </c>
      <c r="E173" s="38" t="s">
        <v>126</v>
      </c>
      <c r="F173" s="38" t="s">
        <v>199</v>
      </c>
      <c r="G173" s="38" t="s">
        <v>138</v>
      </c>
      <c r="H173" s="9" t="s">
        <v>114</v>
      </c>
      <c r="I173" s="38" t="s">
        <v>58</v>
      </c>
      <c r="J173" s="38">
        <v>0</v>
      </c>
      <c r="K173" s="38">
        <v>0</v>
      </c>
      <c r="L173" s="38">
        <v>0</v>
      </c>
      <c r="M173" s="38">
        <v>0</v>
      </c>
      <c r="N173" s="38">
        <v>41.35</v>
      </c>
      <c r="O173" s="38"/>
      <c r="P173" s="38" t="s">
        <v>149</v>
      </c>
      <c r="Q173" s="38"/>
    </row>
    <row r="174" spans="1:17" x14ac:dyDescent="0.25">
      <c r="A174" s="39">
        <v>45415</v>
      </c>
      <c r="B174" s="38" t="s">
        <v>111</v>
      </c>
      <c r="C174" s="38" t="s">
        <v>8</v>
      </c>
      <c r="D174" s="38" t="s">
        <v>189</v>
      </c>
      <c r="E174" s="38" t="s">
        <v>81</v>
      </c>
      <c r="F174" s="38" t="s">
        <v>285</v>
      </c>
      <c r="G174" s="38" t="s">
        <v>138</v>
      </c>
      <c r="H174" s="9" t="s">
        <v>112</v>
      </c>
      <c r="I174" s="38" t="s">
        <v>58</v>
      </c>
      <c r="J174" s="38">
        <v>0</v>
      </c>
      <c r="K174" s="38">
        <v>0</v>
      </c>
      <c r="L174" s="38">
        <v>0</v>
      </c>
      <c r="M174" s="38">
        <v>0</v>
      </c>
      <c r="N174" s="38">
        <v>20.48</v>
      </c>
      <c r="O174" s="38"/>
      <c r="P174" s="38" t="s">
        <v>153</v>
      </c>
      <c r="Q174" s="38"/>
    </row>
    <row r="175" spans="1:17" x14ac:dyDescent="0.25">
      <c r="A175" s="39">
        <v>45415</v>
      </c>
      <c r="B175" s="38" t="s">
        <v>109</v>
      </c>
      <c r="C175" s="38" t="s">
        <v>8</v>
      </c>
      <c r="D175" s="38" t="s">
        <v>142</v>
      </c>
      <c r="E175" s="38" t="s">
        <v>56</v>
      </c>
      <c r="F175" s="38" t="s">
        <v>199</v>
      </c>
      <c r="G175" s="38" t="s">
        <v>138</v>
      </c>
      <c r="H175" s="9" t="s">
        <v>110</v>
      </c>
      <c r="I175" s="38" t="s">
        <v>58</v>
      </c>
      <c r="J175" s="38">
        <v>0</v>
      </c>
      <c r="K175" s="38">
        <v>0</v>
      </c>
      <c r="L175" s="38">
        <v>0</v>
      </c>
      <c r="M175" s="38">
        <v>0</v>
      </c>
      <c r="N175" s="38">
        <v>41.05</v>
      </c>
      <c r="O175" s="38"/>
      <c r="P175" s="38" t="s">
        <v>149</v>
      </c>
      <c r="Q175" s="38"/>
    </row>
    <row r="176" spans="1:17" x14ac:dyDescent="0.25">
      <c r="A176" s="39">
        <v>45415</v>
      </c>
      <c r="B176" s="38" t="s">
        <v>107</v>
      </c>
      <c r="C176" s="38" t="s">
        <v>8</v>
      </c>
      <c r="D176" s="38" t="s">
        <v>401</v>
      </c>
      <c r="E176" s="38" t="s">
        <v>56</v>
      </c>
      <c r="F176" s="38" t="s">
        <v>93</v>
      </c>
      <c r="G176" s="38" t="s">
        <v>138</v>
      </c>
      <c r="H176" s="9" t="s">
        <v>108</v>
      </c>
      <c r="I176" s="38" t="s">
        <v>58</v>
      </c>
      <c r="J176" s="38">
        <v>0</v>
      </c>
      <c r="K176" s="38">
        <v>0</v>
      </c>
      <c r="L176" s="38">
        <v>0</v>
      </c>
      <c r="M176" s="38">
        <v>0</v>
      </c>
      <c r="N176" s="38">
        <v>12.09</v>
      </c>
      <c r="O176" s="38"/>
      <c r="P176" s="38" t="s">
        <v>403</v>
      </c>
      <c r="Q176" s="38"/>
    </row>
    <row r="177" spans="1:17" x14ac:dyDescent="0.25">
      <c r="A177" s="39">
        <v>45415</v>
      </c>
      <c r="B177" s="38" t="s">
        <v>41</v>
      </c>
      <c r="C177" s="38" t="s">
        <v>8</v>
      </c>
      <c r="D177" s="38" t="s">
        <v>123</v>
      </c>
      <c r="E177" s="38" t="s">
        <v>81</v>
      </c>
      <c r="F177" s="38" t="s">
        <v>285</v>
      </c>
      <c r="G177" s="38" t="s">
        <v>138</v>
      </c>
      <c r="H177" s="9" t="s">
        <v>106</v>
      </c>
      <c r="I177" s="38" t="s">
        <v>58</v>
      </c>
      <c r="J177" s="38">
        <v>0</v>
      </c>
      <c r="K177" s="38">
        <v>0</v>
      </c>
      <c r="L177" s="38">
        <v>0</v>
      </c>
      <c r="M177" s="38">
        <v>0</v>
      </c>
      <c r="N177" s="38">
        <v>17.88</v>
      </c>
      <c r="O177" s="38"/>
      <c r="P177" s="38" t="s">
        <v>152</v>
      </c>
      <c r="Q177" s="38"/>
    </row>
    <row r="178" spans="1:17" x14ac:dyDescent="0.25">
      <c r="A178" s="39">
        <v>45415</v>
      </c>
      <c r="B178" s="38" t="s">
        <v>43</v>
      </c>
      <c r="C178" s="38" t="s">
        <v>8</v>
      </c>
      <c r="D178" s="38" t="s">
        <v>282</v>
      </c>
      <c r="E178" s="38" t="s">
        <v>275</v>
      </c>
      <c r="F178" s="38" t="s">
        <v>276</v>
      </c>
      <c r="G178" s="38" t="s">
        <v>138</v>
      </c>
      <c r="H178" s="9" t="s">
        <v>208</v>
      </c>
      <c r="I178" s="38" t="s">
        <v>58</v>
      </c>
      <c r="J178" s="38">
        <v>0</v>
      </c>
      <c r="K178" s="38">
        <v>0</v>
      </c>
      <c r="L178" s="38">
        <v>0</v>
      </c>
      <c r="M178" s="38">
        <v>0</v>
      </c>
      <c r="N178" s="38">
        <v>17.25</v>
      </c>
      <c r="O178" s="38"/>
      <c r="P178" s="38" t="s">
        <v>154</v>
      </c>
      <c r="Q178" s="38"/>
    </row>
    <row r="179" spans="1:17" x14ac:dyDescent="0.25">
      <c r="A179" s="39">
        <v>45415</v>
      </c>
      <c r="B179" s="38" t="s">
        <v>5</v>
      </c>
      <c r="C179" s="38" t="s">
        <v>8</v>
      </c>
      <c r="D179" s="38" t="s">
        <v>283</v>
      </c>
      <c r="E179" s="38" t="s">
        <v>60</v>
      </c>
      <c r="F179" s="38" t="s">
        <v>285</v>
      </c>
      <c r="G179" s="38" t="s">
        <v>138</v>
      </c>
      <c r="H179" s="9" t="s">
        <v>209</v>
      </c>
      <c r="I179" s="38" t="s">
        <v>58</v>
      </c>
      <c r="J179" s="38">
        <v>0</v>
      </c>
      <c r="K179" s="38">
        <v>0</v>
      </c>
      <c r="L179" s="38">
        <v>0</v>
      </c>
      <c r="M179" s="38">
        <v>0</v>
      </c>
      <c r="N179" s="38">
        <v>16.46</v>
      </c>
      <c r="O179" s="38"/>
      <c r="P179" s="38" t="s">
        <v>153</v>
      </c>
      <c r="Q179" s="38"/>
    </row>
    <row r="180" spans="1:17" x14ac:dyDescent="0.25">
      <c r="A180" s="39">
        <v>45415</v>
      </c>
      <c r="B180" s="38" t="s">
        <v>9</v>
      </c>
      <c r="C180" s="38" t="s">
        <v>8</v>
      </c>
      <c r="D180" s="38" t="s">
        <v>189</v>
      </c>
      <c r="E180" s="38" t="s">
        <v>360</v>
      </c>
      <c r="F180" s="38" t="s">
        <v>276</v>
      </c>
      <c r="G180" s="38" t="s">
        <v>138</v>
      </c>
      <c r="H180" s="9" t="s">
        <v>210</v>
      </c>
      <c r="I180" s="38" t="s">
        <v>58</v>
      </c>
      <c r="J180" s="38">
        <v>0</v>
      </c>
      <c r="K180" s="38">
        <v>0</v>
      </c>
      <c r="L180" s="38">
        <v>0</v>
      </c>
      <c r="M180" s="38">
        <v>0</v>
      </c>
      <c r="N180" s="38">
        <v>23.18</v>
      </c>
      <c r="O180" s="38"/>
      <c r="P180" s="38" t="s">
        <v>153</v>
      </c>
      <c r="Q180" s="38"/>
    </row>
    <row r="181" spans="1:17" x14ac:dyDescent="0.25">
      <c r="A181" s="39">
        <v>45415</v>
      </c>
      <c r="B181" s="38" t="s">
        <v>10</v>
      </c>
      <c r="C181" s="38" t="s">
        <v>8</v>
      </c>
      <c r="D181" s="38" t="s">
        <v>263</v>
      </c>
      <c r="E181" s="38" t="s">
        <v>342</v>
      </c>
      <c r="F181" s="38" t="s">
        <v>90</v>
      </c>
      <c r="G181" s="38" t="s">
        <v>138</v>
      </c>
      <c r="H181" s="9" t="s">
        <v>211</v>
      </c>
      <c r="I181" s="38" t="s">
        <v>58</v>
      </c>
      <c r="J181" s="38">
        <v>0</v>
      </c>
      <c r="K181" s="38">
        <v>0</v>
      </c>
      <c r="L181" s="38">
        <v>0</v>
      </c>
      <c r="M181" s="38">
        <v>0</v>
      </c>
      <c r="N181" s="38">
        <v>74.34</v>
      </c>
      <c r="O181" s="38"/>
      <c r="P181" s="38" t="s">
        <v>151</v>
      </c>
      <c r="Q181" s="38"/>
    </row>
    <row r="182" spans="1:17" x14ac:dyDescent="0.25">
      <c r="A182" s="39">
        <v>45415</v>
      </c>
      <c r="B182" s="38" t="s">
        <v>11</v>
      </c>
      <c r="C182" s="38" t="s">
        <v>8</v>
      </c>
      <c r="D182" s="38" t="s">
        <v>205</v>
      </c>
      <c r="E182" s="38" t="s">
        <v>60</v>
      </c>
      <c r="F182" s="38" t="s">
        <v>93</v>
      </c>
      <c r="G182" s="38" t="s">
        <v>138</v>
      </c>
      <c r="H182" s="9" t="s">
        <v>212</v>
      </c>
      <c r="I182" s="38" t="s">
        <v>58</v>
      </c>
      <c r="J182" s="38">
        <v>0</v>
      </c>
      <c r="K182" s="38">
        <v>0</v>
      </c>
      <c r="L182" s="38">
        <v>0</v>
      </c>
      <c r="M182" s="38">
        <v>0</v>
      </c>
      <c r="N182" s="38">
        <v>11.39</v>
      </c>
      <c r="O182" s="38"/>
      <c r="P182" s="38" t="s">
        <v>147</v>
      </c>
      <c r="Q182" s="38"/>
    </row>
    <row r="183" spans="1:17" x14ac:dyDescent="0.25">
      <c r="A183" s="39">
        <v>45415</v>
      </c>
      <c r="B183" s="38" t="s">
        <v>12</v>
      </c>
      <c r="C183" s="38" t="s">
        <v>8</v>
      </c>
      <c r="D183" s="38" t="s">
        <v>286</v>
      </c>
      <c r="E183" s="38" t="s">
        <v>60</v>
      </c>
      <c r="F183" s="38" t="s">
        <v>285</v>
      </c>
      <c r="G183" s="38" t="s">
        <v>138</v>
      </c>
      <c r="H183" s="9" t="s">
        <v>213</v>
      </c>
      <c r="I183" s="38" t="s">
        <v>58</v>
      </c>
      <c r="J183" s="38">
        <v>0</v>
      </c>
      <c r="K183" s="38">
        <v>0</v>
      </c>
      <c r="L183" s="38">
        <v>0</v>
      </c>
      <c r="M183" s="38">
        <v>0</v>
      </c>
      <c r="N183" s="38">
        <v>11.98</v>
      </c>
      <c r="O183" s="38"/>
      <c r="P183" s="38" t="s">
        <v>154</v>
      </c>
      <c r="Q183" s="38"/>
    </row>
    <row r="184" spans="1:17" x14ac:dyDescent="0.25">
      <c r="A184" s="39">
        <v>45415</v>
      </c>
      <c r="B184" s="38" t="s">
        <v>105</v>
      </c>
      <c r="C184" s="38" t="s">
        <v>8</v>
      </c>
      <c r="D184" s="38" t="s">
        <v>267</v>
      </c>
      <c r="E184" s="38" t="s">
        <v>60</v>
      </c>
      <c r="F184" s="38" t="s">
        <v>93</v>
      </c>
      <c r="G184" s="38" t="s">
        <v>138</v>
      </c>
      <c r="H184" s="9" t="s">
        <v>214</v>
      </c>
      <c r="I184" s="38" t="s">
        <v>58</v>
      </c>
      <c r="J184" s="38">
        <v>0</v>
      </c>
      <c r="K184" s="38">
        <v>0</v>
      </c>
      <c r="L184" s="38">
        <v>0</v>
      </c>
      <c r="M184" s="38">
        <v>0</v>
      </c>
      <c r="N184" s="38">
        <v>12.39</v>
      </c>
      <c r="O184" s="38"/>
      <c r="P184" s="38" t="s">
        <v>147</v>
      </c>
      <c r="Q184" s="38"/>
    </row>
    <row r="185" spans="1:17" x14ac:dyDescent="0.25">
      <c r="A185" s="39">
        <v>45415</v>
      </c>
      <c r="B185" s="38" t="s">
        <v>104</v>
      </c>
      <c r="C185" s="38" t="s">
        <v>8</v>
      </c>
      <c r="D185" s="38" t="s">
        <v>143</v>
      </c>
      <c r="E185" s="38" t="s">
        <v>60</v>
      </c>
      <c r="F185" s="38" t="s">
        <v>285</v>
      </c>
      <c r="G185" s="38" t="s">
        <v>138</v>
      </c>
      <c r="H185" s="9" t="s">
        <v>215</v>
      </c>
      <c r="I185" s="38" t="s">
        <v>58</v>
      </c>
      <c r="J185" s="38">
        <v>0</v>
      </c>
      <c r="K185" s="38">
        <v>0</v>
      </c>
      <c r="L185" s="38">
        <v>0</v>
      </c>
      <c r="M185" s="38">
        <v>0</v>
      </c>
      <c r="N185" s="38">
        <v>13.96</v>
      </c>
      <c r="O185" s="38"/>
      <c r="P185" s="38" t="s">
        <v>154</v>
      </c>
      <c r="Q185" s="38"/>
    </row>
    <row r="186" spans="1:17" x14ac:dyDescent="0.25">
      <c r="A186" s="39">
        <v>45415</v>
      </c>
      <c r="B186" s="38" t="s">
        <v>13</v>
      </c>
      <c r="C186" s="38" t="s">
        <v>8</v>
      </c>
      <c r="D186" s="38" t="s">
        <v>350</v>
      </c>
      <c r="E186" s="38" t="s">
        <v>60</v>
      </c>
      <c r="F186" s="38" t="s">
        <v>93</v>
      </c>
      <c r="G186" s="38" t="s">
        <v>138</v>
      </c>
      <c r="H186" s="9" t="s">
        <v>216</v>
      </c>
      <c r="I186" s="38" t="s">
        <v>58</v>
      </c>
      <c r="J186" s="38">
        <v>0</v>
      </c>
      <c r="K186" s="38">
        <v>0</v>
      </c>
      <c r="L186" s="38">
        <v>0</v>
      </c>
      <c r="M186" s="38">
        <v>0</v>
      </c>
      <c r="N186" s="38">
        <v>12.4</v>
      </c>
      <c r="O186" s="38"/>
      <c r="P186" s="38" t="s">
        <v>147</v>
      </c>
      <c r="Q186" s="38"/>
    </row>
    <row r="187" spans="1:17" x14ac:dyDescent="0.25">
      <c r="A187" s="39">
        <v>45415</v>
      </c>
      <c r="B187" s="38" t="s">
        <v>103</v>
      </c>
      <c r="C187" s="38" t="s">
        <v>8</v>
      </c>
      <c r="D187" s="38" t="s">
        <v>179</v>
      </c>
      <c r="E187" s="38" t="s">
        <v>81</v>
      </c>
      <c r="F187" s="38" t="s">
        <v>90</v>
      </c>
      <c r="G187" s="38" t="s">
        <v>138</v>
      </c>
      <c r="H187" s="9" t="s">
        <v>217</v>
      </c>
      <c r="I187" s="38" t="s">
        <v>65</v>
      </c>
      <c r="J187" s="38">
        <v>0</v>
      </c>
      <c r="K187" s="38">
        <v>0</v>
      </c>
      <c r="L187" s="38">
        <v>0</v>
      </c>
      <c r="M187" s="38">
        <v>0</v>
      </c>
      <c r="N187" s="38">
        <v>41.9</v>
      </c>
      <c r="O187" s="38"/>
      <c r="P187" s="38" t="s">
        <v>187</v>
      </c>
      <c r="Q187" s="38"/>
    </row>
    <row r="188" spans="1:17" x14ac:dyDescent="0.25">
      <c r="A188" s="39">
        <v>45415</v>
      </c>
      <c r="B188" s="38" t="s">
        <v>101</v>
      </c>
      <c r="C188" s="38" t="s">
        <v>8</v>
      </c>
      <c r="D188" s="38" t="s">
        <v>405</v>
      </c>
      <c r="E188" s="38" t="s">
        <v>81</v>
      </c>
      <c r="F188" s="38" t="s">
        <v>285</v>
      </c>
      <c r="G188" s="38" t="s">
        <v>138</v>
      </c>
      <c r="H188" s="9" t="s">
        <v>102</v>
      </c>
      <c r="I188" s="38" t="s">
        <v>58</v>
      </c>
      <c r="J188" s="38">
        <v>0</v>
      </c>
      <c r="K188" s="38">
        <v>0</v>
      </c>
      <c r="L188" s="38">
        <v>0</v>
      </c>
      <c r="M188" s="38">
        <v>0</v>
      </c>
      <c r="N188" s="38">
        <v>19.600000000000001</v>
      </c>
      <c r="O188" s="38"/>
      <c r="P188" s="38" t="s">
        <v>151</v>
      </c>
      <c r="Q188" s="38"/>
    </row>
    <row r="189" spans="1:17" x14ac:dyDescent="0.25">
      <c r="A189" s="39">
        <v>45415</v>
      </c>
      <c r="B189" s="38" t="s">
        <v>99</v>
      </c>
      <c r="C189" s="38" t="s">
        <v>8</v>
      </c>
      <c r="D189" s="38" t="s">
        <v>249</v>
      </c>
      <c r="E189" s="38" t="s">
        <v>81</v>
      </c>
      <c r="F189" s="38" t="s">
        <v>90</v>
      </c>
      <c r="G189" s="38" t="s">
        <v>138</v>
      </c>
      <c r="H189" s="9" t="s">
        <v>100</v>
      </c>
      <c r="I189" s="38"/>
      <c r="J189" s="38">
        <v>0</v>
      </c>
      <c r="K189" s="38">
        <v>0</v>
      </c>
      <c r="L189" s="38">
        <v>0</v>
      </c>
      <c r="M189" s="38">
        <v>0</v>
      </c>
      <c r="N189" s="38">
        <v>41.83</v>
      </c>
      <c r="O189" s="38"/>
      <c r="P189" s="38" t="s">
        <v>152</v>
      </c>
      <c r="Q189" s="38"/>
    </row>
    <row r="190" spans="1:17" x14ac:dyDescent="0.25">
      <c r="A190" s="39">
        <v>45415</v>
      </c>
      <c r="B190" s="38" t="s">
        <v>97</v>
      </c>
      <c r="C190" s="38" t="s">
        <v>8</v>
      </c>
      <c r="D190" s="38" t="s">
        <v>288</v>
      </c>
      <c r="E190" s="38" t="s">
        <v>352</v>
      </c>
      <c r="F190" s="38" t="s">
        <v>285</v>
      </c>
      <c r="G190" s="38" t="s">
        <v>138</v>
      </c>
      <c r="H190" s="9" t="s">
        <v>98</v>
      </c>
      <c r="I190" s="38" t="s">
        <v>58</v>
      </c>
      <c r="J190" s="38">
        <v>0</v>
      </c>
      <c r="K190" s="38">
        <v>0</v>
      </c>
      <c r="L190" s="38">
        <v>0</v>
      </c>
      <c r="M190" s="38">
        <v>0</v>
      </c>
      <c r="N190" s="38">
        <v>22.49</v>
      </c>
      <c r="O190" s="38"/>
      <c r="P190" s="38" t="s">
        <v>148</v>
      </c>
      <c r="Q190" s="38"/>
    </row>
    <row r="191" spans="1:17" x14ac:dyDescent="0.25">
      <c r="A191" s="39">
        <v>45415</v>
      </c>
      <c r="B191" s="38" t="s">
        <v>95</v>
      </c>
      <c r="C191" s="38" t="s">
        <v>8</v>
      </c>
      <c r="D191" s="38" t="s">
        <v>181</v>
      </c>
      <c r="E191" s="38" t="s">
        <v>81</v>
      </c>
      <c r="F191" s="38" t="s">
        <v>90</v>
      </c>
      <c r="G191" s="38" t="s">
        <v>138</v>
      </c>
      <c r="H191" s="9" t="s">
        <v>96</v>
      </c>
      <c r="I191" s="38" t="s">
        <v>65</v>
      </c>
      <c r="J191" s="38">
        <v>0</v>
      </c>
      <c r="K191" s="38">
        <v>0</v>
      </c>
      <c r="L191" s="38">
        <v>0</v>
      </c>
      <c r="M191" s="38">
        <v>0</v>
      </c>
      <c r="N191" s="38">
        <v>20.38</v>
      </c>
      <c r="O191" s="38"/>
      <c r="P191" s="38" t="s">
        <v>152</v>
      </c>
      <c r="Q191" s="38"/>
    </row>
    <row r="192" spans="1:17" x14ac:dyDescent="0.25">
      <c r="A192" s="39">
        <v>45415</v>
      </c>
      <c r="B192" s="38" t="s">
        <v>14</v>
      </c>
      <c r="C192" s="38" t="s">
        <v>8</v>
      </c>
      <c r="D192" s="38" t="s">
        <v>289</v>
      </c>
      <c r="E192" s="38" t="s">
        <v>352</v>
      </c>
      <c r="F192" s="38" t="s">
        <v>285</v>
      </c>
      <c r="G192" s="38" t="s">
        <v>138</v>
      </c>
      <c r="H192" s="9" t="s">
        <v>94</v>
      </c>
      <c r="I192" s="38" t="s">
        <v>58</v>
      </c>
      <c r="J192" s="38">
        <v>0</v>
      </c>
      <c r="K192" s="38">
        <v>0</v>
      </c>
      <c r="L192" s="38">
        <v>0</v>
      </c>
      <c r="M192" s="38">
        <v>0</v>
      </c>
      <c r="N192" s="38">
        <v>25.88</v>
      </c>
      <c r="O192" s="38"/>
      <c r="P192" s="38" t="s">
        <v>151</v>
      </c>
      <c r="Q192" s="38"/>
    </row>
    <row r="193" spans="1:17" x14ac:dyDescent="0.25">
      <c r="A193" s="39">
        <v>45415</v>
      </c>
      <c r="B193" s="38" t="s">
        <v>91</v>
      </c>
      <c r="C193" s="38" t="s">
        <v>8</v>
      </c>
      <c r="D193" s="38" t="s">
        <v>180</v>
      </c>
      <c r="E193" s="38" t="s">
        <v>81</v>
      </c>
      <c r="F193" s="38" t="s">
        <v>90</v>
      </c>
      <c r="G193" s="38" t="s">
        <v>138</v>
      </c>
      <c r="H193" s="9" t="s">
        <v>92</v>
      </c>
      <c r="I193" s="38"/>
      <c r="J193" s="38">
        <v>0</v>
      </c>
      <c r="K193" s="38">
        <v>0</v>
      </c>
      <c r="L193" s="38">
        <v>0</v>
      </c>
      <c r="M193" s="38">
        <v>0</v>
      </c>
      <c r="N193" s="38">
        <v>16.73</v>
      </c>
      <c r="O193" s="38"/>
      <c r="P193" s="38" t="s">
        <v>148</v>
      </c>
      <c r="Q193" s="38"/>
    </row>
    <row r="194" spans="1:17" x14ac:dyDescent="0.25">
      <c r="A194" s="39">
        <v>45415</v>
      </c>
      <c r="B194" s="38" t="s">
        <v>15</v>
      </c>
      <c r="C194" s="38" t="s">
        <v>8</v>
      </c>
      <c r="D194" s="38" t="s">
        <v>140</v>
      </c>
      <c r="E194" s="38" t="s">
        <v>81</v>
      </c>
      <c r="F194" s="38" t="s">
        <v>285</v>
      </c>
      <c r="G194" s="38" t="s">
        <v>138</v>
      </c>
      <c r="H194" s="9" t="s">
        <v>218</v>
      </c>
      <c r="I194" s="38" t="s">
        <v>58</v>
      </c>
      <c r="J194" s="38">
        <v>0</v>
      </c>
      <c r="K194" s="38">
        <v>0</v>
      </c>
      <c r="L194" s="38">
        <v>0</v>
      </c>
      <c r="M194" s="38">
        <v>0</v>
      </c>
      <c r="N194" s="38">
        <v>20.190000000000001</v>
      </c>
      <c r="O194" s="38"/>
      <c r="P194" s="38" t="s">
        <v>148</v>
      </c>
      <c r="Q194" s="38"/>
    </row>
    <row r="195" spans="1:17" x14ac:dyDescent="0.25">
      <c r="A195" s="39">
        <v>45415</v>
      </c>
      <c r="B195" s="38" t="s">
        <v>89</v>
      </c>
      <c r="C195" s="38" t="s">
        <v>8</v>
      </c>
      <c r="D195" s="38" t="s">
        <v>176</v>
      </c>
      <c r="E195" s="38" t="s">
        <v>398</v>
      </c>
      <c r="F195" s="38" t="s">
        <v>90</v>
      </c>
      <c r="G195" s="38" t="s">
        <v>138</v>
      </c>
      <c r="H195" s="9" t="s">
        <v>219</v>
      </c>
      <c r="I195" s="38" t="s">
        <v>65</v>
      </c>
      <c r="J195" s="38">
        <v>0</v>
      </c>
      <c r="K195" s="38">
        <v>0</v>
      </c>
      <c r="L195" s="38">
        <v>0</v>
      </c>
      <c r="M195" s="38">
        <v>0</v>
      </c>
      <c r="N195" s="38">
        <v>17.670000000000002</v>
      </c>
      <c r="O195" s="38"/>
      <c r="P195" s="38" t="s">
        <v>186</v>
      </c>
      <c r="Q195" s="38"/>
    </row>
    <row r="196" spans="1:17" x14ac:dyDescent="0.25">
      <c r="A196" s="39">
        <v>45415</v>
      </c>
      <c r="B196" s="38" t="s">
        <v>16</v>
      </c>
      <c r="C196" s="38" t="s">
        <v>8</v>
      </c>
      <c r="D196" s="38" t="s">
        <v>407</v>
      </c>
      <c r="E196" s="38" t="s">
        <v>360</v>
      </c>
      <c r="F196" s="38" t="s">
        <v>253</v>
      </c>
      <c r="G196" s="38" t="s">
        <v>138</v>
      </c>
      <c r="H196" s="9" t="s">
        <v>220</v>
      </c>
      <c r="I196" s="38" t="s">
        <v>58</v>
      </c>
      <c r="J196" s="38">
        <v>0</v>
      </c>
      <c r="K196" s="38">
        <v>0</v>
      </c>
      <c r="L196" s="38">
        <v>0</v>
      </c>
      <c r="M196" s="38">
        <v>0</v>
      </c>
      <c r="N196" s="38">
        <v>21.19</v>
      </c>
      <c r="O196" s="38"/>
      <c r="P196" s="38" t="s">
        <v>151</v>
      </c>
      <c r="Q196" s="38"/>
    </row>
    <row r="197" spans="1:17" x14ac:dyDescent="0.25">
      <c r="A197" s="39">
        <v>45415</v>
      </c>
      <c r="B197" s="38" t="s">
        <v>88</v>
      </c>
      <c r="C197" s="38" t="s">
        <v>8</v>
      </c>
      <c r="D197" s="38" t="s">
        <v>311</v>
      </c>
      <c r="E197" s="38" t="s">
        <v>60</v>
      </c>
      <c r="F197" s="38" t="s">
        <v>253</v>
      </c>
      <c r="G197" s="38" t="s">
        <v>138</v>
      </c>
      <c r="H197" s="9" t="s">
        <v>221</v>
      </c>
      <c r="I197" s="38"/>
      <c r="J197" s="38">
        <v>0</v>
      </c>
      <c r="K197" s="38">
        <v>0</v>
      </c>
      <c r="L197" s="38">
        <v>0</v>
      </c>
      <c r="M197" s="38">
        <v>0</v>
      </c>
      <c r="N197" s="38">
        <v>38.44</v>
      </c>
      <c r="O197" s="38"/>
      <c r="P197" s="38" t="s">
        <v>154</v>
      </c>
      <c r="Q197" s="38"/>
    </row>
    <row r="198" spans="1:17" x14ac:dyDescent="0.25">
      <c r="A198" s="39">
        <v>45415</v>
      </c>
      <c r="B198" s="38" t="s">
        <v>17</v>
      </c>
      <c r="C198" s="38" t="s">
        <v>8</v>
      </c>
      <c r="D198" s="38" t="s">
        <v>272</v>
      </c>
      <c r="E198" s="38" t="s">
        <v>275</v>
      </c>
      <c r="F198" s="38" t="s">
        <v>276</v>
      </c>
      <c r="G198" s="38" t="s">
        <v>138</v>
      </c>
      <c r="H198" s="9" t="s">
        <v>222</v>
      </c>
      <c r="I198" s="38" t="s">
        <v>58</v>
      </c>
      <c r="J198" s="38">
        <v>0</v>
      </c>
      <c r="K198" s="38">
        <v>0</v>
      </c>
      <c r="L198" s="38">
        <v>0</v>
      </c>
      <c r="M198" s="38">
        <v>0</v>
      </c>
      <c r="N198" s="38">
        <v>20.56</v>
      </c>
      <c r="O198" s="38"/>
      <c r="P198" s="38" t="s">
        <v>151</v>
      </c>
      <c r="Q198" s="38"/>
    </row>
    <row r="199" spans="1:17" x14ac:dyDescent="0.25">
      <c r="A199" s="39">
        <v>45415</v>
      </c>
      <c r="B199" s="38" t="s">
        <v>19</v>
      </c>
      <c r="C199" s="38" t="s">
        <v>8</v>
      </c>
      <c r="D199" s="38" t="s">
        <v>343</v>
      </c>
      <c r="E199" s="38" t="s">
        <v>81</v>
      </c>
      <c r="F199" s="38" t="s">
        <v>253</v>
      </c>
      <c r="G199" s="38" t="s">
        <v>138</v>
      </c>
      <c r="H199" s="9" t="s">
        <v>223</v>
      </c>
      <c r="I199" s="38" t="s">
        <v>65</v>
      </c>
      <c r="J199" s="38">
        <v>0</v>
      </c>
      <c r="K199" s="38">
        <v>0</v>
      </c>
      <c r="L199" s="38">
        <v>0</v>
      </c>
      <c r="M199" s="38">
        <v>0</v>
      </c>
      <c r="N199" s="38">
        <v>41.06</v>
      </c>
      <c r="O199" s="38"/>
      <c r="P199" s="38" t="s">
        <v>151</v>
      </c>
      <c r="Q199" s="38"/>
    </row>
    <row r="200" spans="1:17" x14ac:dyDescent="0.25">
      <c r="A200" s="39">
        <v>45415</v>
      </c>
      <c r="B200" s="38" t="s">
        <v>18</v>
      </c>
      <c r="C200" s="38" t="s">
        <v>8</v>
      </c>
      <c r="D200" s="38" t="s">
        <v>268</v>
      </c>
      <c r="E200" s="38" t="s">
        <v>408</v>
      </c>
      <c r="F200" s="38" t="s">
        <v>253</v>
      </c>
      <c r="G200" s="38" t="s">
        <v>138</v>
      </c>
      <c r="H200" s="9" t="s">
        <v>224</v>
      </c>
      <c r="I200" s="38" t="s">
        <v>58</v>
      </c>
      <c r="J200" s="38">
        <v>0</v>
      </c>
      <c r="K200" s="38">
        <v>0</v>
      </c>
      <c r="L200" s="38">
        <v>0</v>
      </c>
      <c r="M200" s="38">
        <v>0</v>
      </c>
      <c r="N200" s="38">
        <v>18.89</v>
      </c>
      <c r="O200" s="38"/>
      <c r="P200" s="38" t="s">
        <v>148</v>
      </c>
      <c r="Q200" s="38"/>
    </row>
    <row r="201" spans="1:17" x14ac:dyDescent="0.25">
      <c r="A201" s="39">
        <v>45415</v>
      </c>
      <c r="B201" s="38" t="s">
        <v>87</v>
      </c>
      <c r="C201" s="38" t="s">
        <v>8</v>
      </c>
      <c r="D201" s="38"/>
      <c r="E201" s="38"/>
      <c r="F201" s="38"/>
      <c r="G201" s="38" t="s">
        <v>138</v>
      </c>
      <c r="H201" s="9" t="s">
        <v>225</v>
      </c>
      <c r="I201" s="38"/>
      <c r="J201" s="38">
        <v>0</v>
      </c>
      <c r="K201" s="38">
        <v>0</v>
      </c>
      <c r="L201" s="38">
        <v>0</v>
      </c>
      <c r="M201" s="38">
        <v>0</v>
      </c>
      <c r="N201" s="38">
        <v>41146219</v>
      </c>
      <c r="O201" s="38"/>
      <c r="P201" s="38"/>
      <c r="Q201" s="38"/>
    </row>
    <row r="202" spans="1:17" x14ac:dyDescent="0.25">
      <c r="A202" s="39">
        <v>45415</v>
      </c>
      <c r="B202" s="38" t="s">
        <v>42</v>
      </c>
      <c r="C202" s="38" t="s">
        <v>8</v>
      </c>
      <c r="D202" s="38" t="s">
        <v>246</v>
      </c>
      <c r="E202" s="38" t="s">
        <v>81</v>
      </c>
      <c r="F202" s="38" t="s">
        <v>285</v>
      </c>
      <c r="G202" s="38" t="s">
        <v>138</v>
      </c>
      <c r="H202" s="9" t="s">
        <v>226</v>
      </c>
      <c r="I202" s="38" t="s">
        <v>58</v>
      </c>
      <c r="J202" s="38">
        <v>0</v>
      </c>
      <c r="K202" s="38">
        <v>0</v>
      </c>
      <c r="L202" s="38">
        <v>0</v>
      </c>
      <c r="M202" s="38">
        <v>0</v>
      </c>
      <c r="N202" s="38">
        <v>20.7</v>
      </c>
      <c r="O202" s="38"/>
      <c r="P202" s="38" t="s">
        <v>148</v>
      </c>
      <c r="Q202" s="38"/>
    </row>
    <row r="203" spans="1:17" x14ac:dyDescent="0.25">
      <c r="A203" s="39">
        <v>45415</v>
      </c>
      <c r="B203" s="38" t="s">
        <v>86</v>
      </c>
      <c r="C203" s="38" t="s">
        <v>8</v>
      </c>
      <c r="D203" s="38" t="s">
        <v>271</v>
      </c>
      <c r="E203" s="38" t="s">
        <v>275</v>
      </c>
      <c r="F203" s="38" t="s">
        <v>276</v>
      </c>
      <c r="G203" s="38" t="s">
        <v>138</v>
      </c>
      <c r="H203" s="9" t="s">
        <v>227</v>
      </c>
      <c r="I203" s="38" t="s">
        <v>65</v>
      </c>
      <c r="J203" s="38">
        <v>0</v>
      </c>
      <c r="K203" s="38">
        <v>0</v>
      </c>
      <c r="L203" s="38">
        <v>0</v>
      </c>
      <c r="M203" s="38">
        <v>0</v>
      </c>
      <c r="N203" s="38">
        <v>41.64</v>
      </c>
      <c r="O203" s="38"/>
      <c r="P203" s="38" t="s">
        <v>152</v>
      </c>
      <c r="Q203" s="38"/>
    </row>
    <row r="204" spans="1:17" x14ac:dyDescent="0.25">
      <c r="A204" s="39">
        <v>45415</v>
      </c>
      <c r="B204" s="38" t="s">
        <v>38</v>
      </c>
      <c r="C204" s="38" t="s">
        <v>8</v>
      </c>
      <c r="D204" s="38" t="s">
        <v>141</v>
      </c>
      <c r="E204" s="38" t="s">
        <v>81</v>
      </c>
      <c r="F204" s="38" t="s">
        <v>285</v>
      </c>
      <c r="G204" s="38" t="s">
        <v>138</v>
      </c>
      <c r="H204" s="9" t="s">
        <v>85</v>
      </c>
      <c r="I204" s="38" t="s">
        <v>58</v>
      </c>
      <c r="J204" s="38">
        <v>0</v>
      </c>
      <c r="K204" s="38">
        <v>0</v>
      </c>
      <c r="L204" s="38">
        <v>0</v>
      </c>
      <c r="M204" s="38">
        <v>0</v>
      </c>
      <c r="N204" s="38">
        <v>37.5</v>
      </c>
      <c r="O204" s="38"/>
      <c r="P204" s="38" t="s">
        <v>151</v>
      </c>
      <c r="Q204" s="38"/>
    </row>
    <row r="205" spans="1:17" x14ac:dyDescent="0.25">
      <c r="A205" s="39">
        <v>45415</v>
      </c>
      <c r="B205" s="38" t="s">
        <v>83</v>
      </c>
      <c r="C205" s="38" t="s">
        <v>8</v>
      </c>
      <c r="D205" s="38"/>
      <c r="E205" s="38"/>
      <c r="F205" s="38"/>
      <c r="G205" s="38" t="s">
        <v>138</v>
      </c>
      <c r="H205" s="9" t="s">
        <v>84</v>
      </c>
      <c r="I205" s="38"/>
      <c r="J205" s="38">
        <v>0</v>
      </c>
      <c r="K205" s="38">
        <v>0</v>
      </c>
      <c r="L205" s="38">
        <v>0</v>
      </c>
      <c r="M205" s="38">
        <v>0</v>
      </c>
      <c r="N205" s="38">
        <v>41.36</v>
      </c>
      <c r="O205" s="38"/>
      <c r="P205" s="38"/>
      <c r="Q205" s="38"/>
    </row>
    <row r="206" spans="1:17" x14ac:dyDescent="0.25">
      <c r="A206" s="39">
        <v>45415</v>
      </c>
      <c r="B206" s="38" t="s">
        <v>20</v>
      </c>
      <c r="C206" s="38" t="s">
        <v>8</v>
      </c>
      <c r="D206" s="38" t="s">
        <v>351</v>
      </c>
      <c r="E206" s="38" t="s">
        <v>352</v>
      </c>
      <c r="F206" s="38" t="s">
        <v>285</v>
      </c>
      <c r="G206" s="38" t="s">
        <v>138</v>
      </c>
      <c r="H206" s="9" t="s">
        <v>82</v>
      </c>
      <c r="I206" s="38" t="s">
        <v>58</v>
      </c>
      <c r="J206" s="38">
        <v>0</v>
      </c>
      <c r="K206" s="38">
        <v>0</v>
      </c>
      <c r="L206" s="38">
        <v>0</v>
      </c>
      <c r="M206" s="38">
        <v>0</v>
      </c>
      <c r="N206" s="38">
        <v>22.79</v>
      </c>
      <c r="O206" s="38"/>
      <c r="P206" s="38" t="s">
        <v>151</v>
      </c>
      <c r="Q206" s="38"/>
    </row>
    <row r="207" spans="1:17" x14ac:dyDescent="0.25">
      <c r="A207" s="39">
        <v>45415</v>
      </c>
      <c r="B207" s="38" t="s">
        <v>21</v>
      </c>
      <c r="C207" s="38" t="s">
        <v>8</v>
      </c>
      <c r="D207" s="38" t="s">
        <v>291</v>
      </c>
      <c r="E207" s="38" t="s">
        <v>352</v>
      </c>
      <c r="F207" s="38" t="s">
        <v>285</v>
      </c>
      <c r="G207" s="38" t="s">
        <v>138</v>
      </c>
      <c r="H207" s="9" t="s">
        <v>80</v>
      </c>
      <c r="I207" s="38" t="s">
        <v>65</v>
      </c>
      <c r="J207" s="38">
        <v>0</v>
      </c>
      <c r="K207" s="38">
        <v>0</v>
      </c>
      <c r="L207" s="38">
        <v>0</v>
      </c>
      <c r="M207" s="38">
        <v>0</v>
      </c>
      <c r="N207" s="38">
        <v>21.59</v>
      </c>
      <c r="O207" s="38"/>
      <c r="P207" s="38" t="s">
        <v>152</v>
      </c>
      <c r="Q207" s="38"/>
    </row>
    <row r="208" spans="1:17" x14ac:dyDescent="0.25">
      <c r="A208" s="39">
        <v>45415</v>
      </c>
      <c r="B208" s="38" t="s">
        <v>22</v>
      </c>
      <c r="C208" s="38" t="s">
        <v>8</v>
      </c>
      <c r="D208" s="38" t="s">
        <v>353</v>
      </c>
      <c r="E208" s="38" t="s">
        <v>352</v>
      </c>
      <c r="F208" s="38" t="s">
        <v>285</v>
      </c>
      <c r="G208" s="38" t="s">
        <v>138</v>
      </c>
      <c r="H208" s="9" t="s">
        <v>79</v>
      </c>
      <c r="I208" s="38" t="s">
        <v>58</v>
      </c>
      <c r="J208" s="38">
        <v>0</v>
      </c>
      <c r="K208" s="38">
        <v>0</v>
      </c>
      <c r="L208" s="38">
        <v>0</v>
      </c>
      <c r="M208" s="38">
        <v>0</v>
      </c>
      <c r="N208" s="38">
        <v>13.62</v>
      </c>
      <c r="O208" s="38"/>
      <c r="P208" s="38" t="s">
        <v>148</v>
      </c>
      <c r="Q208" s="38"/>
    </row>
    <row r="209" spans="1:17" x14ac:dyDescent="0.25">
      <c r="A209" s="39">
        <v>45415</v>
      </c>
      <c r="B209" s="38" t="s">
        <v>77</v>
      </c>
      <c r="C209" s="38" t="s">
        <v>8</v>
      </c>
      <c r="D209" s="38"/>
      <c r="E209" s="38"/>
      <c r="F209" s="38"/>
      <c r="G209" s="38" t="s">
        <v>138</v>
      </c>
      <c r="H209" s="9" t="s">
        <v>78</v>
      </c>
      <c r="I209" s="38"/>
      <c r="J209" s="38">
        <v>0</v>
      </c>
      <c r="K209" s="38">
        <v>0</v>
      </c>
      <c r="L209" s="38">
        <v>0</v>
      </c>
      <c r="M209" s="38">
        <v>0</v>
      </c>
      <c r="N209" s="38">
        <v>17.88</v>
      </c>
      <c r="O209" s="38"/>
      <c r="P209" s="38"/>
      <c r="Q209" s="38"/>
    </row>
    <row r="210" spans="1:17" x14ac:dyDescent="0.25">
      <c r="A210" s="39">
        <v>45415</v>
      </c>
      <c r="B210" s="38" t="s">
        <v>23</v>
      </c>
      <c r="C210" s="38" t="s">
        <v>8</v>
      </c>
      <c r="D210" s="38" t="s">
        <v>409</v>
      </c>
      <c r="E210" s="38" t="s">
        <v>352</v>
      </c>
      <c r="F210" s="38" t="s">
        <v>285</v>
      </c>
      <c r="G210" s="38" t="s">
        <v>138</v>
      </c>
      <c r="H210" s="9" t="s">
        <v>228</v>
      </c>
      <c r="I210" s="38" t="s">
        <v>58</v>
      </c>
      <c r="J210" s="38">
        <v>0</v>
      </c>
      <c r="K210" s="38">
        <v>0</v>
      </c>
      <c r="L210" s="38">
        <v>0</v>
      </c>
      <c r="M210" s="38">
        <v>0</v>
      </c>
      <c r="N210" s="38">
        <v>23.22</v>
      </c>
      <c r="O210" s="38"/>
      <c r="P210" s="38" t="s">
        <v>148</v>
      </c>
      <c r="Q210" s="38"/>
    </row>
    <row r="211" spans="1:17" x14ac:dyDescent="0.25">
      <c r="A211" s="39">
        <v>45415</v>
      </c>
      <c r="B211" s="38" t="s">
        <v>24</v>
      </c>
      <c r="C211" s="38" t="s">
        <v>8</v>
      </c>
      <c r="D211" s="38" t="s">
        <v>344</v>
      </c>
      <c r="E211" s="38" t="s">
        <v>379</v>
      </c>
      <c r="F211" s="38" t="s">
        <v>253</v>
      </c>
      <c r="G211" s="38" t="s">
        <v>138</v>
      </c>
      <c r="H211" s="9" t="s">
        <v>229</v>
      </c>
      <c r="I211" s="38" t="s">
        <v>65</v>
      </c>
      <c r="J211" s="38">
        <v>0</v>
      </c>
      <c r="K211" s="38">
        <v>0</v>
      </c>
      <c r="L211" s="38">
        <v>0</v>
      </c>
      <c r="M211" s="38">
        <v>0</v>
      </c>
      <c r="N211" s="38">
        <v>18.37</v>
      </c>
      <c r="O211" s="38"/>
      <c r="P211" s="38" t="s">
        <v>152</v>
      </c>
      <c r="Q211" s="38"/>
    </row>
    <row r="212" spans="1:17" x14ac:dyDescent="0.25">
      <c r="A212" s="39">
        <v>45415</v>
      </c>
      <c r="B212" s="38" t="s">
        <v>75</v>
      </c>
      <c r="C212" s="38" t="s">
        <v>8</v>
      </c>
      <c r="D212" s="38" t="s">
        <v>410</v>
      </c>
      <c r="E212" s="38" t="s">
        <v>202</v>
      </c>
      <c r="F212" s="38" t="s">
        <v>346</v>
      </c>
      <c r="G212" s="38" t="s">
        <v>138</v>
      </c>
      <c r="H212" s="9" t="s">
        <v>230</v>
      </c>
      <c r="I212" s="38" t="s">
        <v>58</v>
      </c>
      <c r="J212" s="38">
        <v>0</v>
      </c>
      <c r="K212" s="38">
        <v>0</v>
      </c>
      <c r="L212" s="38">
        <v>0</v>
      </c>
      <c r="M212" s="38">
        <v>0</v>
      </c>
      <c r="N212" s="38">
        <v>12.9</v>
      </c>
      <c r="O212" s="38"/>
      <c r="P212" s="38" t="s">
        <v>303</v>
      </c>
      <c r="Q212" s="38"/>
    </row>
    <row r="213" spans="1:17" x14ac:dyDescent="0.25">
      <c r="A213" s="39">
        <v>45415</v>
      </c>
      <c r="B213" s="38" t="s">
        <v>25</v>
      </c>
      <c r="C213" s="38" t="s">
        <v>8</v>
      </c>
      <c r="D213" s="38" t="s">
        <v>383</v>
      </c>
      <c r="E213" s="38" t="s">
        <v>81</v>
      </c>
      <c r="F213" s="38" t="s">
        <v>285</v>
      </c>
      <c r="G213" s="38" t="s">
        <v>138</v>
      </c>
      <c r="H213" s="9" t="s">
        <v>231</v>
      </c>
      <c r="I213" s="38" t="s">
        <v>65</v>
      </c>
      <c r="J213" s="38">
        <v>0</v>
      </c>
      <c r="K213" s="38">
        <v>0</v>
      </c>
      <c r="L213" s="38">
        <v>0</v>
      </c>
      <c r="M213" s="38">
        <v>0</v>
      </c>
      <c r="N213" s="38">
        <v>12.16</v>
      </c>
      <c r="O213" s="38"/>
      <c r="P213" s="38" t="s">
        <v>148</v>
      </c>
      <c r="Q213" s="38"/>
    </row>
    <row r="214" spans="1:17" x14ac:dyDescent="0.25">
      <c r="A214" s="39">
        <v>45415</v>
      </c>
      <c r="B214" s="38" t="s">
        <v>74</v>
      </c>
      <c r="C214" s="38" t="s">
        <v>8</v>
      </c>
      <c r="D214" s="38" t="s">
        <v>292</v>
      </c>
      <c r="E214" s="38" t="s">
        <v>60</v>
      </c>
      <c r="F214" s="38" t="s">
        <v>346</v>
      </c>
      <c r="G214" s="38" t="s">
        <v>138</v>
      </c>
      <c r="H214" s="9" t="s">
        <v>232</v>
      </c>
      <c r="I214" s="38" t="s">
        <v>58</v>
      </c>
      <c r="J214" s="38">
        <v>0</v>
      </c>
      <c r="K214" s="38">
        <v>0</v>
      </c>
      <c r="L214" s="38">
        <v>0</v>
      </c>
      <c r="M214" s="38">
        <v>0</v>
      </c>
      <c r="N214" s="38">
        <v>15.61</v>
      </c>
      <c r="O214" s="38"/>
      <c r="P214" s="38" t="s">
        <v>293</v>
      </c>
      <c r="Q214" s="38"/>
    </row>
    <row r="215" spans="1:17" x14ac:dyDescent="0.25">
      <c r="A215" s="39">
        <v>45415</v>
      </c>
      <c r="B215" s="38" t="s">
        <v>26</v>
      </c>
      <c r="C215" s="38" t="s">
        <v>8</v>
      </c>
      <c r="D215" s="38" t="s">
        <v>294</v>
      </c>
      <c r="E215" s="38" t="s">
        <v>56</v>
      </c>
      <c r="F215" s="38" t="s">
        <v>184</v>
      </c>
      <c r="G215" s="38" t="s">
        <v>138</v>
      </c>
      <c r="H215" s="9" t="s">
        <v>233</v>
      </c>
      <c r="I215" s="38" t="s">
        <v>65</v>
      </c>
      <c r="J215" s="38">
        <v>0</v>
      </c>
      <c r="K215" s="38">
        <v>0</v>
      </c>
      <c r="L215" s="38">
        <v>0</v>
      </c>
      <c r="M215" s="38">
        <v>0</v>
      </c>
      <c r="N215" s="38">
        <v>13.29</v>
      </c>
      <c r="O215" s="38"/>
      <c r="P215" s="38" t="s">
        <v>155</v>
      </c>
      <c r="Q215" s="38"/>
    </row>
    <row r="216" spans="1:17" x14ac:dyDescent="0.25">
      <c r="A216" s="39">
        <v>45415</v>
      </c>
      <c r="B216" s="38" t="s">
        <v>27</v>
      </c>
      <c r="C216" s="38" t="s">
        <v>8</v>
      </c>
      <c r="D216" s="38" t="s">
        <v>384</v>
      </c>
      <c r="E216" s="38" t="s">
        <v>366</v>
      </c>
      <c r="F216" s="38" t="s">
        <v>346</v>
      </c>
      <c r="G216" s="38" t="s">
        <v>138</v>
      </c>
      <c r="H216" s="9" t="s">
        <v>234</v>
      </c>
      <c r="I216" s="38" t="s">
        <v>58</v>
      </c>
      <c r="J216" s="38">
        <v>0</v>
      </c>
      <c r="K216" s="38">
        <v>0</v>
      </c>
      <c r="L216" s="38">
        <v>0</v>
      </c>
      <c r="M216" s="38">
        <v>0</v>
      </c>
      <c r="N216" s="38">
        <v>13.89</v>
      </c>
      <c r="O216" s="38"/>
      <c r="P216" s="38" t="s">
        <v>269</v>
      </c>
      <c r="Q216" s="38"/>
    </row>
    <row r="217" spans="1:17" x14ac:dyDescent="0.25">
      <c r="A217" s="39">
        <v>45415</v>
      </c>
      <c r="B217" s="38" t="s">
        <v>28</v>
      </c>
      <c r="C217" s="38" t="s">
        <v>8</v>
      </c>
      <c r="D217" s="38" t="s">
        <v>411</v>
      </c>
      <c r="E217" s="38" t="s">
        <v>56</v>
      </c>
      <c r="F217" s="38" t="s">
        <v>338</v>
      </c>
      <c r="G217" s="38" t="s">
        <v>138</v>
      </c>
      <c r="H217" s="9" t="s">
        <v>235</v>
      </c>
      <c r="I217" s="38" t="s">
        <v>65</v>
      </c>
      <c r="J217" s="38">
        <v>0</v>
      </c>
      <c r="K217" s="38">
        <v>0</v>
      </c>
      <c r="L217" s="38">
        <v>0</v>
      </c>
      <c r="M217" s="38">
        <v>0</v>
      </c>
      <c r="N217" s="38">
        <v>13.9</v>
      </c>
      <c r="O217" s="38"/>
      <c r="P217" s="38" t="s">
        <v>155</v>
      </c>
      <c r="Q217" s="38"/>
    </row>
    <row r="218" spans="1:17" x14ac:dyDescent="0.25">
      <c r="A218" s="39">
        <v>45415</v>
      </c>
      <c r="B218" s="38" t="s">
        <v>72</v>
      </c>
      <c r="C218" s="38" t="s">
        <v>8</v>
      </c>
      <c r="D218" s="38" t="s">
        <v>322</v>
      </c>
      <c r="E218" s="38" t="s">
        <v>202</v>
      </c>
      <c r="F218" s="38" t="s">
        <v>346</v>
      </c>
      <c r="G218" s="38" t="s">
        <v>138</v>
      </c>
      <c r="H218" s="9" t="s">
        <v>422</v>
      </c>
      <c r="I218" s="38" t="s">
        <v>58</v>
      </c>
      <c r="J218" s="38">
        <v>0</v>
      </c>
      <c r="K218" s="38">
        <v>0</v>
      </c>
      <c r="L218" s="38">
        <v>0</v>
      </c>
      <c r="M218" s="38">
        <v>0</v>
      </c>
      <c r="N218" s="38">
        <v>15.45</v>
      </c>
      <c r="O218" s="38"/>
      <c r="P218" s="38" t="s">
        <v>157</v>
      </c>
      <c r="Q218" s="38"/>
    </row>
    <row r="219" spans="1:17" x14ac:dyDescent="0.25">
      <c r="A219" s="39">
        <v>45415</v>
      </c>
      <c r="B219" s="38" t="s">
        <v>29</v>
      </c>
      <c r="C219" s="38" t="s">
        <v>8</v>
      </c>
      <c r="D219" s="38" t="s">
        <v>315</v>
      </c>
      <c r="E219" s="38" t="s">
        <v>56</v>
      </c>
      <c r="F219" s="38" t="s">
        <v>338</v>
      </c>
      <c r="G219" s="38" t="s">
        <v>138</v>
      </c>
      <c r="H219" s="9" t="s">
        <v>236</v>
      </c>
      <c r="I219" s="38" t="s">
        <v>65</v>
      </c>
      <c r="J219" s="38">
        <v>0</v>
      </c>
      <c r="K219" s="38">
        <v>0</v>
      </c>
      <c r="L219" s="38">
        <v>0</v>
      </c>
      <c r="M219" s="38">
        <v>0</v>
      </c>
      <c r="N219" s="38">
        <v>13.98</v>
      </c>
      <c r="O219" s="38"/>
      <c r="P219" s="38" t="s">
        <v>156</v>
      </c>
      <c r="Q219" s="38"/>
    </row>
    <row r="220" spans="1:17" x14ac:dyDescent="0.25">
      <c r="A220" s="39">
        <v>45415</v>
      </c>
      <c r="B220" s="38" t="s">
        <v>30</v>
      </c>
      <c r="C220" s="38" t="s">
        <v>8</v>
      </c>
      <c r="D220" s="38" t="s">
        <v>305</v>
      </c>
      <c r="E220" s="38" t="s">
        <v>81</v>
      </c>
      <c r="F220" s="38" t="s">
        <v>90</v>
      </c>
      <c r="G220" s="38" t="s">
        <v>138</v>
      </c>
      <c r="H220" s="9" t="s">
        <v>71</v>
      </c>
      <c r="I220" s="38" t="s">
        <v>58</v>
      </c>
      <c r="J220" s="38">
        <v>0</v>
      </c>
      <c r="K220" s="38">
        <v>0</v>
      </c>
      <c r="L220" s="38">
        <v>0</v>
      </c>
      <c r="M220" s="38">
        <v>0</v>
      </c>
      <c r="N220" s="38">
        <v>10.84</v>
      </c>
      <c r="O220" s="38"/>
      <c r="P220" s="38" t="s">
        <v>150</v>
      </c>
      <c r="Q220" s="38"/>
    </row>
    <row r="221" spans="1:17" x14ac:dyDescent="0.25">
      <c r="A221" s="39">
        <v>45415</v>
      </c>
      <c r="B221" s="38" t="s">
        <v>31</v>
      </c>
      <c r="C221" s="38" t="s">
        <v>8</v>
      </c>
      <c r="D221" s="38"/>
      <c r="E221" s="38" t="s">
        <v>56</v>
      </c>
      <c r="F221" s="38"/>
      <c r="G221" s="38" t="s">
        <v>138</v>
      </c>
      <c r="H221" s="9" t="s">
        <v>70</v>
      </c>
      <c r="I221" s="38" t="s">
        <v>65</v>
      </c>
      <c r="J221" s="38">
        <v>0</v>
      </c>
      <c r="K221" s="38">
        <v>0</v>
      </c>
      <c r="L221" s="38">
        <v>0</v>
      </c>
      <c r="M221" s="38">
        <v>0</v>
      </c>
      <c r="N221" s="38">
        <v>13.5</v>
      </c>
      <c r="O221" s="38"/>
      <c r="P221" s="38" t="s">
        <v>156</v>
      </c>
      <c r="Q221" s="38"/>
    </row>
    <row r="222" spans="1:17" x14ac:dyDescent="0.25">
      <c r="A222" s="39">
        <v>45415</v>
      </c>
      <c r="B222" s="38" t="s">
        <v>32</v>
      </c>
      <c r="C222" s="38" t="s">
        <v>8</v>
      </c>
      <c r="D222" s="38" t="s">
        <v>413</v>
      </c>
      <c r="E222" s="38" t="s">
        <v>202</v>
      </c>
      <c r="F222" s="38" t="s">
        <v>346</v>
      </c>
      <c r="G222" s="38" t="s">
        <v>138</v>
      </c>
      <c r="H222" s="9" t="s">
        <v>69</v>
      </c>
      <c r="I222" s="38" t="s">
        <v>58</v>
      </c>
      <c r="J222" s="38">
        <v>0</v>
      </c>
      <c r="K222" s="38">
        <v>0</v>
      </c>
      <c r="L222" s="38">
        <v>0</v>
      </c>
      <c r="M222" s="38">
        <v>0</v>
      </c>
      <c r="N222" s="38">
        <v>14.39</v>
      </c>
      <c r="O222" s="38"/>
      <c r="P222" s="38" t="s">
        <v>414</v>
      </c>
      <c r="Q222" s="38"/>
    </row>
    <row r="223" spans="1:17" x14ac:dyDescent="0.25">
      <c r="A223" s="39">
        <v>45415</v>
      </c>
      <c r="B223" s="38" t="s">
        <v>67</v>
      </c>
      <c r="C223" s="38" t="s">
        <v>8</v>
      </c>
      <c r="D223" s="38" t="s">
        <v>354</v>
      </c>
      <c r="E223" s="38" t="s">
        <v>56</v>
      </c>
      <c r="F223" s="38" t="s">
        <v>367</v>
      </c>
      <c r="G223" s="38" t="s">
        <v>138</v>
      </c>
      <c r="H223" s="9" t="s">
        <v>68</v>
      </c>
      <c r="I223" s="38" t="s">
        <v>65</v>
      </c>
      <c r="J223" s="38">
        <v>0</v>
      </c>
      <c r="K223" s="38">
        <v>0</v>
      </c>
      <c r="L223" s="38">
        <v>0</v>
      </c>
      <c r="M223" s="38">
        <v>0</v>
      </c>
      <c r="N223" s="38">
        <v>13.8</v>
      </c>
      <c r="O223" s="38"/>
      <c r="P223" s="38" t="s">
        <v>156</v>
      </c>
      <c r="Q223" s="38"/>
    </row>
    <row r="224" spans="1:17" x14ac:dyDescent="0.25">
      <c r="A224" s="39">
        <v>45415</v>
      </c>
      <c r="B224" s="38" t="s">
        <v>33</v>
      </c>
      <c r="C224" s="38" t="s">
        <v>8</v>
      </c>
      <c r="D224" s="38" t="s">
        <v>277</v>
      </c>
      <c r="E224" s="38" t="s">
        <v>73</v>
      </c>
      <c r="F224" s="38" t="s">
        <v>346</v>
      </c>
      <c r="G224" s="38" t="s">
        <v>138</v>
      </c>
      <c r="H224" s="9" t="s">
        <v>66</v>
      </c>
      <c r="I224" s="38" t="s">
        <v>58</v>
      </c>
      <c r="J224" s="38">
        <v>0</v>
      </c>
      <c r="K224" s="38">
        <v>0</v>
      </c>
      <c r="L224" s="38">
        <v>0</v>
      </c>
      <c r="M224" s="38">
        <v>0</v>
      </c>
      <c r="N224" s="38">
        <v>14.19</v>
      </c>
      <c r="O224" s="38"/>
      <c r="P224" s="38" t="s">
        <v>201</v>
      </c>
      <c r="Q224" s="38"/>
    </row>
    <row r="225" spans="1:17" x14ac:dyDescent="0.25">
      <c r="A225" s="39">
        <v>45415</v>
      </c>
      <c r="B225" s="38" t="s">
        <v>34</v>
      </c>
      <c r="C225" s="38" t="s">
        <v>8</v>
      </c>
      <c r="D225" s="38" t="s">
        <v>415</v>
      </c>
      <c r="E225" s="38" t="s">
        <v>56</v>
      </c>
      <c r="F225" s="38" t="s">
        <v>346</v>
      </c>
      <c r="G225" s="38" t="s">
        <v>138</v>
      </c>
      <c r="H225" s="9" t="s">
        <v>64</v>
      </c>
      <c r="I225" s="38" t="s">
        <v>65</v>
      </c>
      <c r="J225" s="38">
        <v>0</v>
      </c>
      <c r="K225" s="38">
        <v>0</v>
      </c>
      <c r="L225" s="38">
        <v>0</v>
      </c>
      <c r="M225" s="38">
        <v>0</v>
      </c>
      <c r="N225" s="38">
        <v>15.6</v>
      </c>
      <c r="O225" s="38"/>
      <c r="P225" s="38" t="s">
        <v>416</v>
      </c>
      <c r="Q225" s="38"/>
    </row>
    <row r="226" spans="1:17" x14ac:dyDescent="0.25">
      <c r="A226" s="39">
        <v>45415</v>
      </c>
      <c r="B226" s="38" t="s">
        <v>35</v>
      </c>
      <c r="C226" s="38" t="s">
        <v>8</v>
      </c>
      <c r="D226" s="38" t="s">
        <v>331</v>
      </c>
      <c r="E226" s="38" t="s">
        <v>60</v>
      </c>
      <c r="F226" s="38" t="s">
        <v>346</v>
      </c>
      <c r="G226" s="38" t="s">
        <v>138</v>
      </c>
      <c r="H226" s="9" t="s">
        <v>237</v>
      </c>
      <c r="I226" s="38" t="s">
        <v>58</v>
      </c>
      <c r="J226" s="38">
        <v>0</v>
      </c>
      <c r="K226" s="38">
        <v>0</v>
      </c>
      <c r="L226" s="38">
        <v>0</v>
      </c>
      <c r="M226" s="38">
        <v>0</v>
      </c>
      <c r="N226" s="38">
        <v>14.64</v>
      </c>
      <c r="O226" s="38"/>
      <c r="P226" s="38" t="s">
        <v>158</v>
      </c>
      <c r="Q226" s="38"/>
    </row>
    <row r="227" spans="1:17" x14ac:dyDescent="0.25">
      <c r="A227" s="39">
        <v>45415</v>
      </c>
      <c r="B227" s="38" t="s">
        <v>418</v>
      </c>
      <c r="C227" s="38" t="s">
        <v>8</v>
      </c>
      <c r="D227" s="38"/>
      <c r="E227" s="38"/>
      <c r="F227" s="38"/>
      <c r="G227" s="38" t="s">
        <v>138</v>
      </c>
      <c r="H227" s="9" t="s">
        <v>240</v>
      </c>
      <c r="I227" s="38" t="s">
        <v>262</v>
      </c>
      <c r="J227" s="38">
        <v>0</v>
      </c>
      <c r="K227" s="38">
        <v>0</v>
      </c>
      <c r="L227" s="38">
        <v>0</v>
      </c>
      <c r="M227" s="38">
        <v>0</v>
      </c>
      <c r="N227" s="38">
        <v>17.670000000000002</v>
      </c>
      <c r="O227" s="38"/>
      <c r="P227" s="38"/>
      <c r="Q227" s="38"/>
    </row>
    <row r="228" spans="1:17" x14ac:dyDescent="0.25">
      <c r="A228" s="39">
        <v>45415</v>
      </c>
      <c r="B228" s="38" t="s">
        <v>419</v>
      </c>
      <c r="C228" s="38" t="s">
        <v>8</v>
      </c>
      <c r="D228" s="38"/>
      <c r="E228" s="38"/>
      <c r="F228" s="38"/>
      <c r="G228" s="38" t="s">
        <v>138</v>
      </c>
      <c r="H228" s="9" t="s">
        <v>240</v>
      </c>
      <c r="I228" s="38" t="s">
        <v>262</v>
      </c>
      <c r="J228" s="38">
        <v>0</v>
      </c>
      <c r="K228" s="38">
        <v>0</v>
      </c>
      <c r="L228" s="38">
        <v>0</v>
      </c>
      <c r="M228" s="38">
        <v>0</v>
      </c>
      <c r="N228" s="38">
        <v>13.49</v>
      </c>
      <c r="O228" s="38"/>
      <c r="P228" s="38"/>
      <c r="Q228" s="38"/>
    </row>
    <row r="229" spans="1:17" x14ac:dyDescent="0.25">
      <c r="A229" s="39">
        <v>45415</v>
      </c>
      <c r="B229" s="38" t="s">
        <v>36</v>
      </c>
      <c r="C229" s="38" t="s">
        <v>8</v>
      </c>
      <c r="D229" s="38" t="s">
        <v>295</v>
      </c>
      <c r="E229" s="38" t="s">
        <v>81</v>
      </c>
      <c r="F229" s="38" t="s">
        <v>369</v>
      </c>
      <c r="G229" s="38" t="s">
        <v>138</v>
      </c>
      <c r="H229" s="9" t="s">
        <v>423</v>
      </c>
      <c r="I229" s="38" t="s">
        <v>58</v>
      </c>
      <c r="J229" s="38">
        <v>0</v>
      </c>
      <c r="K229" s="38">
        <v>0</v>
      </c>
      <c r="L229" s="38">
        <v>0</v>
      </c>
      <c r="M229" s="38">
        <v>0</v>
      </c>
      <c r="N229" s="38">
        <v>38472557</v>
      </c>
      <c r="O229" s="38"/>
      <c r="P229" s="38" t="s">
        <v>156</v>
      </c>
      <c r="Q229" s="38"/>
    </row>
    <row r="230" spans="1:17" x14ac:dyDescent="0.25">
      <c r="A230" s="39">
        <v>45415</v>
      </c>
      <c r="B230" s="38" t="s">
        <v>256</v>
      </c>
      <c r="C230" s="38" t="s">
        <v>8</v>
      </c>
      <c r="D230" s="38" t="s">
        <v>392</v>
      </c>
      <c r="E230" s="38" t="s">
        <v>417</v>
      </c>
      <c r="F230" s="38" t="s">
        <v>192</v>
      </c>
      <c r="G230" s="38" t="s">
        <v>138</v>
      </c>
      <c r="H230" s="9"/>
      <c r="I230" s="38" t="s">
        <v>262</v>
      </c>
      <c r="J230" s="38">
        <v>0</v>
      </c>
      <c r="K230" s="38">
        <v>0</v>
      </c>
      <c r="L230" s="38">
        <v>0</v>
      </c>
      <c r="M230" s="38">
        <v>0</v>
      </c>
      <c r="N230" s="38">
        <v>0</v>
      </c>
      <c r="O230" s="38"/>
      <c r="P230" s="38" t="s">
        <v>149</v>
      </c>
      <c r="Q230" s="38"/>
    </row>
    <row r="231" spans="1:17" x14ac:dyDescent="0.25">
      <c r="A231" s="39">
        <v>45415</v>
      </c>
      <c r="B231" s="38" t="s">
        <v>257</v>
      </c>
      <c r="C231" s="38" t="s">
        <v>8</v>
      </c>
      <c r="D231" s="38" t="s">
        <v>392</v>
      </c>
      <c r="E231" s="38" t="s">
        <v>417</v>
      </c>
      <c r="F231" s="38" t="s">
        <v>192</v>
      </c>
      <c r="G231" s="38" t="s">
        <v>138</v>
      </c>
      <c r="H231" s="9"/>
      <c r="I231" s="38" t="s">
        <v>58</v>
      </c>
      <c r="J231" s="38">
        <v>0</v>
      </c>
      <c r="K231" s="38">
        <v>0</v>
      </c>
      <c r="L231" s="38">
        <v>0</v>
      </c>
      <c r="M231" s="38">
        <v>0</v>
      </c>
      <c r="N231" s="38">
        <v>38.46</v>
      </c>
      <c r="O231" s="38"/>
      <c r="P231" s="38" t="s">
        <v>149</v>
      </c>
      <c r="Q231" s="38"/>
    </row>
    <row r="232" spans="1:17" x14ac:dyDescent="0.25">
      <c r="A232" s="39">
        <v>45415</v>
      </c>
      <c r="B232" s="38" t="s">
        <v>37</v>
      </c>
      <c r="C232" s="38" t="s">
        <v>8</v>
      </c>
      <c r="D232" s="38" t="s">
        <v>347</v>
      </c>
      <c r="E232" s="38" t="s">
        <v>348</v>
      </c>
      <c r="F232" s="38" t="s">
        <v>346</v>
      </c>
      <c r="G232" s="38" t="s">
        <v>138</v>
      </c>
      <c r="H232" s="9" t="s">
        <v>425</v>
      </c>
      <c r="I232" s="38" t="s">
        <v>58</v>
      </c>
      <c r="J232" s="38">
        <v>0</v>
      </c>
      <c r="K232" s="38">
        <v>0</v>
      </c>
      <c r="L232" s="38">
        <v>0</v>
      </c>
      <c r="M232" s="38">
        <v>0</v>
      </c>
      <c r="N232" s="38">
        <v>13.5</v>
      </c>
      <c r="O232" s="38"/>
      <c r="P232" s="38" t="s">
        <v>270</v>
      </c>
      <c r="Q232" s="38"/>
    </row>
    <row r="233" spans="1:17" x14ac:dyDescent="0.25">
      <c r="A233" s="39">
        <v>45415</v>
      </c>
      <c r="B233" s="38" t="s">
        <v>258</v>
      </c>
      <c r="C233" s="38" t="s">
        <v>8</v>
      </c>
      <c r="D233" s="38"/>
      <c r="E233" s="38"/>
      <c r="F233" s="38"/>
      <c r="G233" s="38" t="s">
        <v>138</v>
      </c>
      <c r="H233" s="9" t="s">
        <v>426</v>
      </c>
      <c r="I233" s="38" t="s">
        <v>262</v>
      </c>
      <c r="J233" s="38">
        <v>0</v>
      </c>
      <c r="K233" s="38">
        <v>0</v>
      </c>
      <c r="L233" s="38">
        <v>0</v>
      </c>
      <c r="M233" s="38">
        <v>0</v>
      </c>
      <c r="N233" s="38">
        <v>13.5</v>
      </c>
      <c r="O233" s="38"/>
      <c r="P233" s="38" t="s">
        <v>148</v>
      </c>
      <c r="Q233" s="38"/>
    </row>
    <row r="234" spans="1:17" x14ac:dyDescent="0.25">
      <c r="A234" s="39">
        <v>45415</v>
      </c>
      <c r="B234" s="38" t="s">
        <v>259</v>
      </c>
      <c r="C234" s="38" t="s">
        <v>8</v>
      </c>
      <c r="D234" s="38"/>
      <c r="E234" s="38"/>
      <c r="F234" s="38"/>
      <c r="G234" s="38" t="s">
        <v>138</v>
      </c>
      <c r="H234" s="9" t="s">
        <v>426</v>
      </c>
      <c r="I234" s="38" t="s">
        <v>262</v>
      </c>
      <c r="J234" s="38">
        <v>0</v>
      </c>
      <c r="K234" s="38">
        <v>0</v>
      </c>
      <c r="L234" s="38">
        <v>0</v>
      </c>
      <c r="M234" s="38">
        <v>0</v>
      </c>
      <c r="N234" s="38">
        <v>41.06</v>
      </c>
      <c r="O234" s="38"/>
      <c r="P234" s="38" t="s">
        <v>148</v>
      </c>
      <c r="Q234" s="38"/>
    </row>
    <row r="235" spans="1:17" x14ac:dyDescent="0.25">
      <c r="A235" s="39">
        <v>45415</v>
      </c>
      <c r="B235" s="38" t="s">
        <v>54</v>
      </c>
      <c r="C235" s="38" t="s">
        <v>8</v>
      </c>
      <c r="D235" s="38" t="s">
        <v>55</v>
      </c>
      <c r="E235" s="38" t="s">
        <v>56</v>
      </c>
      <c r="F235" s="38" t="s">
        <v>57</v>
      </c>
      <c r="G235" s="38" t="s">
        <v>138</v>
      </c>
      <c r="H235" s="9" t="s">
        <v>427</v>
      </c>
      <c r="I235" s="38" t="s">
        <v>58</v>
      </c>
      <c r="J235" s="38">
        <v>0</v>
      </c>
      <c r="K235" s="38">
        <v>0</v>
      </c>
      <c r="L235" s="38">
        <v>0</v>
      </c>
      <c r="M235" s="38">
        <v>0</v>
      </c>
      <c r="N235" s="38">
        <v>41.06</v>
      </c>
      <c r="O235" s="38"/>
      <c r="P235" s="38" t="s">
        <v>159</v>
      </c>
      <c r="Q235" s="38"/>
    </row>
    <row r="236" spans="1:17" x14ac:dyDescent="0.25">
      <c r="A236" s="39">
        <v>45416</v>
      </c>
      <c r="B236" t="s">
        <v>136</v>
      </c>
      <c r="C236" s="38" t="s">
        <v>6</v>
      </c>
      <c r="D236" t="s">
        <v>174</v>
      </c>
      <c r="E236" t="s">
        <v>81</v>
      </c>
      <c r="F236" t="s">
        <v>90</v>
      </c>
      <c r="G236" t="s">
        <v>138</v>
      </c>
      <c r="H236" s="9" t="s">
        <v>160</v>
      </c>
      <c r="I236" t="s">
        <v>58</v>
      </c>
      <c r="J236">
        <v>0</v>
      </c>
      <c r="K236">
        <v>0</v>
      </c>
      <c r="L236">
        <v>0</v>
      </c>
      <c r="M236">
        <v>0</v>
      </c>
      <c r="N236">
        <v>42144554</v>
      </c>
      <c r="P236" t="s">
        <v>153</v>
      </c>
      <c r="Q236" s="38"/>
    </row>
    <row r="237" spans="1:17" x14ac:dyDescent="0.25">
      <c r="A237" s="39">
        <v>45416</v>
      </c>
      <c r="B237" s="38" t="s">
        <v>135</v>
      </c>
      <c r="C237" s="38" t="s">
        <v>6</v>
      </c>
      <c r="D237" s="38" t="s">
        <v>332</v>
      </c>
      <c r="E237" s="38" t="s">
        <v>81</v>
      </c>
      <c r="F237" s="38" t="s">
        <v>90</v>
      </c>
      <c r="G237" s="38" t="s">
        <v>138</v>
      </c>
      <c r="H237" s="9" t="s">
        <v>161</v>
      </c>
      <c r="I237" s="38" t="s">
        <v>58</v>
      </c>
      <c r="J237" s="38">
        <v>0</v>
      </c>
      <c r="K237">
        <v>0</v>
      </c>
      <c r="L237">
        <v>0</v>
      </c>
      <c r="M237">
        <v>0</v>
      </c>
      <c r="N237" s="38">
        <v>24.09</v>
      </c>
      <c r="O237" s="38"/>
      <c r="P237" s="38" t="s">
        <v>148</v>
      </c>
      <c r="Q237" s="38"/>
    </row>
    <row r="238" spans="1:17" x14ac:dyDescent="0.25">
      <c r="A238" s="39">
        <v>45416</v>
      </c>
      <c r="B238" s="38" t="s">
        <v>134</v>
      </c>
      <c r="C238" s="38" t="s">
        <v>6</v>
      </c>
      <c r="D238" s="38" t="s">
        <v>175</v>
      </c>
      <c r="E238" s="38" t="s">
        <v>81</v>
      </c>
      <c r="F238" s="38" t="s">
        <v>90</v>
      </c>
      <c r="G238" s="38" t="s">
        <v>138</v>
      </c>
      <c r="H238" s="9" t="s">
        <v>206</v>
      </c>
      <c r="I238" s="38" t="s">
        <v>58</v>
      </c>
      <c r="J238" s="38">
        <v>0</v>
      </c>
      <c r="K238">
        <v>0</v>
      </c>
      <c r="L238">
        <v>0</v>
      </c>
      <c r="M238">
        <v>0</v>
      </c>
      <c r="N238" s="38">
        <v>0</v>
      </c>
      <c r="O238" s="38"/>
      <c r="P238" s="38" t="s">
        <v>148</v>
      </c>
      <c r="Q238" s="38"/>
    </row>
    <row r="239" spans="1:17" x14ac:dyDescent="0.25">
      <c r="A239" s="39">
        <v>45416</v>
      </c>
      <c r="B239" s="38" t="s">
        <v>132</v>
      </c>
      <c r="C239" s="38" t="s">
        <v>6</v>
      </c>
      <c r="D239" s="38" t="s">
        <v>133</v>
      </c>
      <c r="E239" s="38" t="s">
        <v>126</v>
      </c>
      <c r="F239" s="38" t="s">
        <v>199</v>
      </c>
      <c r="G239" s="38" t="s">
        <v>138</v>
      </c>
      <c r="H239" s="9" t="s">
        <v>162</v>
      </c>
      <c r="I239" s="38" t="s">
        <v>58</v>
      </c>
      <c r="J239" s="38">
        <v>0</v>
      </c>
      <c r="K239">
        <v>0</v>
      </c>
      <c r="L239">
        <v>0</v>
      </c>
      <c r="M239">
        <v>0</v>
      </c>
      <c r="N239" s="38">
        <v>38.369999999999997</v>
      </c>
      <c r="O239" s="38"/>
      <c r="P239" s="38" t="s">
        <v>149</v>
      </c>
      <c r="Q239" s="38"/>
    </row>
    <row r="240" spans="1:17" x14ac:dyDescent="0.25">
      <c r="A240" s="39">
        <v>45416</v>
      </c>
      <c r="B240" s="38" t="s">
        <v>131</v>
      </c>
      <c r="C240" s="38" t="s">
        <v>6</v>
      </c>
      <c r="D240" s="38" t="s">
        <v>396</v>
      </c>
      <c r="E240" s="38" t="s">
        <v>60</v>
      </c>
      <c r="F240" s="38" t="s">
        <v>90</v>
      </c>
      <c r="G240" s="38" t="s">
        <v>138</v>
      </c>
      <c r="H240" s="9" t="s">
        <v>163</v>
      </c>
      <c r="I240" s="38" t="s">
        <v>58</v>
      </c>
      <c r="J240" s="38">
        <v>0</v>
      </c>
      <c r="K240">
        <v>0</v>
      </c>
      <c r="L240">
        <v>0</v>
      </c>
      <c r="M240">
        <v>0</v>
      </c>
      <c r="N240" s="38">
        <v>23.93</v>
      </c>
      <c r="O240" s="38"/>
      <c r="P240" s="38" t="s">
        <v>154</v>
      </c>
      <c r="Q240" s="38"/>
    </row>
    <row r="241" spans="1:17" x14ac:dyDescent="0.25">
      <c r="A241" s="39">
        <v>45416</v>
      </c>
      <c r="B241" s="38" t="s">
        <v>130</v>
      </c>
      <c r="C241" s="38" t="s">
        <v>6</v>
      </c>
      <c r="D241" s="38" t="s">
        <v>191</v>
      </c>
      <c r="E241" s="38" t="s">
        <v>81</v>
      </c>
      <c r="F241" s="38" t="s">
        <v>285</v>
      </c>
      <c r="G241" s="38" t="s">
        <v>138</v>
      </c>
      <c r="H241" s="9" t="s">
        <v>420</v>
      </c>
      <c r="I241" s="38" t="s">
        <v>58</v>
      </c>
      <c r="J241" s="38">
        <v>0</v>
      </c>
      <c r="K241">
        <v>0</v>
      </c>
      <c r="L241">
        <v>0</v>
      </c>
      <c r="M241">
        <v>0</v>
      </c>
      <c r="N241" s="38">
        <v>14.99</v>
      </c>
      <c r="O241" s="38"/>
      <c r="P241" s="38" t="s">
        <v>148</v>
      </c>
      <c r="Q241" s="38"/>
    </row>
    <row r="242" spans="1:17" x14ac:dyDescent="0.25">
      <c r="A242" s="39">
        <v>45416</v>
      </c>
      <c r="B242" s="38" t="s">
        <v>128</v>
      </c>
      <c r="C242" s="38" t="s">
        <v>6</v>
      </c>
      <c r="D242" s="38" t="s">
        <v>129</v>
      </c>
      <c r="E242" s="38" t="s">
        <v>126</v>
      </c>
      <c r="F242" s="38" t="s">
        <v>199</v>
      </c>
      <c r="G242" s="38" t="s">
        <v>138</v>
      </c>
      <c r="H242" s="9" t="s">
        <v>164</v>
      </c>
      <c r="I242" s="38" t="s">
        <v>58</v>
      </c>
      <c r="J242" s="38">
        <v>0</v>
      </c>
      <c r="K242">
        <v>0</v>
      </c>
      <c r="L242">
        <v>0</v>
      </c>
      <c r="M242">
        <v>0</v>
      </c>
      <c r="N242" s="38">
        <v>41.06</v>
      </c>
      <c r="O242" s="38"/>
      <c r="P242" s="38" t="s">
        <v>149</v>
      </c>
      <c r="Q242" s="38"/>
    </row>
    <row r="243" spans="1:17" x14ac:dyDescent="0.25">
      <c r="A243" s="39">
        <v>45416</v>
      </c>
      <c r="B243" s="38" t="s">
        <v>40</v>
      </c>
      <c r="C243" s="38" t="s">
        <v>6</v>
      </c>
      <c r="D243" s="38" t="s">
        <v>397</v>
      </c>
      <c r="E243" s="38" t="s">
        <v>60</v>
      </c>
      <c r="F243" s="38" t="s">
        <v>200</v>
      </c>
      <c r="G243" s="38" t="s">
        <v>138</v>
      </c>
      <c r="H243" s="9" t="s">
        <v>165</v>
      </c>
      <c r="I243" s="38" t="s">
        <v>58</v>
      </c>
      <c r="J243" s="38">
        <v>0</v>
      </c>
      <c r="K243">
        <v>0</v>
      </c>
      <c r="L243">
        <v>0</v>
      </c>
      <c r="M243">
        <v>0</v>
      </c>
      <c r="N243" s="38">
        <v>14.92</v>
      </c>
      <c r="O243" s="38"/>
      <c r="P243" s="38" t="s">
        <v>153</v>
      </c>
      <c r="Q243" s="38"/>
    </row>
    <row r="244" spans="1:17" x14ac:dyDescent="0.25">
      <c r="A244" s="39">
        <v>45416</v>
      </c>
      <c r="B244" s="38" t="s">
        <v>127</v>
      </c>
      <c r="C244" s="38" t="s">
        <v>6</v>
      </c>
      <c r="D244" s="38" t="s">
        <v>203</v>
      </c>
      <c r="E244" s="38" t="s">
        <v>81</v>
      </c>
      <c r="F244" s="38" t="s">
        <v>285</v>
      </c>
      <c r="G244" s="38" t="s">
        <v>138</v>
      </c>
      <c r="H244" s="9" t="s">
        <v>207</v>
      </c>
      <c r="I244" s="38" t="s">
        <v>58</v>
      </c>
      <c r="J244" s="38">
        <v>0</v>
      </c>
      <c r="K244">
        <v>0</v>
      </c>
      <c r="L244">
        <v>0</v>
      </c>
      <c r="M244">
        <v>0</v>
      </c>
      <c r="N244" s="38">
        <v>20.85</v>
      </c>
      <c r="O244" s="38"/>
      <c r="P244" s="38" t="s">
        <v>151</v>
      </c>
      <c r="Q244" s="38"/>
    </row>
    <row r="245" spans="1:17" x14ac:dyDescent="0.25">
      <c r="A245" s="39">
        <v>45416</v>
      </c>
      <c r="B245" s="38" t="s">
        <v>124</v>
      </c>
      <c r="C245" s="38" t="s">
        <v>6</v>
      </c>
      <c r="D245" s="38" t="s">
        <v>340</v>
      </c>
      <c r="E245" s="38" t="s">
        <v>126</v>
      </c>
      <c r="F245" s="38" t="s">
        <v>199</v>
      </c>
      <c r="G245" s="38" t="s">
        <v>138</v>
      </c>
      <c r="H245" s="9" t="s">
        <v>166</v>
      </c>
      <c r="I245" s="38" t="s">
        <v>58</v>
      </c>
      <c r="J245" s="38">
        <v>0</v>
      </c>
      <c r="K245">
        <v>0</v>
      </c>
      <c r="L245">
        <v>0</v>
      </c>
      <c r="M245">
        <v>0</v>
      </c>
      <c r="N245" s="38">
        <v>39863813</v>
      </c>
      <c r="O245" s="38"/>
      <c r="P245" s="38" t="s">
        <v>149</v>
      </c>
      <c r="Q245" s="38"/>
    </row>
    <row r="246" spans="1:17" x14ac:dyDescent="0.25">
      <c r="A246" s="39">
        <v>45416</v>
      </c>
      <c r="B246" s="38" t="s">
        <v>122</v>
      </c>
      <c r="C246" s="38" t="s">
        <v>6</v>
      </c>
      <c r="D246" s="38" t="s">
        <v>356</v>
      </c>
      <c r="E246" s="38" t="s">
        <v>81</v>
      </c>
      <c r="F246" s="38" t="s">
        <v>90</v>
      </c>
      <c r="G246" s="38" t="s">
        <v>138</v>
      </c>
      <c r="H246" s="9" t="s">
        <v>167</v>
      </c>
      <c r="I246" s="38" t="s">
        <v>58</v>
      </c>
      <c r="J246" s="38">
        <v>0</v>
      </c>
      <c r="K246">
        <v>0</v>
      </c>
      <c r="L246">
        <v>0</v>
      </c>
      <c r="M246">
        <v>0</v>
      </c>
      <c r="N246" s="38">
        <v>20.9</v>
      </c>
      <c r="O246" s="38"/>
      <c r="P246" s="38" t="s">
        <v>148</v>
      </c>
      <c r="Q246" s="38"/>
    </row>
    <row r="247" spans="1:17" x14ac:dyDescent="0.25">
      <c r="A247" s="39">
        <v>45416</v>
      </c>
      <c r="B247" s="38" t="s">
        <v>120</v>
      </c>
      <c r="C247" s="38" t="s">
        <v>6</v>
      </c>
      <c r="D247" s="38" t="s">
        <v>333</v>
      </c>
      <c r="E247" s="38" t="s">
        <v>375</v>
      </c>
      <c r="F247" s="38" t="s">
        <v>285</v>
      </c>
      <c r="G247" s="38" t="s">
        <v>138</v>
      </c>
      <c r="H247" s="9" t="s">
        <v>121</v>
      </c>
      <c r="I247" s="38" t="s">
        <v>58</v>
      </c>
      <c r="J247" s="38">
        <v>0</v>
      </c>
      <c r="K247">
        <v>0</v>
      </c>
      <c r="L247">
        <v>0</v>
      </c>
      <c r="M247">
        <v>0</v>
      </c>
      <c r="N247" s="38">
        <v>41.69</v>
      </c>
      <c r="O247" s="38"/>
      <c r="P247" s="38" t="s">
        <v>151</v>
      </c>
      <c r="Q247" s="38"/>
    </row>
    <row r="248" spans="1:17" x14ac:dyDescent="0.25">
      <c r="A248" s="39">
        <v>45416</v>
      </c>
      <c r="B248" s="38" t="s">
        <v>119</v>
      </c>
      <c r="C248" s="38" t="s">
        <v>6</v>
      </c>
      <c r="D248" s="38" t="s">
        <v>178</v>
      </c>
      <c r="E248" s="38" t="s">
        <v>399</v>
      </c>
      <c r="F248" s="38" t="s">
        <v>192</v>
      </c>
      <c r="G248" s="38" t="s">
        <v>138</v>
      </c>
      <c r="H248" s="9" t="s">
        <v>168</v>
      </c>
      <c r="I248" s="38" t="s">
        <v>58</v>
      </c>
      <c r="J248" s="38">
        <v>0</v>
      </c>
      <c r="K248">
        <v>0</v>
      </c>
      <c r="L248">
        <v>0</v>
      </c>
      <c r="M248">
        <v>0</v>
      </c>
      <c r="N248" s="38">
        <v>41.62</v>
      </c>
      <c r="O248" s="38"/>
      <c r="P248" s="38" t="s">
        <v>149</v>
      </c>
      <c r="Q248" s="38"/>
    </row>
    <row r="249" spans="1:17" x14ac:dyDescent="0.25">
      <c r="A249" s="39">
        <v>45416</v>
      </c>
      <c r="B249" s="38" t="s">
        <v>117</v>
      </c>
      <c r="C249" s="38" t="s">
        <v>6</v>
      </c>
      <c r="D249" s="38" t="s">
        <v>349</v>
      </c>
      <c r="E249" s="38" t="s">
        <v>398</v>
      </c>
      <c r="F249" s="38" t="s">
        <v>90</v>
      </c>
      <c r="G249" s="38" t="s">
        <v>138</v>
      </c>
      <c r="H249" s="9" t="s">
        <v>118</v>
      </c>
      <c r="I249" s="38" t="s">
        <v>58</v>
      </c>
      <c r="J249" s="38">
        <v>0</v>
      </c>
      <c r="K249">
        <v>0</v>
      </c>
      <c r="L249">
        <v>0</v>
      </c>
      <c r="M249">
        <v>0</v>
      </c>
      <c r="N249" s="38">
        <v>34.69</v>
      </c>
      <c r="O249" s="38"/>
      <c r="P249" s="38" t="s">
        <v>151</v>
      </c>
      <c r="Q249" s="38"/>
    </row>
    <row r="250" spans="1:17" x14ac:dyDescent="0.25">
      <c r="A250" s="39">
        <v>45416</v>
      </c>
      <c r="B250" s="38" t="s">
        <v>39</v>
      </c>
      <c r="C250" s="38" t="s">
        <v>6</v>
      </c>
      <c r="D250" s="38" t="s">
        <v>177</v>
      </c>
      <c r="E250" s="38" t="s">
        <v>377</v>
      </c>
      <c r="F250" s="38" t="s">
        <v>90</v>
      </c>
      <c r="G250" s="38" t="s">
        <v>138</v>
      </c>
      <c r="H250" s="9" t="s">
        <v>116</v>
      </c>
      <c r="I250" s="38" t="s">
        <v>58</v>
      </c>
      <c r="J250" s="38">
        <v>0</v>
      </c>
      <c r="K250">
        <v>0</v>
      </c>
      <c r="L250">
        <v>0</v>
      </c>
      <c r="M250">
        <v>0</v>
      </c>
      <c r="N250" s="38">
        <v>41.24</v>
      </c>
      <c r="O250" s="38"/>
      <c r="P250" s="38" t="s">
        <v>151</v>
      </c>
      <c r="Q250" s="38"/>
    </row>
    <row r="251" spans="1:17" x14ac:dyDescent="0.25">
      <c r="A251" s="39">
        <v>45416</v>
      </c>
      <c r="B251" s="38" t="s">
        <v>113</v>
      </c>
      <c r="C251" s="38" t="s">
        <v>6</v>
      </c>
      <c r="D251" s="38" t="s">
        <v>188</v>
      </c>
      <c r="E251" s="38" t="s">
        <v>126</v>
      </c>
      <c r="F251" s="38" t="s">
        <v>199</v>
      </c>
      <c r="G251" s="38" t="s">
        <v>138</v>
      </c>
      <c r="H251" s="9" t="s">
        <v>114</v>
      </c>
      <c r="I251" s="38" t="s">
        <v>58</v>
      </c>
      <c r="J251" s="38">
        <v>0</v>
      </c>
      <c r="K251">
        <v>0</v>
      </c>
      <c r="L251">
        <v>0</v>
      </c>
      <c r="M251">
        <v>0</v>
      </c>
      <c r="N251" s="38">
        <v>41.35</v>
      </c>
      <c r="O251" s="38"/>
      <c r="P251" s="38" t="s">
        <v>149</v>
      </c>
      <c r="Q251" s="38"/>
    </row>
    <row r="252" spans="1:17" x14ac:dyDescent="0.25">
      <c r="A252" s="39">
        <v>45416</v>
      </c>
      <c r="B252" s="38" t="s">
        <v>111</v>
      </c>
      <c r="C252" s="38" t="s">
        <v>6</v>
      </c>
      <c r="D252" s="38" t="s">
        <v>189</v>
      </c>
      <c r="E252" s="38" t="s">
        <v>81</v>
      </c>
      <c r="F252" s="38" t="s">
        <v>285</v>
      </c>
      <c r="G252" s="38" t="s">
        <v>138</v>
      </c>
      <c r="H252" s="9" t="s">
        <v>112</v>
      </c>
      <c r="I252" s="38" t="s">
        <v>58</v>
      </c>
      <c r="J252" s="38">
        <v>0</v>
      </c>
      <c r="K252">
        <v>0</v>
      </c>
      <c r="L252">
        <v>0</v>
      </c>
      <c r="M252">
        <v>0</v>
      </c>
      <c r="N252" s="38">
        <v>20.48</v>
      </c>
      <c r="O252" s="38"/>
      <c r="P252" s="38" t="s">
        <v>153</v>
      </c>
      <c r="Q252" s="38"/>
    </row>
    <row r="253" spans="1:17" x14ac:dyDescent="0.25">
      <c r="A253" s="39">
        <v>45416</v>
      </c>
      <c r="B253" s="38" t="s">
        <v>109</v>
      </c>
      <c r="C253" s="38" t="s">
        <v>6</v>
      </c>
      <c r="D253" s="38" t="s">
        <v>142</v>
      </c>
      <c r="E253" s="38" t="s">
        <v>56</v>
      </c>
      <c r="F253" s="38" t="s">
        <v>199</v>
      </c>
      <c r="G253" s="38" t="s">
        <v>138</v>
      </c>
      <c r="H253" s="9" t="s">
        <v>110</v>
      </c>
      <c r="I253" s="38" t="s">
        <v>58</v>
      </c>
      <c r="J253" s="38">
        <v>0</v>
      </c>
      <c r="K253">
        <v>0</v>
      </c>
      <c r="L253">
        <v>0</v>
      </c>
      <c r="M253">
        <v>0</v>
      </c>
      <c r="N253" s="38">
        <v>41.05</v>
      </c>
      <c r="O253" s="38"/>
      <c r="P253" s="38" t="s">
        <v>149</v>
      </c>
      <c r="Q253" s="38"/>
    </row>
    <row r="254" spans="1:17" x14ac:dyDescent="0.25">
      <c r="A254" s="39">
        <v>45416</v>
      </c>
      <c r="B254" s="38" t="s">
        <v>107</v>
      </c>
      <c r="C254" s="38" t="s">
        <v>6</v>
      </c>
      <c r="D254" s="38" t="s">
        <v>401</v>
      </c>
      <c r="E254" s="38" t="s">
        <v>56</v>
      </c>
      <c r="F254" s="38" t="s">
        <v>93</v>
      </c>
      <c r="G254" s="38" t="s">
        <v>138</v>
      </c>
      <c r="H254" s="9" t="s">
        <v>108</v>
      </c>
      <c r="I254" s="38" t="s">
        <v>58</v>
      </c>
      <c r="J254" s="38">
        <v>0</v>
      </c>
      <c r="K254">
        <v>0</v>
      </c>
      <c r="L254">
        <v>0</v>
      </c>
      <c r="M254">
        <v>0</v>
      </c>
      <c r="N254" s="38">
        <v>12.09</v>
      </c>
      <c r="O254" s="38"/>
      <c r="P254" s="38" t="s">
        <v>403</v>
      </c>
      <c r="Q254" s="38"/>
    </row>
    <row r="255" spans="1:17" x14ac:dyDescent="0.25">
      <c r="A255" s="39">
        <v>45416</v>
      </c>
      <c r="B255" s="38" t="s">
        <v>41</v>
      </c>
      <c r="C255" s="38" t="s">
        <v>6</v>
      </c>
      <c r="D255" s="38" t="s">
        <v>123</v>
      </c>
      <c r="E255" s="38" t="s">
        <v>81</v>
      </c>
      <c r="F255" s="38" t="s">
        <v>285</v>
      </c>
      <c r="G255" s="38" t="s">
        <v>138</v>
      </c>
      <c r="H255" s="9" t="s">
        <v>106</v>
      </c>
      <c r="I255" s="38" t="s">
        <v>58</v>
      </c>
      <c r="J255" s="38">
        <v>0</v>
      </c>
      <c r="K255">
        <v>0</v>
      </c>
      <c r="L255">
        <v>0</v>
      </c>
      <c r="M255">
        <v>0</v>
      </c>
      <c r="N255" s="38">
        <v>17.88</v>
      </c>
      <c r="O255" s="38"/>
      <c r="P255" s="38" t="s">
        <v>152</v>
      </c>
      <c r="Q255" s="38"/>
    </row>
    <row r="256" spans="1:17" x14ac:dyDescent="0.25">
      <c r="A256" s="39">
        <v>45416</v>
      </c>
      <c r="B256" s="38" t="s">
        <v>43</v>
      </c>
      <c r="C256" s="38" t="s">
        <v>6</v>
      </c>
      <c r="D256" s="38" t="s">
        <v>282</v>
      </c>
      <c r="E256" s="38" t="s">
        <v>275</v>
      </c>
      <c r="F256" s="38" t="s">
        <v>276</v>
      </c>
      <c r="G256" s="38" t="s">
        <v>138</v>
      </c>
      <c r="H256" s="9" t="s">
        <v>208</v>
      </c>
      <c r="I256" s="38" t="s">
        <v>58</v>
      </c>
      <c r="J256" s="38">
        <v>0</v>
      </c>
      <c r="K256">
        <v>0</v>
      </c>
      <c r="L256">
        <v>0</v>
      </c>
      <c r="M256">
        <v>0</v>
      </c>
      <c r="N256" s="38">
        <v>17.25</v>
      </c>
      <c r="O256" s="38"/>
      <c r="P256" s="38" t="s">
        <v>154</v>
      </c>
      <c r="Q256" s="38"/>
    </row>
    <row r="257" spans="1:17" x14ac:dyDescent="0.25">
      <c r="A257" s="39">
        <v>45416</v>
      </c>
      <c r="B257" s="38" t="s">
        <v>5</v>
      </c>
      <c r="C257" s="38" t="s">
        <v>6</v>
      </c>
      <c r="D257" s="38" t="s">
        <v>283</v>
      </c>
      <c r="E257" s="38" t="s">
        <v>60</v>
      </c>
      <c r="F257" s="38" t="s">
        <v>285</v>
      </c>
      <c r="G257" s="38" t="s">
        <v>138</v>
      </c>
      <c r="H257" s="9" t="s">
        <v>209</v>
      </c>
      <c r="I257" s="38" t="s">
        <v>58</v>
      </c>
      <c r="J257" s="38">
        <v>0</v>
      </c>
      <c r="K257">
        <v>0</v>
      </c>
      <c r="L257">
        <v>0</v>
      </c>
      <c r="M257">
        <v>0</v>
      </c>
      <c r="N257" s="38">
        <v>16.46</v>
      </c>
      <c r="O257" s="38"/>
      <c r="P257" s="38" t="s">
        <v>153</v>
      </c>
      <c r="Q257" s="38"/>
    </row>
    <row r="258" spans="1:17" x14ac:dyDescent="0.25">
      <c r="A258" s="39">
        <v>45416</v>
      </c>
      <c r="B258" s="38" t="s">
        <v>9</v>
      </c>
      <c r="C258" s="38" t="s">
        <v>6</v>
      </c>
      <c r="D258" s="38" t="s">
        <v>189</v>
      </c>
      <c r="E258" s="38" t="s">
        <v>360</v>
      </c>
      <c r="F258" s="38" t="s">
        <v>276</v>
      </c>
      <c r="G258" s="38" t="s">
        <v>138</v>
      </c>
      <c r="H258" s="9" t="s">
        <v>210</v>
      </c>
      <c r="I258" s="38" t="s">
        <v>58</v>
      </c>
      <c r="J258" s="38">
        <v>0</v>
      </c>
      <c r="K258">
        <v>0</v>
      </c>
      <c r="L258">
        <v>0</v>
      </c>
      <c r="M258">
        <v>0</v>
      </c>
      <c r="N258" s="38">
        <v>23.18</v>
      </c>
      <c r="O258" s="38"/>
      <c r="P258" s="38" t="s">
        <v>153</v>
      </c>
      <c r="Q258" s="38"/>
    </row>
    <row r="259" spans="1:17" x14ac:dyDescent="0.25">
      <c r="A259" s="39">
        <v>45416</v>
      </c>
      <c r="B259" s="38" t="s">
        <v>10</v>
      </c>
      <c r="C259" s="38" t="s">
        <v>6</v>
      </c>
      <c r="D259" s="38" t="s">
        <v>263</v>
      </c>
      <c r="E259" s="38" t="s">
        <v>342</v>
      </c>
      <c r="F259" s="38" t="s">
        <v>90</v>
      </c>
      <c r="G259" s="38" t="s">
        <v>138</v>
      </c>
      <c r="H259" s="9" t="s">
        <v>211</v>
      </c>
      <c r="I259" s="38" t="s">
        <v>58</v>
      </c>
      <c r="J259" s="38">
        <v>0</v>
      </c>
      <c r="K259">
        <v>0</v>
      </c>
      <c r="L259">
        <v>0</v>
      </c>
      <c r="M259">
        <v>0</v>
      </c>
      <c r="N259" s="38">
        <v>74.34</v>
      </c>
      <c r="O259" s="38"/>
      <c r="P259" s="38" t="s">
        <v>151</v>
      </c>
      <c r="Q259" s="38"/>
    </row>
    <row r="260" spans="1:17" x14ac:dyDescent="0.25">
      <c r="A260" s="39">
        <v>45416</v>
      </c>
      <c r="B260" s="38" t="s">
        <v>11</v>
      </c>
      <c r="C260" s="38" t="s">
        <v>6</v>
      </c>
      <c r="D260" s="38" t="s">
        <v>205</v>
      </c>
      <c r="E260" s="38" t="s">
        <v>60</v>
      </c>
      <c r="F260" s="38" t="s">
        <v>93</v>
      </c>
      <c r="G260" s="38" t="s">
        <v>138</v>
      </c>
      <c r="H260" s="9" t="s">
        <v>212</v>
      </c>
      <c r="I260" s="38" t="s">
        <v>58</v>
      </c>
      <c r="J260" s="38">
        <v>0</v>
      </c>
      <c r="K260">
        <v>0</v>
      </c>
      <c r="L260">
        <v>0</v>
      </c>
      <c r="M260">
        <v>0</v>
      </c>
      <c r="N260" s="38">
        <v>11.39</v>
      </c>
      <c r="O260" s="38"/>
      <c r="P260" s="38" t="s">
        <v>147</v>
      </c>
      <c r="Q260" s="38"/>
    </row>
    <row r="261" spans="1:17" x14ac:dyDescent="0.25">
      <c r="A261" s="39">
        <v>45416</v>
      </c>
      <c r="B261" s="38" t="s">
        <v>12</v>
      </c>
      <c r="C261" s="38" t="s">
        <v>6</v>
      </c>
      <c r="D261" s="38" t="s">
        <v>286</v>
      </c>
      <c r="E261" s="38" t="s">
        <v>60</v>
      </c>
      <c r="F261" s="38" t="s">
        <v>285</v>
      </c>
      <c r="G261" s="38" t="s">
        <v>138</v>
      </c>
      <c r="H261" s="9" t="s">
        <v>213</v>
      </c>
      <c r="I261" s="38" t="s">
        <v>58</v>
      </c>
      <c r="J261" s="38">
        <v>0</v>
      </c>
      <c r="K261">
        <v>0</v>
      </c>
      <c r="L261">
        <v>0</v>
      </c>
      <c r="M261">
        <v>0</v>
      </c>
      <c r="N261" s="38">
        <v>11.98</v>
      </c>
      <c r="O261" s="38"/>
      <c r="P261" s="38" t="s">
        <v>154</v>
      </c>
      <c r="Q261" s="38"/>
    </row>
    <row r="262" spans="1:17" x14ac:dyDescent="0.25">
      <c r="A262" s="39">
        <v>45416</v>
      </c>
      <c r="B262" s="38" t="s">
        <v>105</v>
      </c>
      <c r="C262" s="38" t="s">
        <v>6</v>
      </c>
      <c r="D262" s="38" t="s">
        <v>267</v>
      </c>
      <c r="E262" s="38" t="s">
        <v>60</v>
      </c>
      <c r="F262" s="38" t="s">
        <v>93</v>
      </c>
      <c r="G262" s="38" t="s">
        <v>138</v>
      </c>
      <c r="H262" s="9" t="s">
        <v>214</v>
      </c>
      <c r="I262" s="38" t="s">
        <v>58</v>
      </c>
      <c r="J262" s="38">
        <v>0</v>
      </c>
      <c r="K262">
        <v>0</v>
      </c>
      <c r="L262">
        <v>0</v>
      </c>
      <c r="M262">
        <v>0</v>
      </c>
      <c r="N262" s="38">
        <v>12.39</v>
      </c>
      <c r="O262" s="38"/>
      <c r="P262" s="38" t="s">
        <v>147</v>
      </c>
      <c r="Q262" s="38"/>
    </row>
    <row r="263" spans="1:17" x14ac:dyDescent="0.25">
      <c r="A263" s="39">
        <v>45416</v>
      </c>
      <c r="B263" s="38" t="s">
        <v>104</v>
      </c>
      <c r="C263" s="38" t="s">
        <v>6</v>
      </c>
      <c r="D263" s="38" t="s">
        <v>143</v>
      </c>
      <c r="E263" s="38" t="s">
        <v>60</v>
      </c>
      <c r="F263" s="38" t="s">
        <v>285</v>
      </c>
      <c r="G263" s="38" t="s">
        <v>138</v>
      </c>
      <c r="H263" s="9" t="s">
        <v>215</v>
      </c>
      <c r="I263" s="38" t="s">
        <v>58</v>
      </c>
      <c r="J263" s="38">
        <v>0</v>
      </c>
      <c r="K263">
        <v>0</v>
      </c>
      <c r="L263">
        <v>0</v>
      </c>
      <c r="M263">
        <v>0</v>
      </c>
      <c r="N263" s="38">
        <v>13.96</v>
      </c>
      <c r="O263" s="38"/>
      <c r="P263" s="38" t="s">
        <v>154</v>
      </c>
      <c r="Q263" s="38"/>
    </row>
    <row r="264" spans="1:17" x14ac:dyDescent="0.25">
      <c r="A264" s="39">
        <v>45416</v>
      </c>
      <c r="B264" s="38" t="s">
        <v>13</v>
      </c>
      <c r="C264" s="38" t="s">
        <v>6</v>
      </c>
      <c r="D264" s="38" t="s">
        <v>350</v>
      </c>
      <c r="E264" s="38" t="s">
        <v>60</v>
      </c>
      <c r="F264" s="38" t="s">
        <v>93</v>
      </c>
      <c r="G264" s="38" t="s">
        <v>138</v>
      </c>
      <c r="H264" s="9" t="s">
        <v>216</v>
      </c>
      <c r="I264" s="38" t="s">
        <v>58</v>
      </c>
      <c r="J264" s="38">
        <v>0</v>
      </c>
      <c r="K264">
        <v>0</v>
      </c>
      <c r="L264">
        <v>0</v>
      </c>
      <c r="M264">
        <v>0</v>
      </c>
      <c r="N264" s="38">
        <v>12.4</v>
      </c>
      <c r="O264" s="38"/>
      <c r="P264" s="38" t="s">
        <v>147</v>
      </c>
      <c r="Q264" s="38"/>
    </row>
    <row r="265" spans="1:17" x14ac:dyDescent="0.25">
      <c r="A265" s="39">
        <v>45416</v>
      </c>
      <c r="B265" s="38" t="s">
        <v>103</v>
      </c>
      <c r="C265" s="38" t="s">
        <v>6</v>
      </c>
      <c r="D265" s="38" t="s">
        <v>179</v>
      </c>
      <c r="E265" s="38" t="s">
        <v>81</v>
      </c>
      <c r="F265" s="38" t="s">
        <v>90</v>
      </c>
      <c r="G265" s="38" t="s">
        <v>138</v>
      </c>
      <c r="H265" s="9" t="s">
        <v>217</v>
      </c>
      <c r="I265" s="38" t="s">
        <v>65</v>
      </c>
      <c r="J265" s="38">
        <v>0</v>
      </c>
      <c r="K265">
        <v>0</v>
      </c>
      <c r="L265">
        <v>0</v>
      </c>
      <c r="M265">
        <v>0</v>
      </c>
      <c r="N265" s="38">
        <v>41.9</v>
      </c>
      <c r="O265" s="38"/>
      <c r="P265" s="38" t="s">
        <v>187</v>
      </c>
      <c r="Q265" s="38"/>
    </row>
    <row r="266" spans="1:17" x14ac:dyDescent="0.25">
      <c r="A266" s="39">
        <v>45416</v>
      </c>
      <c r="B266" s="38" t="s">
        <v>101</v>
      </c>
      <c r="C266" s="38" t="s">
        <v>6</v>
      </c>
      <c r="D266" s="38" t="s">
        <v>405</v>
      </c>
      <c r="E266" s="38" t="s">
        <v>81</v>
      </c>
      <c r="F266" s="38" t="s">
        <v>285</v>
      </c>
      <c r="G266" s="38" t="s">
        <v>138</v>
      </c>
      <c r="H266" s="9" t="s">
        <v>102</v>
      </c>
      <c r="I266" s="38" t="s">
        <v>58</v>
      </c>
      <c r="J266" s="38">
        <v>0</v>
      </c>
      <c r="K266">
        <v>0</v>
      </c>
      <c r="L266">
        <v>0</v>
      </c>
      <c r="M266">
        <v>0</v>
      </c>
      <c r="N266" s="38">
        <v>19.600000000000001</v>
      </c>
      <c r="O266" s="38"/>
      <c r="P266" s="38" t="s">
        <v>151</v>
      </c>
      <c r="Q266" s="38"/>
    </row>
    <row r="267" spans="1:17" x14ac:dyDescent="0.25">
      <c r="A267" s="39">
        <v>45416</v>
      </c>
      <c r="B267" s="38" t="s">
        <v>99</v>
      </c>
      <c r="C267" s="38" t="s">
        <v>6</v>
      </c>
      <c r="D267" s="38" t="s">
        <v>249</v>
      </c>
      <c r="E267" s="38" t="s">
        <v>81</v>
      </c>
      <c r="F267" s="38" t="s">
        <v>90</v>
      </c>
      <c r="G267" s="38" t="s">
        <v>138</v>
      </c>
      <c r="H267" s="9" t="s">
        <v>100</v>
      </c>
      <c r="I267" s="38"/>
      <c r="J267" s="38">
        <v>0</v>
      </c>
      <c r="K267">
        <v>0</v>
      </c>
      <c r="L267">
        <v>0</v>
      </c>
      <c r="M267">
        <v>0</v>
      </c>
      <c r="N267" s="38">
        <v>41.83</v>
      </c>
      <c r="O267" s="38"/>
      <c r="P267" s="38" t="s">
        <v>152</v>
      </c>
      <c r="Q267" s="38"/>
    </row>
    <row r="268" spans="1:17" x14ac:dyDescent="0.25">
      <c r="A268" s="39">
        <v>45416</v>
      </c>
      <c r="B268" s="38" t="s">
        <v>97</v>
      </c>
      <c r="C268" s="38" t="s">
        <v>6</v>
      </c>
      <c r="D268" s="38" t="s">
        <v>288</v>
      </c>
      <c r="E268" s="38" t="s">
        <v>352</v>
      </c>
      <c r="F268" s="38" t="s">
        <v>285</v>
      </c>
      <c r="G268" s="38" t="s">
        <v>138</v>
      </c>
      <c r="H268" s="9" t="s">
        <v>98</v>
      </c>
      <c r="I268" s="38" t="s">
        <v>58</v>
      </c>
      <c r="J268" s="38">
        <v>0</v>
      </c>
      <c r="K268">
        <v>0</v>
      </c>
      <c r="L268">
        <v>0</v>
      </c>
      <c r="M268">
        <v>0</v>
      </c>
      <c r="N268" s="38">
        <v>22.49</v>
      </c>
      <c r="O268" s="38"/>
      <c r="P268" s="38" t="s">
        <v>148</v>
      </c>
      <c r="Q268" s="38"/>
    </row>
    <row r="269" spans="1:17" x14ac:dyDescent="0.25">
      <c r="A269" s="39">
        <v>45416</v>
      </c>
      <c r="B269" s="38" t="s">
        <v>95</v>
      </c>
      <c r="C269" s="38" t="s">
        <v>6</v>
      </c>
      <c r="D269" s="38" t="s">
        <v>181</v>
      </c>
      <c r="E269" s="38" t="s">
        <v>81</v>
      </c>
      <c r="F269" s="38" t="s">
        <v>90</v>
      </c>
      <c r="G269" s="38" t="s">
        <v>138</v>
      </c>
      <c r="H269" s="9" t="s">
        <v>96</v>
      </c>
      <c r="I269" s="38" t="s">
        <v>65</v>
      </c>
      <c r="J269" s="38">
        <v>0</v>
      </c>
      <c r="K269">
        <v>0</v>
      </c>
      <c r="L269">
        <v>0</v>
      </c>
      <c r="M269">
        <v>0</v>
      </c>
      <c r="N269" s="38">
        <v>20.38</v>
      </c>
      <c r="O269" s="38"/>
      <c r="P269" s="38" t="s">
        <v>152</v>
      </c>
      <c r="Q269" s="38"/>
    </row>
    <row r="270" spans="1:17" x14ac:dyDescent="0.25">
      <c r="A270" s="39">
        <v>45416</v>
      </c>
      <c r="B270" s="38" t="s">
        <v>14</v>
      </c>
      <c r="C270" s="38" t="s">
        <v>6</v>
      </c>
      <c r="D270" s="38" t="s">
        <v>289</v>
      </c>
      <c r="E270" s="38" t="s">
        <v>352</v>
      </c>
      <c r="F270" s="38" t="s">
        <v>285</v>
      </c>
      <c r="G270" s="38" t="s">
        <v>138</v>
      </c>
      <c r="H270" s="9" t="s">
        <v>94</v>
      </c>
      <c r="I270" s="38" t="s">
        <v>58</v>
      </c>
      <c r="J270" s="38">
        <v>0</v>
      </c>
      <c r="K270">
        <v>0</v>
      </c>
      <c r="L270">
        <v>0</v>
      </c>
      <c r="M270">
        <v>0</v>
      </c>
      <c r="N270" s="38">
        <v>25.88</v>
      </c>
      <c r="O270" s="38"/>
      <c r="P270" s="38" t="s">
        <v>151</v>
      </c>
      <c r="Q270" s="38"/>
    </row>
    <row r="271" spans="1:17" x14ac:dyDescent="0.25">
      <c r="A271" s="39">
        <v>45416</v>
      </c>
      <c r="B271" s="38" t="s">
        <v>91</v>
      </c>
      <c r="C271" s="38" t="s">
        <v>6</v>
      </c>
      <c r="D271" s="38" t="s">
        <v>180</v>
      </c>
      <c r="E271" s="38" t="s">
        <v>81</v>
      </c>
      <c r="F271" s="38" t="s">
        <v>90</v>
      </c>
      <c r="G271" s="38" t="s">
        <v>138</v>
      </c>
      <c r="H271" s="9" t="s">
        <v>92</v>
      </c>
      <c r="I271" s="38"/>
      <c r="J271" s="38">
        <v>0</v>
      </c>
      <c r="K271">
        <v>0</v>
      </c>
      <c r="L271">
        <v>0</v>
      </c>
      <c r="M271">
        <v>0</v>
      </c>
      <c r="N271" s="38">
        <v>16.73</v>
      </c>
      <c r="O271" s="38"/>
      <c r="P271" s="38" t="s">
        <v>148</v>
      </c>
      <c r="Q271" s="38"/>
    </row>
    <row r="272" spans="1:17" x14ac:dyDescent="0.25">
      <c r="A272" s="39">
        <v>45416</v>
      </c>
      <c r="B272" s="38" t="s">
        <v>15</v>
      </c>
      <c r="C272" s="38" t="s">
        <v>6</v>
      </c>
      <c r="D272" s="38" t="s">
        <v>140</v>
      </c>
      <c r="E272" s="38" t="s">
        <v>81</v>
      </c>
      <c r="F272" s="38" t="s">
        <v>285</v>
      </c>
      <c r="G272" s="38" t="s">
        <v>138</v>
      </c>
      <c r="H272" s="9" t="s">
        <v>218</v>
      </c>
      <c r="I272" s="38" t="s">
        <v>58</v>
      </c>
      <c r="J272" s="38">
        <v>0</v>
      </c>
      <c r="K272">
        <v>0</v>
      </c>
      <c r="L272">
        <v>0</v>
      </c>
      <c r="M272">
        <v>0</v>
      </c>
      <c r="N272" s="38">
        <v>20.190000000000001</v>
      </c>
      <c r="O272" s="38"/>
      <c r="P272" s="38" t="s">
        <v>148</v>
      </c>
      <c r="Q272" s="38"/>
    </row>
    <row r="273" spans="1:17" x14ac:dyDescent="0.25">
      <c r="A273" s="39">
        <v>45416</v>
      </c>
      <c r="B273" s="38" t="s">
        <v>89</v>
      </c>
      <c r="C273" s="38" t="s">
        <v>6</v>
      </c>
      <c r="D273" s="38" t="s">
        <v>176</v>
      </c>
      <c r="E273" s="38" t="s">
        <v>398</v>
      </c>
      <c r="F273" s="38" t="s">
        <v>90</v>
      </c>
      <c r="G273" s="38" t="s">
        <v>138</v>
      </c>
      <c r="H273" s="9" t="s">
        <v>219</v>
      </c>
      <c r="I273" s="38" t="s">
        <v>65</v>
      </c>
      <c r="J273" s="38">
        <v>0</v>
      </c>
      <c r="K273">
        <v>0</v>
      </c>
      <c r="L273">
        <v>0</v>
      </c>
      <c r="M273">
        <v>0</v>
      </c>
      <c r="N273" s="38">
        <v>17.670000000000002</v>
      </c>
      <c r="O273" s="38"/>
      <c r="P273" s="38" t="s">
        <v>186</v>
      </c>
      <c r="Q273" s="38"/>
    </row>
    <row r="274" spans="1:17" x14ac:dyDescent="0.25">
      <c r="A274" s="39">
        <v>45416</v>
      </c>
      <c r="B274" s="38" t="s">
        <v>16</v>
      </c>
      <c r="C274" s="38" t="s">
        <v>6</v>
      </c>
      <c r="D274" s="38" t="s">
        <v>407</v>
      </c>
      <c r="E274" s="38" t="s">
        <v>360</v>
      </c>
      <c r="F274" s="38" t="s">
        <v>253</v>
      </c>
      <c r="G274" s="38" t="s">
        <v>138</v>
      </c>
      <c r="H274" s="9" t="s">
        <v>220</v>
      </c>
      <c r="I274" s="38" t="s">
        <v>58</v>
      </c>
      <c r="J274" s="38">
        <v>0</v>
      </c>
      <c r="K274">
        <v>0</v>
      </c>
      <c r="L274">
        <v>0</v>
      </c>
      <c r="M274">
        <v>0</v>
      </c>
      <c r="N274" s="38">
        <v>21.19</v>
      </c>
      <c r="O274" s="38"/>
      <c r="P274" s="38" t="s">
        <v>151</v>
      </c>
      <c r="Q274" s="38"/>
    </row>
    <row r="275" spans="1:17" x14ac:dyDescent="0.25">
      <c r="A275" s="39">
        <v>45416</v>
      </c>
      <c r="B275" s="38" t="s">
        <v>88</v>
      </c>
      <c r="C275" s="38" t="s">
        <v>6</v>
      </c>
      <c r="D275" s="38" t="s">
        <v>311</v>
      </c>
      <c r="E275" s="38" t="s">
        <v>60</v>
      </c>
      <c r="F275" s="38" t="s">
        <v>253</v>
      </c>
      <c r="G275" s="38" t="s">
        <v>138</v>
      </c>
      <c r="H275" s="9" t="s">
        <v>221</v>
      </c>
      <c r="I275" s="38"/>
      <c r="J275" s="38">
        <v>0</v>
      </c>
      <c r="K275">
        <v>0</v>
      </c>
      <c r="L275">
        <v>0</v>
      </c>
      <c r="M275">
        <v>0</v>
      </c>
      <c r="N275" s="38">
        <v>38.44</v>
      </c>
      <c r="O275" s="38"/>
      <c r="P275" s="38" t="s">
        <v>154</v>
      </c>
      <c r="Q275" s="38"/>
    </row>
    <row r="276" spans="1:17" x14ac:dyDescent="0.25">
      <c r="A276" s="39">
        <v>45416</v>
      </c>
      <c r="B276" s="38" t="s">
        <v>17</v>
      </c>
      <c r="C276" s="38" t="s">
        <v>6</v>
      </c>
      <c r="D276" s="38" t="s">
        <v>272</v>
      </c>
      <c r="E276" s="38" t="s">
        <v>275</v>
      </c>
      <c r="F276" s="38" t="s">
        <v>276</v>
      </c>
      <c r="G276" s="38" t="s">
        <v>138</v>
      </c>
      <c r="H276" s="9" t="s">
        <v>222</v>
      </c>
      <c r="I276" s="38" t="s">
        <v>58</v>
      </c>
      <c r="J276" s="38">
        <v>0</v>
      </c>
      <c r="K276">
        <v>0</v>
      </c>
      <c r="L276">
        <v>0</v>
      </c>
      <c r="M276">
        <v>0</v>
      </c>
      <c r="N276" s="38">
        <v>20.56</v>
      </c>
      <c r="O276" s="38"/>
      <c r="P276" s="38" t="s">
        <v>151</v>
      </c>
      <c r="Q276" s="38"/>
    </row>
    <row r="277" spans="1:17" x14ac:dyDescent="0.25">
      <c r="A277" s="39">
        <v>45416</v>
      </c>
      <c r="B277" s="38" t="s">
        <v>19</v>
      </c>
      <c r="C277" s="38" t="s">
        <v>6</v>
      </c>
      <c r="D277" s="38" t="s">
        <v>343</v>
      </c>
      <c r="E277" s="38" t="s">
        <v>81</v>
      </c>
      <c r="F277" s="38" t="s">
        <v>253</v>
      </c>
      <c r="G277" s="38" t="s">
        <v>138</v>
      </c>
      <c r="H277" s="9" t="s">
        <v>223</v>
      </c>
      <c r="I277" s="38" t="s">
        <v>65</v>
      </c>
      <c r="J277" s="38">
        <v>0</v>
      </c>
      <c r="K277">
        <v>0</v>
      </c>
      <c r="L277">
        <v>0</v>
      </c>
      <c r="M277">
        <v>0</v>
      </c>
      <c r="N277" s="38">
        <v>41.06</v>
      </c>
      <c r="O277" s="38"/>
      <c r="P277" s="38" t="s">
        <v>151</v>
      </c>
      <c r="Q277" s="38"/>
    </row>
    <row r="278" spans="1:17" x14ac:dyDescent="0.25">
      <c r="A278" s="39">
        <v>45416</v>
      </c>
      <c r="B278" s="38" t="s">
        <v>18</v>
      </c>
      <c r="C278" s="38" t="s">
        <v>6</v>
      </c>
      <c r="D278" s="38" t="s">
        <v>268</v>
      </c>
      <c r="E278" s="38" t="s">
        <v>408</v>
      </c>
      <c r="F278" s="38" t="s">
        <v>253</v>
      </c>
      <c r="G278" s="38" t="s">
        <v>138</v>
      </c>
      <c r="H278" s="9" t="s">
        <v>224</v>
      </c>
      <c r="I278" s="38" t="s">
        <v>58</v>
      </c>
      <c r="J278" s="38">
        <v>0</v>
      </c>
      <c r="K278">
        <v>0</v>
      </c>
      <c r="L278">
        <v>0</v>
      </c>
      <c r="M278">
        <v>0</v>
      </c>
      <c r="N278" s="38">
        <v>18.89</v>
      </c>
      <c r="O278" s="38"/>
      <c r="P278" s="38" t="s">
        <v>148</v>
      </c>
      <c r="Q278" s="38"/>
    </row>
    <row r="279" spans="1:17" x14ac:dyDescent="0.25">
      <c r="A279" s="39">
        <v>45416</v>
      </c>
      <c r="B279" s="38" t="s">
        <v>87</v>
      </c>
      <c r="C279" s="38" t="s">
        <v>6</v>
      </c>
      <c r="D279" s="38"/>
      <c r="E279" s="38"/>
      <c r="F279" s="38"/>
      <c r="G279" s="38" t="s">
        <v>138</v>
      </c>
      <c r="H279" s="9" t="s">
        <v>225</v>
      </c>
      <c r="I279" s="38"/>
      <c r="J279" s="38">
        <v>0</v>
      </c>
      <c r="K279">
        <v>0</v>
      </c>
      <c r="L279">
        <v>0</v>
      </c>
      <c r="M279">
        <v>0</v>
      </c>
      <c r="N279" s="38">
        <v>41146219</v>
      </c>
      <c r="O279" s="38"/>
      <c r="P279" s="38"/>
      <c r="Q279" s="38"/>
    </row>
    <row r="280" spans="1:17" x14ac:dyDescent="0.25">
      <c r="A280" s="39">
        <v>45416</v>
      </c>
      <c r="B280" s="38" t="s">
        <v>42</v>
      </c>
      <c r="C280" s="38" t="s">
        <v>6</v>
      </c>
      <c r="D280" s="38" t="s">
        <v>246</v>
      </c>
      <c r="E280" s="38" t="s">
        <v>81</v>
      </c>
      <c r="F280" s="38" t="s">
        <v>285</v>
      </c>
      <c r="G280" s="38" t="s">
        <v>138</v>
      </c>
      <c r="H280" s="9" t="s">
        <v>226</v>
      </c>
      <c r="I280" s="38" t="s">
        <v>58</v>
      </c>
      <c r="J280" s="38">
        <v>0</v>
      </c>
      <c r="K280">
        <v>0</v>
      </c>
      <c r="L280">
        <v>0</v>
      </c>
      <c r="M280">
        <v>0</v>
      </c>
      <c r="N280" s="38">
        <v>20.7</v>
      </c>
      <c r="O280" s="38"/>
      <c r="P280" s="38" t="s">
        <v>148</v>
      </c>
      <c r="Q280" s="38"/>
    </row>
    <row r="281" spans="1:17" x14ac:dyDescent="0.25">
      <c r="A281" s="39">
        <v>45416</v>
      </c>
      <c r="B281" s="38" t="s">
        <v>86</v>
      </c>
      <c r="C281" s="38" t="s">
        <v>6</v>
      </c>
      <c r="D281" s="38" t="s">
        <v>271</v>
      </c>
      <c r="E281" s="38" t="s">
        <v>275</v>
      </c>
      <c r="F281" s="38" t="s">
        <v>276</v>
      </c>
      <c r="G281" s="38" t="s">
        <v>138</v>
      </c>
      <c r="H281" s="9" t="s">
        <v>227</v>
      </c>
      <c r="I281" s="38" t="s">
        <v>65</v>
      </c>
      <c r="J281" s="38">
        <v>0</v>
      </c>
      <c r="K281">
        <v>0</v>
      </c>
      <c r="L281">
        <v>0</v>
      </c>
      <c r="M281">
        <v>0</v>
      </c>
      <c r="N281" s="38">
        <v>41.64</v>
      </c>
      <c r="O281" s="38"/>
      <c r="P281" s="38" t="s">
        <v>152</v>
      </c>
      <c r="Q281" s="38"/>
    </row>
    <row r="282" spans="1:17" x14ac:dyDescent="0.25">
      <c r="A282" s="39">
        <v>45416</v>
      </c>
      <c r="B282" s="38" t="s">
        <v>38</v>
      </c>
      <c r="C282" s="38" t="s">
        <v>6</v>
      </c>
      <c r="D282" s="38" t="s">
        <v>141</v>
      </c>
      <c r="E282" s="38" t="s">
        <v>81</v>
      </c>
      <c r="F282" s="38" t="s">
        <v>285</v>
      </c>
      <c r="G282" s="38" t="s">
        <v>138</v>
      </c>
      <c r="H282" s="9" t="s">
        <v>85</v>
      </c>
      <c r="I282" s="38" t="s">
        <v>58</v>
      </c>
      <c r="J282" s="38">
        <v>0</v>
      </c>
      <c r="K282">
        <v>0</v>
      </c>
      <c r="L282">
        <v>0</v>
      </c>
      <c r="M282">
        <v>0</v>
      </c>
      <c r="N282" s="38">
        <v>37.5</v>
      </c>
      <c r="O282" s="38"/>
      <c r="P282" s="38" t="s">
        <v>151</v>
      </c>
      <c r="Q282" s="38"/>
    </row>
    <row r="283" spans="1:17" x14ac:dyDescent="0.25">
      <c r="A283" s="39">
        <v>45416</v>
      </c>
      <c r="B283" s="38" t="s">
        <v>83</v>
      </c>
      <c r="C283" s="38" t="s">
        <v>6</v>
      </c>
      <c r="D283" s="38"/>
      <c r="E283" s="38"/>
      <c r="F283" s="38"/>
      <c r="G283" s="38" t="s">
        <v>138</v>
      </c>
      <c r="H283" s="9" t="s">
        <v>84</v>
      </c>
      <c r="I283" s="38"/>
      <c r="J283" s="38">
        <v>0</v>
      </c>
      <c r="K283">
        <v>0</v>
      </c>
      <c r="L283">
        <v>0</v>
      </c>
      <c r="M283">
        <v>0</v>
      </c>
      <c r="N283" s="38">
        <v>41.36</v>
      </c>
      <c r="O283" s="38"/>
      <c r="P283" s="38"/>
      <c r="Q283" s="38"/>
    </row>
    <row r="284" spans="1:17" x14ac:dyDescent="0.25">
      <c r="A284" s="39">
        <v>45416</v>
      </c>
      <c r="B284" s="38" t="s">
        <v>20</v>
      </c>
      <c r="C284" s="38" t="s">
        <v>6</v>
      </c>
      <c r="D284" s="38" t="s">
        <v>351</v>
      </c>
      <c r="E284" s="38" t="s">
        <v>352</v>
      </c>
      <c r="F284" s="38" t="s">
        <v>285</v>
      </c>
      <c r="G284" s="38" t="s">
        <v>138</v>
      </c>
      <c r="H284" s="9" t="s">
        <v>82</v>
      </c>
      <c r="I284" s="38" t="s">
        <v>58</v>
      </c>
      <c r="J284" s="38">
        <v>0</v>
      </c>
      <c r="K284">
        <v>0</v>
      </c>
      <c r="L284">
        <v>0</v>
      </c>
      <c r="M284">
        <v>0</v>
      </c>
      <c r="N284" s="38">
        <v>22.79</v>
      </c>
      <c r="O284" s="38"/>
      <c r="P284" s="38" t="s">
        <v>151</v>
      </c>
      <c r="Q284" s="38"/>
    </row>
    <row r="285" spans="1:17" x14ac:dyDescent="0.25">
      <c r="A285" s="39">
        <v>45416</v>
      </c>
      <c r="B285" s="38" t="s">
        <v>21</v>
      </c>
      <c r="C285" s="38" t="s">
        <v>6</v>
      </c>
      <c r="D285" s="38" t="s">
        <v>291</v>
      </c>
      <c r="E285" s="38" t="s">
        <v>352</v>
      </c>
      <c r="F285" s="38" t="s">
        <v>285</v>
      </c>
      <c r="G285" s="38" t="s">
        <v>138</v>
      </c>
      <c r="H285" s="9" t="s">
        <v>80</v>
      </c>
      <c r="I285" s="38" t="s">
        <v>65</v>
      </c>
      <c r="J285" s="38">
        <v>0</v>
      </c>
      <c r="K285">
        <v>0</v>
      </c>
      <c r="L285">
        <v>0</v>
      </c>
      <c r="M285">
        <v>0</v>
      </c>
      <c r="N285" s="38">
        <v>21.59</v>
      </c>
      <c r="O285" s="38"/>
      <c r="P285" s="38" t="s">
        <v>152</v>
      </c>
      <c r="Q285" s="38"/>
    </row>
    <row r="286" spans="1:17" x14ac:dyDescent="0.25">
      <c r="A286" s="39">
        <v>45416</v>
      </c>
      <c r="B286" s="38" t="s">
        <v>22</v>
      </c>
      <c r="C286" s="38" t="s">
        <v>6</v>
      </c>
      <c r="D286" s="38" t="s">
        <v>353</v>
      </c>
      <c r="E286" s="38" t="s">
        <v>352</v>
      </c>
      <c r="F286" s="38" t="s">
        <v>285</v>
      </c>
      <c r="G286" s="38" t="s">
        <v>138</v>
      </c>
      <c r="H286" s="9" t="s">
        <v>79</v>
      </c>
      <c r="I286" s="38" t="s">
        <v>58</v>
      </c>
      <c r="J286" s="38">
        <v>0</v>
      </c>
      <c r="K286">
        <v>0</v>
      </c>
      <c r="L286">
        <v>0</v>
      </c>
      <c r="M286">
        <v>0</v>
      </c>
      <c r="N286" s="38">
        <v>13.62</v>
      </c>
      <c r="O286" s="38"/>
      <c r="P286" s="38" t="s">
        <v>148</v>
      </c>
      <c r="Q286" s="38"/>
    </row>
    <row r="287" spans="1:17" x14ac:dyDescent="0.25">
      <c r="A287" s="39">
        <v>45416</v>
      </c>
      <c r="B287" s="38" t="s">
        <v>77</v>
      </c>
      <c r="C287" s="38" t="s">
        <v>6</v>
      </c>
      <c r="D287" s="38"/>
      <c r="E287" s="38"/>
      <c r="F287" s="38"/>
      <c r="G287" s="38" t="s">
        <v>138</v>
      </c>
      <c r="H287" s="9" t="s">
        <v>78</v>
      </c>
      <c r="I287" s="38"/>
      <c r="J287" s="38">
        <v>0</v>
      </c>
      <c r="K287">
        <v>0</v>
      </c>
      <c r="L287">
        <v>0</v>
      </c>
      <c r="M287">
        <v>0</v>
      </c>
      <c r="N287" s="38">
        <v>17.88</v>
      </c>
      <c r="O287" s="38"/>
      <c r="P287" s="38"/>
      <c r="Q287" s="38"/>
    </row>
    <row r="288" spans="1:17" x14ac:dyDescent="0.25">
      <c r="A288" s="39">
        <v>45416</v>
      </c>
      <c r="B288" s="38" t="s">
        <v>23</v>
      </c>
      <c r="C288" s="38" t="s">
        <v>6</v>
      </c>
      <c r="D288" s="38" t="s">
        <v>409</v>
      </c>
      <c r="E288" s="38" t="s">
        <v>352</v>
      </c>
      <c r="F288" s="38" t="s">
        <v>285</v>
      </c>
      <c r="G288" s="38" t="s">
        <v>138</v>
      </c>
      <c r="H288" s="9" t="s">
        <v>228</v>
      </c>
      <c r="I288" s="38" t="s">
        <v>58</v>
      </c>
      <c r="J288" s="38">
        <v>0</v>
      </c>
      <c r="K288">
        <v>0</v>
      </c>
      <c r="L288">
        <v>0</v>
      </c>
      <c r="M288">
        <v>0</v>
      </c>
      <c r="N288" s="38">
        <v>23.22</v>
      </c>
      <c r="O288" s="38"/>
      <c r="P288" s="38" t="s">
        <v>148</v>
      </c>
      <c r="Q288" s="38"/>
    </row>
    <row r="289" spans="1:17" x14ac:dyDescent="0.25">
      <c r="A289" s="39">
        <v>45416</v>
      </c>
      <c r="B289" s="38" t="s">
        <v>24</v>
      </c>
      <c r="C289" s="38" t="s">
        <v>6</v>
      </c>
      <c r="D289" s="38" t="s">
        <v>344</v>
      </c>
      <c r="E289" s="38" t="s">
        <v>379</v>
      </c>
      <c r="F289" s="38" t="s">
        <v>253</v>
      </c>
      <c r="G289" s="38" t="s">
        <v>138</v>
      </c>
      <c r="H289" s="9" t="s">
        <v>229</v>
      </c>
      <c r="I289" s="38" t="s">
        <v>65</v>
      </c>
      <c r="J289" s="38">
        <v>0</v>
      </c>
      <c r="K289">
        <v>0</v>
      </c>
      <c r="L289">
        <v>0</v>
      </c>
      <c r="M289">
        <v>0</v>
      </c>
      <c r="N289" s="38">
        <v>18.37</v>
      </c>
      <c r="O289" s="38"/>
      <c r="P289" s="38" t="s">
        <v>152</v>
      </c>
      <c r="Q289" s="38"/>
    </row>
    <row r="290" spans="1:17" x14ac:dyDescent="0.25">
      <c r="A290" s="39">
        <v>45416</v>
      </c>
      <c r="B290" s="38" t="s">
        <v>75</v>
      </c>
      <c r="C290" s="38" t="s">
        <v>6</v>
      </c>
      <c r="D290" s="38" t="s">
        <v>410</v>
      </c>
      <c r="E290" s="38" t="s">
        <v>202</v>
      </c>
      <c r="F290" s="38" t="s">
        <v>346</v>
      </c>
      <c r="G290" s="38" t="s">
        <v>138</v>
      </c>
      <c r="H290" s="9" t="s">
        <v>230</v>
      </c>
      <c r="I290" s="38" t="s">
        <v>58</v>
      </c>
      <c r="J290" s="38">
        <v>0</v>
      </c>
      <c r="K290">
        <v>0</v>
      </c>
      <c r="L290">
        <v>0</v>
      </c>
      <c r="M290">
        <v>0</v>
      </c>
      <c r="N290" s="38">
        <v>12.9</v>
      </c>
      <c r="O290" s="38"/>
      <c r="P290" s="38" t="s">
        <v>303</v>
      </c>
      <c r="Q290" s="38"/>
    </row>
    <row r="291" spans="1:17" x14ac:dyDescent="0.25">
      <c r="A291" s="39">
        <v>45416</v>
      </c>
      <c r="B291" s="38" t="s">
        <v>25</v>
      </c>
      <c r="C291" s="38" t="s">
        <v>6</v>
      </c>
      <c r="D291" s="38" t="s">
        <v>383</v>
      </c>
      <c r="E291" s="38" t="s">
        <v>81</v>
      </c>
      <c r="F291" s="38" t="s">
        <v>285</v>
      </c>
      <c r="G291" s="38" t="s">
        <v>138</v>
      </c>
      <c r="H291" s="9" t="s">
        <v>231</v>
      </c>
      <c r="I291" s="38" t="s">
        <v>65</v>
      </c>
      <c r="J291" s="38">
        <v>0</v>
      </c>
      <c r="K291">
        <v>0</v>
      </c>
      <c r="L291">
        <v>0</v>
      </c>
      <c r="M291">
        <v>0</v>
      </c>
      <c r="N291" s="38">
        <v>12.16</v>
      </c>
      <c r="O291" s="38"/>
      <c r="P291" s="38" t="s">
        <v>148</v>
      </c>
      <c r="Q291" s="38"/>
    </row>
    <row r="292" spans="1:17" x14ac:dyDescent="0.25">
      <c r="A292" s="39">
        <v>45416</v>
      </c>
      <c r="B292" s="38" t="s">
        <v>74</v>
      </c>
      <c r="C292" s="38" t="s">
        <v>6</v>
      </c>
      <c r="D292" s="38" t="s">
        <v>292</v>
      </c>
      <c r="E292" s="38" t="s">
        <v>60</v>
      </c>
      <c r="F292" s="38" t="s">
        <v>346</v>
      </c>
      <c r="G292" s="38" t="s">
        <v>138</v>
      </c>
      <c r="H292" s="9" t="s">
        <v>232</v>
      </c>
      <c r="I292" s="38" t="s">
        <v>58</v>
      </c>
      <c r="J292" s="38">
        <v>0</v>
      </c>
      <c r="K292">
        <v>0</v>
      </c>
      <c r="L292">
        <v>0</v>
      </c>
      <c r="M292">
        <v>0</v>
      </c>
      <c r="N292" s="38">
        <v>15.61</v>
      </c>
      <c r="O292" s="38"/>
      <c r="P292" s="38" t="s">
        <v>293</v>
      </c>
      <c r="Q292" s="38"/>
    </row>
    <row r="293" spans="1:17" x14ac:dyDescent="0.25">
      <c r="A293" s="39">
        <v>45416</v>
      </c>
      <c r="B293" s="38" t="s">
        <v>26</v>
      </c>
      <c r="C293" s="38" t="s">
        <v>6</v>
      </c>
      <c r="D293" s="38" t="s">
        <v>294</v>
      </c>
      <c r="E293" s="38" t="s">
        <v>56</v>
      </c>
      <c r="F293" s="38" t="s">
        <v>184</v>
      </c>
      <c r="G293" s="38" t="s">
        <v>138</v>
      </c>
      <c r="H293" s="9" t="s">
        <v>233</v>
      </c>
      <c r="I293" s="38" t="s">
        <v>65</v>
      </c>
      <c r="J293" s="38">
        <v>0</v>
      </c>
      <c r="K293">
        <v>0</v>
      </c>
      <c r="L293">
        <v>0</v>
      </c>
      <c r="M293">
        <v>0</v>
      </c>
      <c r="N293" s="38">
        <v>13.29</v>
      </c>
      <c r="O293" s="38"/>
      <c r="P293" s="38" t="s">
        <v>155</v>
      </c>
      <c r="Q293" s="38"/>
    </row>
    <row r="294" spans="1:17" x14ac:dyDescent="0.25">
      <c r="A294" s="39">
        <v>45416</v>
      </c>
      <c r="B294" s="38" t="s">
        <v>27</v>
      </c>
      <c r="C294" s="38" t="s">
        <v>6</v>
      </c>
      <c r="D294" s="38" t="s">
        <v>384</v>
      </c>
      <c r="E294" s="38" t="s">
        <v>366</v>
      </c>
      <c r="F294" s="38" t="s">
        <v>346</v>
      </c>
      <c r="G294" s="38" t="s">
        <v>138</v>
      </c>
      <c r="H294" s="9" t="s">
        <v>234</v>
      </c>
      <c r="I294" s="38" t="s">
        <v>58</v>
      </c>
      <c r="J294" s="38">
        <v>0</v>
      </c>
      <c r="K294">
        <v>0</v>
      </c>
      <c r="L294">
        <v>0</v>
      </c>
      <c r="M294">
        <v>0</v>
      </c>
      <c r="N294" s="38">
        <v>13.89</v>
      </c>
      <c r="O294" s="38"/>
      <c r="P294" s="38" t="s">
        <v>269</v>
      </c>
      <c r="Q294" s="38"/>
    </row>
    <row r="295" spans="1:17" x14ac:dyDescent="0.25">
      <c r="A295" s="39">
        <v>45416</v>
      </c>
      <c r="B295" s="38" t="s">
        <v>28</v>
      </c>
      <c r="C295" s="38" t="s">
        <v>6</v>
      </c>
      <c r="D295" s="38" t="s">
        <v>411</v>
      </c>
      <c r="E295" s="38" t="s">
        <v>56</v>
      </c>
      <c r="F295" s="38" t="s">
        <v>338</v>
      </c>
      <c r="G295" s="38" t="s">
        <v>138</v>
      </c>
      <c r="H295" s="9" t="s">
        <v>235</v>
      </c>
      <c r="I295" s="38" t="s">
        <v>65</v>
      </c>
      <c r="J295" s="38">
        <v>0</v>
      </c>
      <c r="K295">
        <v>0</v>
      </c>
      <c r="L295">
        <v>0</v>
      </c>
      <c r="M295">
        <v>0</v>
      </c>
      <c r="N295" s="38">
        <v>13.9</v>
      </c>
      <c r="O295" s="38"/>
      <c r="P295" s="38" t="s">
        <v>155</v>
      </c>
      <c r="Q295" s="38"/>
    </row>
    <row r="296" spans="1:17" x14ac:dyDescent="0.25">
      <c r="A296" s="39">
        <v>45416</v>
      </c>
      <c r="B296" s="38" t="s">
        <v>72</v>
      </c>
      <c r="C296" s="38" t="s">
        <v>6</v>
      </c>
      <c r="D296" s="38" t="s">
        <v>322</v>
      </c>
      <c r="E296" s="38" t="s">
        <v>202</v>
      </c>
      <c r="F296" s="38" t="s">
        <v>346</v>
      </c>
      <c r="G296" s="38" t="s">
        <v>138</v>
      </c>
      <c r="H296" s="9" t="s">
        <v>422</v>
      </c>
      <c r="I296" s="38" t="s">
        <v>58</v>
      </c>
      <c r="J296" s="38">
        <v>0</v>
      </c>
      <c r="K296">
        <v>0</v>
      </c>
      <c r="L296">
        <v>0</v>
      </c>
      <c r="M296">
        <v>0</v>
      </c>
      <c r="N296" s="38">
        <v>15.45</v>
      </c>
      <c r="O296" s="38"/>
      <c r="P296" s="38" t="s">
        <v>157</v>
      </c>
      <c r="Q296" s="38"/>
    </row>
    <row r="297" spans="1:17" x14ac:dyDescent="0.25">
      <c r="A297" s="39">
        <v>45416</v>
      </c>
      <c r="B297" s="38" t="s">
        <v>29</v>
      </c>
      <c r="C297" s="38" t="s">
        <v>6</v>
      </c>
      <c r="D297" s="38" t="s">
        <v>315</v>
      </c>
      <c r="E297" s="38" t="s">
        <v>56</v>
      </c>
      <c r="F297" s="38" t="s">
        <v>338</v>
      </c>
      <c r="G297" s="38" t="s">
        <v>138</v>
      </c>
      <c r="H297" s="9" t="s">
        <v>236</v>
      </c>
      <c r="I297" s="38" t="s">
        <v>65</v>
      </c>
      <c r="J297" s="38">
        <v>0</v>
      </c>
      <c r="K297">
        <v>0</v>
      </c>
      <c r="L297">
        <v>0</v>
      </c>
      <c r="M297">
        <v>0</v>
      </c>
      <c r="N297" s="38">
        <v>13.98</v>
      </c>
      <c r="O297" s="38"/>
      <c r="P297" s="38" t="s">
        <v>156</v>
      </c>
      <c r="Q297" s="38"/>
    </row>
    <row r="298" spans="1:17" x14ac:dyDescent="0.25">
      <c r="A298" s="39">
        <v>45416</v>
      </c>
      <c r="B298" s="38" t="s">
        <v>30</v>
      </c>
      <c r="C298" s="38" t="s">
        <v>6</v>
      </c>
      <c r="D298" s="38" t="s">
        <v>305</v>
      </c>
      <c r="E298" s="38" t="s">
        <v>81</v>
      </c>
      <c r="F298" s="38" t="s">
        <v>90</v>
      </c>
      <c r="G298" s="38" t="s">
        <v>138</v>
      </c>
      <c r="H298" s="9" t="s">
        <v>71</v>
      </c>
      <c r="I298" s="38" t="s">
        <v>58</v>
      </c>
      <c r="J298" s="38">
        <v>0</v>
      </c>
      <c r="K298">
        <v>0</v>
      </c>
      <c r="L298">
        <v>0</v>
      </c>
      <c r="M298">
        <v>0</v>
      </c>
      <c r="N298" s="38">
        <v>10.84</v>
      </c>
      <c r="O298" s="38"/>
      <c r="P298" s="38" t="s">
        <v>150</v>
      </c>
      <c r="Q298" s="38"/>
    </row>
    <row r="299" spans="1:17" x14ac:dyDescent="0.25">
      <c r="A299" s="39">
        <v>45416</v>
      </c>
      <c r="B299" s="38" t="s">
        <v>31</v>
      </c>
      <c r="C299" s="38" t="s">
        <v>6</v>
      </c>
      <c r="D299" s="38"/>
      <c r="E299" s="38" t="s">
        <v>56</v>
      </c>
      <c r="F299" s="38"/>
      <c r="G299" s="38" t="s">
        <v>138</v>
      </c>
      <c r="H299" s="9" t="s">
        <v>70</v>
      </c>
      <c r="I299" s="38" t="s">
        <v>65</v>
      </c>
      <c r="J299" s="38">
        <v>0</v>
      </c>
      <c r="K299">
        <v>0</v>
      </c>
      <c r="L299">
        <v>0</v>
      </c>
      <c r="M299">
        <v>0</v>
      </c>
      <c r="N299" s="38">
        <v>13.5</v>
      </c>
      <c r="O299" s="38"/>
      <c r="P299" s="38" t="s">
        <v>156</v>
      </c>
      <c r="Q299" s="38"/>
    </row>
    <row r="300" spans="1:17" x14ac:dyDescent="0.25">
      <c r="A300" s="39">
        <v>45416</v>
      </c>
      <c r="B300" s="38" t="s">
        <v>32</v>
      </c>
      <c r="C300" s="38" t="s">
        <v>6</v>
      </c>
      <c r="D300" s="38" t="s">
        <v>413</v>
      </c>
      <c r="E300" s="38" t="s">
        <v>202</v>
      </c>
      <c r="F300" s="38" t="s">
        <v>346</v>
      </c>
      <c r="G300" s="38" t="s">
        <v>138</v>
      </c>
      <c r="H300" s="9" t="s">
        <v>69</v>
      </c>
      <c r="I300" s="38" t="s">
        <v>58</v>
      </c>
      <c r="J300" s="38">
        <v>0</v>
      </c>
      <c r="K300">
        <v>0</v>
      </c>
      <c r="L300">
        <v>0</v>
      </c>
      <c r="M300">
        <v>0</v>
      </c>
      <c r="N300" s="38">
        <v>14.39</v>
      </c>
      <c r="O300" s="38"/>
      <c r="P300" s="38" t="s">
        <v>414</v>
      </c>
      <c r="Q300" s="38"/>
    </row>
    <row r="301" spans="1:17" x14ac:dyDescent="0.25">
      <c r="A301" s="39">
        <v>45416</v>
      </c>
      <c r="B301" s="38" t="s">
        <v>67</v>
      </c>
      <c r="C301" s="38" t="s">
        <v>6</v>
      </c>
      <c r="D301" s="38" t="s">
        <v>354</v>
      </c>
      <c r="E301" s="38" t="s">
        <v>56</v>
      </c>
      <c r="F301" s="38" t="s">
        <v>367</v>
      </c>
      <c r="G301" s="38" t="s">
        <v>138</v>
      </c>
      <c r="H301" s="9" t="s">
        <v>68</v>
      </c>
      <c r="I301" s="38" t="s">
        <v>65</v>
      </c>
      <c r="J301" s="38">
        <v>0</v>
      </c>
      <c r="K301">
        <v>0</v>
      </c>
      <c r="L301">
        <v>0</v>
      </c>
      <c r="M301">
        <v>0</v>
      </c>
      <c r="N301" s="38">
        <v>13.8</v>
      </c>
      <c r="O301" s="38"/>
      <c r="P301" s="38" t="s">
        <v>156</v>
      </c>
      <c r="Q301" s="38"/>
    </row>
    <row r="302" spans="1:17" x14ac:dyDescent="0.25">
      <c r="A302" s="39">
        <v>45416</v>
      </c>
      <c r="B302" s="38" t="s">
        <v>33</v>
      </c>
      <c r="C302" s="38" t="s">
        <v>6</v>
      </c>
      <c r="D302" s="38" t="s">
        <v>277</v>
      </c>
      <c r="E302" s="38" t="s">
        <v>73</v>
      </c>
      <c r="F302" s="38" t="s">
        <v>346</v>
      </c>
      <c r="G302" s="38" t="s">
        <v>138</v>
      </c>
      <c r="H302" s="9" t="s">
        <v>66</v>
      </c>
      <c r="I302" s="38" t="s">
        <v>58</v>
      </c>
      <c r="J302" s="38">
        <v>0</v>
      </c>
      <c r="K302">
        <v>0</v>
      </c>
      <c r="L302">
        <v>0</v>
      </c>
      <c r="M302">
        <v>0</v>
      </c>
      <c r="N302" s="38">
        <v>14.19</v>
      </c>
      <c r="O302" s="38"/>
      <c r="P302" s="38" t="s">
        <v>201</v>
      </c>
      <c r="Q302" s="38"/>
    </row>
    <row r="303" spans="1:17" x14ac:dyDescent="0.25">
      <c r="A303" s="39">
        <v>45416</v>
      </c>
      <c r="B303" s="38" t="s">
        <v>34</v>
      </c>
      <c r="C303" s="38" t="s">
        <v>6</v>
      </c>
      <c r="D303" s="38" t="s">
        <v>415</v>
      </c>
      <c r="E303" s="38" t="s">
        <v>56</v>
      </c>
      <c r="F303" s="38" t="s">
        <v>346</v>
      </c>
      <c r="G303" s="38" t="s">
        <v>138</v>
      </c>
      <c r="H303" s="9" t="s">
        <v>64</v>
      </c>
      <c r="I303" s="38" t="s">
        <v>65</v>
      </c>
      <c r="J303" s="38">
        <v>0</v>
      </c>
      <c r="K303">
        <v>0</v>
      </c>
      <c r="L303">
        <v>0</v>
      </c>
      <c r="M303">
        <v>0</v>
      </c>
      <c r="N303" s="38">
        <v>15.6</v>
      </c>
      <c r="O303" s="38"/>
      <c r="P303" s="38" t="s">
        <v>416</v>
      </c>
      <c r="Q303" s="38"/>
    </row>
    <row r="304" spans="1:17" x14ac:dyDescent="0.25">
      <c r="A304" s="39">
        <v>45416</v>
      </c>
      <c r="B304" s="38" t="s">
        <v>35</v>
      </c>
      <c r="C304" s="38" t="s">
        <v>6</v>
      </c>
      <c r="D304" s="38" t="s">
        <v>331</v>
      </c>
      <c r="E304" s="38" t="s">
        <v>60</v>
      </c>
      <c r="F304" s="38" t="s">
        <v>346</v>
      </c>
      <c r="G304" s="38" t="s">
        <v>138</v>
      </c>
      <c r="H304" s="9" t="s">
        <v>237</v>
      </c>
      <c r="I304" s="38" t="s">
        <v>58</v>
      </c>
      <c r="J304" s="38">
        <v>0</v>
      </c>
      <c r="K304">
        <v>0</v>
      </c>
      <c r="L304">
        <v>0</v>
      </c>
      <c r="M304">
        <v>0</v>
      </c>
      <c r="N304" s="38">
        <v>14.64</v>
      </c>
      <c r="O304" s="38"/>
      <c r="P304" s="38" t="s">
        <v>158</v>
      </c>
      <c r="Q304" s="38"/>
    </row>
    <row r="305" spans="1:17" x14ac:dyDescent="0.25">
      <c r="A305" s="39">
        <v>45416</v>
      </c>
      <c r="B305" s="38" t="s">
        <v>418</v>
      </c>
      <c r="C305" s="38" t="s">
        <v>6</v>
      </c>
      <c r="D305" s="38"/>
      <c r="E305" s="38"/>
      <c r="F305" s="38"/>
      <c r="G305" s="38" t="s">
        <v>138</v>
      </c>
      <c r="H305" s="9" t="s">
        <v>240</v>
      </c>
      <c r="I305" s="38" t="s">
        <v>262</v>
      </c>
      <c r="J305" s="38">
        <v>0</v>
      </c>
      <c r="K305">
        <v>0</v>
      </c>
      <c r="L305">
        <v>0</v>
      </c>
      <c r="M305">
        <v>0</v>
      </c>
      <c r="N305" s="38">
        <v>17.670000000000002</v>
      </c>
      <c r="O305" s="38"/>
      <c r="P305" s="38"/>
      <c r="Q305" s="38"/>
    </row>
    <row r="306" spans="1:17" x14ac:dyDescent="0.25">
      <c r="A306" s="39">
        <v>45416</v>
      </c>
      <c r="B306" s="38" t="s">
        <v>419</v>
      </c>
      <c r="C306" s="38" t="s">
        <v>6</v>
      </c>
      <c r="D306" s="38"/>
      <c r="E306" s="38"/>
      <c r="F306" s="38"/>
      <c r="G306" s="38" t="s">
        <v>138</v>
      </c>
      <c r="H306" s="9" t="s">
        <v>240</v>
      </c>
      <c r="I306" s="38" t="s">
        <v>262</v>
      </c>
      <c r="J306" s="38">
        <v>0</v>
      </c>
      <c r="K306">
        <v>0</v>
      </c>
      <c r="L306">
        <v>0</v>
      </c>
      <c r="M306">
        <v>0</v>
      </c>
      <c r="N306" s="38">
        <v>13.49</v>
      </c>
      <c r="O306" s="38"/>
      <c r="P306" s="38"/>
      <c r="Q306" s="38"/>
    </row>
    <row r="307" spans="1:17" x14ac:dyDescent="0.25">
      <c r="A307" s="39">
        <v>45416</v>
      </c>
      <c r="B307" s="38" t="s">
        <v>36</v>
      </c>
      <c r="C307" s="38" t="s">
        <v>6</v>
      </c>
      <c r="D307" s="38" t="s">
        <v>295</v>
      </c>
      <c r="E307" s="38" t="s">
        <v>81</v>
      </c>
      <c r="F307" s="38" t="s">
        <v>369</v>
      </c>
      <c r="G307" s="38" t="s">
        <v>138</v>
      </c>
      <c r="H307" s="9" t="s">
        <v>423</v>
      </c>
      <c r="I307" s="38" t="s">
        <v>58</v>
      </c>
      <c r="J307" s="38">
        <v>0</v>
      </c>
      <c r="K307">
        <v>0</v>
      </c>
      <c r="L307">
        <v>0</v>
      </c>
      <c r="M307">
        <v>0</v>
      </c>
      <c r="N307" s="38">
        <v>38472557</v>
      </c>
      <c r="O307" s="38"/>
      <c r="P307" s="38" t="s">
        <v>156</v>
      </c>
      <c r="Q307" s="38"/>
    </row>
    <row r="308" spans="1:17" x14ac:dyDescent="0.25">
      <c r="A308" s="39">
        <v>45416</v>
      </c>
      <c r="B308" s="38" t="s">
        <v>256</v>
      </c>
      <c r="C308" s="38" t="s">
        <v>6</v>
      </c>
      <c r="D308" s="38" t="s">
        <v>392</v>
      </c>
      <c r="E308" s="38" t="s">
        <v>417</v>
      </c>
      <c r="F308" s="38" t="s">
        <v>192</v>
      </c>
      <c r="G308" s="38" t="s">
        <v>138</v>
      </c>
      <c r="H308" s="9"/>
      <c r="I308" s="38" t="s">
        <v>262</v>
      </c>
      <c r="J308" s="38">
        <v>0</v>
      </c>
      <c r="K308">
        <v>0</v>
      </c>
      <c r="L308">
        <v>0</v>
      </c>
      <c r="M308">
        <v>0</v>
      </c>
      <c r="N308" s="38">
        <v>0</v>
      </c>
      <c r="O308" s="38"/>
      <c r="P308" s="38" t="s">
        <v>149</v>
      </c>
      <c r="Q308" s="38"/>
    </row>
    <row r="309" spans="1:17" x14ac:dyDescent="0.25">
      <c r="A309" s="39">
        <v>45416</v>
      </c>
      <c r="B309" s="38" t="s">
        <v>257</v>
      </c>
      <c r="C309" s="38" t="s">
        <v>6</v>
      </c>
      <c r="D309" s="38" t="s">
        <v>392</v>
      </c>
      <c r="E309" s="38" t="s">
        <v>417</v>
      </c>
      <c r="F309" s="38" t="s">
        <v>192</v>
      </c>
      <c r="G309" s="38" t="s">
        <v>138</v>
      </c>
      <c r="H309" s="9"/>
      <c r="I309" s="38" t="s">
        <v>58</v>
      </c>
      <c r="J309" s="38">
        <v>0</v>
      </c>
      <c r="K309">
        <v>0</v>
      </c>
      <c r="L309">
        <v>0</v>
      </c>
      <c r="M309">
        <v>0</v>
      </c>
      <c r="N309" s="38">
        <v>38.46</v>
      </c>
      <c r="O309" s="38"/>
      <c r="P309" s="38" t="s">
        <v>149</v>
      </c>
      <c r="Q309" s="38"/>
    </row>
    <row r="310" spans="1:17" x14ac:dyDescent="0.25">
      <c r="A310" s="39">
        <v>45416</v>
      </c>
      <c r="B310" s="38" t="s">
        <v>37</v>
      </c>
      <c r="C310" s="38" t="s">
        <v>6</v>
      </c>
      <c r="D310" s="38" t="s">
        <v>347</v>
      </c>
      <c r="E310" s="38" t="s">
        <v>348</v>
      </c>
      <c r="F310" s="38" t="s">
        <v>346</v>
      </c>
      <c r="G310" s="38" t="s">
        <v>138</v>
      </c>
      <c r="H310" s="9" t="s">
        <v>425</v>
      </c>
      <c r="I310" s="38" t="s">
        <v>58</v>
      </c>
      <c r="J310" s="38">
        <v>0</v>
      </c>
      <c r="K310">
        <v>0</v>
      </c>
      <c r="L310">
        <v>0</v>
      </c>
      <c r="M310">
        <v>0</v>
      </c>
      <c r="N310" s="38">
        <v>13.5</v>
      </c>
      <c r="O310" s="38"/>
      <c r="P310" s="38" t="s">
        <v>270</v>
      </c>
      <c r="Q310" s="38"/>
    </row>
    <row r="311" spans="1:17" x14ac:dyDescent="0.25">
      <c r="A311" s="39">
        <v>45416</v>
      </c>
      <c r="B311" s="38" t="s">
        <v>258</v>
      </c>
      <c r="C311" s="38" t="s">
        <v>6</v>
      </c>
      <c r="D311" s="38"/>
      <c r="E311" s="38"/>
      <c r="F311" s="38"/>
      <c r="G311" s="38" t="s">
        <v>138</v>
      </c>
      <c r="H311" s="9" t="s">
        <v>426</v>
      </c>
      <c r="I311" s="38" t="s">
        <v>262</v>
      </c>
      <c r="J311" s="38">
        <v>0</v>
      </c>
      <c r="K311">
        <v>0</v>
      </c>
      <c r="L311">
        <v>0</v>
      </c>
      <c r="M311">
        <v>0</v>
      </c>
      <c r="N311" s="38">
        <v>13.5</v>
      </c>
      <c r="O311" s="38"/>
      <c r="P311" s="38" t="s">
        <v>148</v>
      </c>
      <c r="Q311" s="38"/>
    </row>
    <row r="312" spans="1:17" x14ac:dyDescent="0.25">
      <c r="A312" s="39">
        <v>45416</v>
      </c>
      <c r="B312" s="38" t="s">
        <v>259</v>
      </c>
      <c r="C312" s="38" t="s">
        <v>6</v>
      </c>
      <c r="D312" s="38"/>
      <c r="E312" s="38"/>
      <c r="F312" s="38"/>
      <c r="G312" s="38" t="s">
        <v>138</v>
      </c>
      <c r="H312" s="9" t="s">
        <v>426</v>
      </c>
      <c r="I312" s="38" t="s">
        <v>262</v>
      </c>
      <c r="J312" s="38">
        <v>0</v>
      </c>
      <c r="K312">
        <v>0</v>
      </c>
      <c r="L312">
        <v>0</v>
      </c>
      <c r="M312">
        <v>0</v>
      </c>
      <c r="N312" s="38">
        <v>41.06</v>
      </c>
      <c r="O312" s="38"/>
      <c r="P312" s="38" t="s">
        <v>148</v>
      </c>
      <c r="Q312" s="38"/>
    </row>
    <row r="313" spans="1:17" x14ac:dyDescent="0.25">
      <c r="A313" s="39">
        <v>45416</v>
      </c>
      <c r="B313" s="38" t="s">
        <v>54</v>
      </c>
      <c r="C313" s="38" t="s">
        <v>6</v>
      </c>
      <c r="D313" s="38" t="s">
        <v>55</v>
      </c>
      <c r="E313" s="38" t="s">
        <v>56</v>
      </c>
      <c r="F313" s="38" t="s">
        <v>57</v>
      </c>
      <c r="G313" s="38" t="s">
        <v>138</v>
      </c>
      <c r="H313" s="9" t="s">
        <v>427</v>
      </c>
      <c r="I313" s="38" t="s">
        <v>58</v>
      </c>
      <c r="J313" s="38">
        <v>0</v>
      </c>
      <c r="K313">
        <v>0</v>
      </c>
      <c r="L313">
        <v>0</v>
      </c>
      <c r="M313">
        <v>0</v>
      </c>
      <c r="N313" s="38">
        <v>41.06</v>
      </c>
      <c r="O313" s="38"/>
      <c r="P313" s="38" t="s">
        <v>159</v>
      </c>
      <c r="Q313" s="38"/>
    </row>
    <row r="314" spans="1:17" x14ac:dyDescent="0.25">
      <c r="A314" s="39">
        <v>45416</v>
      </c>
      <c r="B314" s="38" t="s">
        <v>136</v>
      </c>
      <c r="C314" s="38" t="s">
        <v>7</v>
      </c>
      <c r="D314" s="38" t="s">
        <v>174</v>
      </c>
      <c r="E314" s="38" t="s">
        <v>81</v>
      </c>
      <c r="F314" s="38" t="s">
        <v>90</v>
      </c>
      <c r="G314" s="38" t="s">
        <v>138</v>
      </c>
      <c r="H314" s="9" t="s">
        <v>160</v>
      </c>
      <c r="I314" s="38" t="s">
        <v>58</v>
      </c>
      <c r="J314" s="38">
        <v>0</v>
      </c>
      <c r="K314">
        <v>0</v>
      </c>
      <c r="L314">
        <v>0</v>
      </c>
      <c r="M314">
        <v>0</v>
      </c>
      <c r="N314" s="38">
        <v>42144554</v>
      </c>
      <c r="O314" s="38"/>
      <c r="P314" s="38" t="s">
        <v>153</v>
      </c>
      <c r="Q314" s="38"/>
    </row>
    <row r="315" spans="1:17" x14ac:dyDescent="0.25">
      <c r="A315" s="39">
        <v>45416</v>
      </c>
      <c r="B315" s="38" t="s">
        <v>135</v>
      </c>
      <c r="C315" s="38" t="s">
        <v>7</v>
      </c>
      <c r="D315" s="38" t="s">
        <v>332</v>
      </c>
      <c r="E315" s="38" t="s">
        <v>81</v>
      </c>
      <c r="F315" s="38" t="s">
        <v>90</v>
      </c>
      <c r="G315" s="38" t="s">
        <v>138</v>
      </c>
      <c r="H315" s="9" t="s">
        <v>161</v>
      </c>
      <c r="I315" s="38" t="s">
        <v>58</v>
      </c>
      <c r="J315" s="38">
        <v>0</v>
      </c>
      <c r="K315">
        <v>0</v>
      </c>
      <c r="L315">
        <v>0</v>
      </c>
      <c r="M315">
        <v>0</v>
      </c>
      <c r="N315" s="38">
        <v>24.09</v>
      </c>
      <c r="O315" s="38"/>
      <c r="P315" s="38" t="s">
        <v>148</v>
      </c>
      <c r="Q315" s="38"/>
    </row>
    <row r="316" spans="1:17" x14ac:dyDescent="0.25">
      <c r="A316" s="39">
        <v>45416</v>
      </c>
      <c r="B316" s="38" t="s">
        <v>134</v>
      </c>
      <c r="C316" s="38" t="s">
        <v>7</v>
      </c>
      <c r="D316" s="38" t="s">
        <v>175</v>
      </c>
      <c r="E316" s="38" t="s">
        <v>81</v>
      </c>
      <c r="F316" s="38" t="s">
        <v>90</v>
      </c>
      <c r="G316" s="38" t="s">
        <v>138</v>
      </c>
      <c r="H316" s="9" t="s">
        <v>206</v>
      </c>
      <c r="I316" s="38" t="s">
        <v>58</v>
      </c>
      <c r="J316" s="38">
        <v>0</v>
      </c>
      <c r="K316">
        <v>0</v>
      </c>
      <c r="L316">
        <v>0</v>
      </c>
      <c r="M316">
        <v>0</v>
      </c>
      <c r="N316" s="38">
        <v>0</v>
      </c>
      <c r="O316" s="38"/>
      <c r="P316" s="38" t="s">
        <v>148</v>
      </c>
      <c r="Q316" s="38"/>
    </row>
    <row r="317" spans="1:17" x14ac:dyDescent="0.25">
      <c r="A317" s="39">
        <v>45416</v>
      </c>
      <c r="B317" s="38" t="s">
        <v>132</v>
      </c>
      <c r="C317" s="38" t="s">
        <v>7</v>
      </c>
      <c r="D317" s="38" t="s">
        <v>133</v>
      </c>
      <c r="E317" s="38" t="s">
        <v>126</v>
      </c>
      <c r="F317" s="38" t="s">
        <v>199</v>
      </c>
      <c r="G317" s="38" t="s">
        <v>138</v>
      </c>
      <c r="H317" s="9" t="s">
        <v>162</v>
      </c>
      <c r="I317" s="38" t="s">
        <v>58</v>
      </c>
      <c r="J317" s="38">
        <v>0</v>
      </c>
      <c r="K317">
        <v>0</v>
      </c>
      <c r="L317">
        <v>0</v>
      </c>
      <c r="M317">
        <v>0</v>
      </c>
      <c r="N317" s="38">
        <v>38.369999999999997</v>
      </c>
      <c r="O317" s="38"/>
      <c r="P317" s="38" t="s">
        <v>149</v>
      </c>
      <c r="Q317" s="38"/>
    </row>
    <row r="318" spans="1:17" x14ac:dyDescent="0.25">
      <c r="A318" s="39">
        <v>45416</v>
      </c>
      <c r="B318" s="38" t="s">
        <v>131</v>
      </c>
      <c r="C318" s="38" t="s">
        <v>7</v>
      </c>
      <c r="D318" s="38" t="s">
        <v>396</v>
      </c>
      <c r="E318" s="38" t="s">
        <v>60</v>
      </c>
      <c r="F318" s="38" t="s">
        <v>90</v>
      </c>
      <c r="G318" s="38" t="s">
        <v>138</v>
      </c>
      <c r="H318" s="9" t="s">
        <v>163</v>
      </c>
      <c r="I318" s="38" t="s">
        <v>58</v>
      </c>
      <c r="J318" s="38">
        <v>0</v>
      </c>
      <c r="K318">
        <v>0</v>
      </c>
      <c r="L318">
        <v>0</v>
      </c>
      <c r="M318">
        <v>0</v>
      </c>
      <c r="N318" s="38">
        <v>23.93</v>
      </c>
      <c r="O318" s="38"/>
      <c r="P318" s="38" t="s">
        <v>154</v>
      </c>
      <c r="Q318" s="38"/>
    </row>
    <row r="319" spans="1:17" x14ac:dyDescent="0.25">
      <c r="A319" s="39">
        <v>45416</v>
      </c>
      <c r="B319" s="38" t="s">
        <v>130</v>
      </c>
      <c r="C319" s="38" t="s">
        <v>7</v>
      </c>
      <c r="D319" s="38" t="s">
        <v>191</v>
      </c>
      <c r="E319" s="38" t="s">
        <v>81</v>
      </c>
      <c r="F319" s="38" t="s">
        <v>285</v>
      </c>
      <c r="G319" s="38" t="s">
        <v>138</v>
      </c>
      <c r="H319" s="9" t="s">
        <v>420</v>
      </c>
      <c r="I319" s="38" t="s">
        <v>58</v>
      </c>
      <c r="J319" s="38">
        <v>0</v>
      </c>
      <c r="K319">
        <v>0</v>
      </c>
      <c r="L319">
        <v>0</v>
      </c>
      <c r="M319">
        <v>0</v>
      </c>
      <c r="N319" s="38">
        <v>14.99</v>
      </c>
      <c r="O319" s="38"/>
      <c r="P319" s="38" t="s">
        <v>148</v>
      </c>
      <c r="Q319" s="38"/>
    </row>
    <row r="320" spans="1:17" x14ac:dyDescent="0.25">
      <c r="A320" s="39">
        <v>45416</v>
      </c>
      <c r="B320" s="38" t="s">
        <v>128</v>
      </c>
      <c r="C320" s="38" t="s">
        <v>7</v>
      </c>
      <c r="D320" s="38" t="s">
        <v>129</v>
      </c>
      <c r="E320" s="38" t="s">
        <v>126</v>
      </c>
      <c r="F320" s="38" t="s">
        <v>199</v>
      </c>
      <c r="G320" s="38" t="s">
        <v>138</v>
      </c>
      <c r="H320" s="9" t="s">
        <v>164</v>
      </c>
      <c r="I320" s="38" t="s">
        <v>58</v>
      </c>
      <c r="J320" s="38">
        <v>0</v>
      </c>
      <c r="K320">
        <v>0</v>
      </c>
      <c r="L320">
        <v>0</v>
      </c>
      <c r="M320">
        <v>0</v>
      </c>
      <c r="N320" s="38">
        <v>41.06</v>
      </c>
      <c r="O320" s="38"/>
      <c r="P320" s="38" t="s">
        <v>149</v>
      </c>
      <c r="Q320" s="38"/>
    </row>
    <row r="321" spans="1:17" x14ac:dyDescent="0.25">
      <c r="A321" s="39">
        <v>45416</v>
      </c>
      <c r="B321" s="38" t="s">
        <v>40</v>
      </c>
      <c r="C321" s="38" t="s">
        <v>7</v>
      </c>
      <c r="D321" s="38" t="s">
        <v>397</v>
      </c>
      <c r="E321" s="38" t="s">
        <v>60</v>
      </c>
      <c r="F321" s="38" t="s">
        <v>200</v>
      </c>
      <c r="G321" s="38" t="s">
        <v>138</v>
      </c>
      <c r="H321" s="9" t="s">
        <v>165</v>
      </c>
      <c r="I321" s="38" t="s">
        <v>58</v>
      </c>
      <c r="J321" s="38">
        <v>0</v>
      </c>
      <c r="K321">
        <v>0</v>
      </c>
      <c r="L321">
        <v>0</v>
      </c>
      <c r="M321">
        <v>0</v>
      </c>
      <c r="N321" s="38">
        <v>14.92</v>
      </c>
      <c r="O321" s="38"/>
      <c r="P321" s="38" t="s">
        <v>153</v>
      </c>
      <c r="Q321" s="38"/>
    </row>
    <row r="322" spans="1:17" x14ac:dyDescent="0.25">
      <c r="A322" s="39">
        <v>45416</v>
      </c>
      <c r="B322" s="38" t="s">
        <v>127</v>
      </c>
      <c r="C322" s="38" t="s">
        <v>7</v>
      </c>
      <c r="D322" s="38" t="s">
        <v>203</v>
      </c>
      <c r="E322" s="38" t="s">
        <v>81</v>
      </c>
      <c r="F322" s="38" t="s">
        <v>285</v>
      </c>
      <c r="G322" s="38" t="s">
        <v>138</v>
      </c>
      <c r="H322" s="9" t="s">
        <v>207</v>
      </c>
      <c r="I322" s="38" t="s">
        <v>58</v>
      </c>
      <c r="J322" s="38">
        <v>0</v>
      </c>
      <c r="K322">
        <v>0</v>
      </c>
      <c r="L322">
        <v>0</v>
      </c>
      <c r="M322">
        <v>0</v>
      </c>
      <c r="N322" s="38">
        <v>20.85</v>
      </c>
      <c r="O322" s="38"/>
      <c r="P322" s="38" t="s">
        <v>151</v>
      </c>
      <c r="Q322" s="38"/>
    </row>
    <row r="323" spans="1:17" x14ac:dyDescent="0.25">
      <c r="A323" s="39">
        <v>45416</v>
      </c>
      <c r="B323" s="38" t="s">
        <v>124</v>
      </c>
      <c r="C323" s="38" t="s">
        <v>7</v>
      </c>
      <c r="D323" s="38" t="s">
        <v>340</v>
      </c>
      <c r="E323" s="38" t="s">
        <v>126</v>
      </c>
      <c r="F323" s="38" t="s">
        <v>199</v>
      </c>
      <c r="G323" s="38" t="s">
        <v>138</v>
      </c>
      <c r="H323" s="9" t="s">
        <v>166</v>
      </c>
      <c r="I323" s="38" t="s">
        <v>58</v>
      </c>
      <c r="J323" s="38">
        <v>0</v>
      </c>
      <c r="K323">
        <v>0</v>
      </c>
      <c r="L323">
        <v>0</v>
      </c>
      <c r="M323">
        <v>0</v>
      </c>
      <c r="N323" s="38">
        <v>39863813</v>
      </c>
      <c r="O323" s="38"/>
      <c r="P323" s="38" t="s">
        <v>149</v>
      </c>
      <c r="Q323" s="38"/>
    </row>
    <row r="324" spans="1:17" x14ac:dyDescent="0.25">
      <c r="A324" s="39">
        <v>45416</v>
      </c>
      <c r="B324" s="38" t="s">
        <v>122</v>
      </c>
      <c r="C324" s="38" t="s">
        <v>7</v>
      </c>
      <c r="D324" s="38" t="s">
        <v>356</v>
      </c>
      <c r="E324" s="38" t="s">
        <v>81</v>
      </c>
      <c r="F324" s="38" t="s">
        <v>90</v>
      </c>
      <c r="G324" s="38" t="s">
        <v>138</v>
      </c>
      <c r="H324" s="9" t="s">
        <v>167</v>
      </c>
      <c r="I324" s="38" t="s">
        <v>58</v>
      </c>
      <c r="J324" s="38">
        <v>0</v>
      </c>
      <c r="K324">
        <v>0</v>
      </c>
      <c r="L324">
        <v>0</v>
      </c>
      <c r="M324">
        <v>0</v>
      </c>
      <c r="N324" s="38">
        <v>20.9</v>
      </c>
      <c r="O324" s="38"/>
      <c r="P324" s="38" t="s">
        <v>148</v>
      </c>
      <c r="Q324" s="38"/>
    </row>
    <row r="325" spans="1:17" x14ac:dyDescent="0.25">
      <c r="A325" s="39">
        <v>45416</v>
      </c>
      <c r="B325" s="38" t="s">
        <v>120</v>
      </c>
      <c r="C325" s="38" t="s">
        <v>7</v>
      </c>
      <c r="D325" s="38" t="s">
        <v>333</v>
      </c>
      <c r="E325" s="38" t="s">
        <v>375</v>
      </c>
      <c r="F325" s="38" t="s">
        <v>285</v>
      </c>
      <c r="G325" s="38" t="s">
        <v>138</v>
      </c>
      <c r="H325" s="9" t="s">
        <v>121</v>
      </c>
      <c r="I325" s="38" t="s">
        <v>58</v>
      </c>
      <c r="J325" s="38">
        <v>0</v>
      </c>
      <c r="K325">
        <v>0</v>
      </c>
      <c r="L325">
        <v>0</v>
      </c>
      <c r="M325">
        <v>0</v>
      </c>
      <c r="N325" s="38">
        <v>41.69</v>
      </c>
      <c r="O325" s="38"/>
      <c r="P325" s="38" t="s">
        <v>151</v>
      </c>
      <c r="Q325" s="38"/>
    </row>
    <row r="326" spans="1:17" x14ac:dyDescent="0.25">
      <c r="A326" s="39">
        <v>45416</v>
      </c>
      <c r="B326" s="38" t="s">
        <v>119</v>
      </c>
      <c r="C326" s="38" t="s">
        <v>7</v>
      </c>
      <c r="D326" s="38" t="s">
        <v>178</v>
      </c>
      <c r="E326" s="38" t="s">
        <v>399</v>
      </c>
      <c r="F326" s="38" t="s">
        <v>192</v>
      </c>
      <c r="G326" s="38" t="s">
        <v>138</v>
      </c>
      <c r="H326" s="9" t="s">
        <v>168</v>
      </c>
      <c r="I326" s="38" t="s">
        <v>58</v>
      </c>
      <c r="J326" s="38">
        <v>0</v>
      </c>
      <c r="K326">
        <v>0</v>
      </c>
      <c r="L326">
        <v>0</v>
      </c>
      <c r="M326">
        <v>0</v>
      </c>
      <c r="N326" s="38">
        <v>41.62</v>
      </c>
      <c r="O326" s="38"/>
      <c r="P326" s="38" t="s">
        <v>149</v>
      </c>
      <c r="Q326" s="38"/>
    </row>
    <row r="327" spans="1:17" x14ac:dyDescent="0.25">
      <c r="A327" s="39">
        <v>45416</v>
      </c>
      <c r="B327" s="38" t="s">
        <v>117</v>
      </c>
      <c r="C327" s="38" t="s">
        <v>7</v>
      </c>
      <c r="D327" s="38" t="s">
        <v>349</v>
      </c>
      <c r="E327" s="38" t="s">
        <v>398</v>
      </c>
      <c r="F327" s="38" t="s">
        <v>90</v>
      </c>
      <c r="G327" s="38" t="s">
        <v>138</v>
      </c>
      <c r="H327" s="9" t="s">
        <v>118</v>
      </c>
      <c r="I327" s="38" t="s">
        <v>58</v>
      </c>
      <c r="J327" s="38">
        <v>0</v>
      </c>
      <c r="K327">
        <v>0</v>
      </c>
      <c r="L327">
        <v>0</v>
      </c>
      <c r="M327">
        <v>0</v>
      </c>
      <c r="N327" s="38">
        <v>34.69</v>
      </c>
      <c r="O327" s="38"/>
      <c r="P327" s="38" t="s">
        <v>151</v>
      </c>
      <c r="Q327" s="38"/>
    </row>
    <row r="328" spans="1:17" x14ac:dyDescent="0.25">
      <c r="A328" s="39">
        <v>45416</v>
      </c>
      <c r="B328" s="38" t="s">
        <v>39</v>
      </c>
      <c r="C328" s="38" t="s">
        <v>7</v>
      </c>
      <c r="D328" s="38" t="s">
        <v>177</v>
      </c>
      <c r="E328" s="38" t="s">
        <v>377</v>
      </c>
      <c r="F328" s="38" t="s">
        <v>90</v>
      </c>
      <c r="G328" s="38" t="s">
        <v>138</v>
      </c>
      <c r="H328" s="9" t="s">
        <v>116</v>
      </c>
      <c r="I328" s="38" t="s">
        <v>58</v>
      </c>
      <c r="J328" s="38">
        <v>0</v>
      </c>
      <c r="K328">
        <v>0</v>
      </c>
      <c r="L328">
        <v>0</v>
      </c>
      <c r="M328">
        <v>0</v>
      </c>
      <c r="N328" s="38">
        <v>41.24</v>
      </c>
      <c r="O328" s="38"/>
      <c r="P328" s="38" t="s">
        <v>151</v>
      </c>
      <c r="Q328" s="38"/>
    </row>
    <row r="329" spans="1:17" x14ac:dyDescent="0.25">
      <c r="A329" s="39">
        <v>45416</v>
      </c>
      <c r="B329" s="38" t="s">
        <v>113</v>
      </c>
      <c r="C329" s="38" t="s">
        <v>7</v>
      </c>
      <c r="D329" s="38" t="s">
        <v>188</v>
      </c>
      <c r="E329" s="38" t="s">
        <v>126</v>
      </c>
      <c r="F329" s="38" t="s">
        <v>199</v>
      </c>
      <c r="G329" s="38" t="s">
        <v>138</v>
      </c>
      <c r="H329" s="9" t="s">
        <v>114</v>
      </c>
      <c r="I329" s="38" t="s">
        <v>58</v>
      </c>
      <c r="J329" s="38">
        <v>0</v>
      </c>
      <c r="K329">
        <v>0</v>
      </c>
      <c r="L329">
        <v>0</v>
      </c>
      <c r="M329">
        <v>0</v>
      </c>
      <c r="N329" s="38">
        <v>41.35</v>
      </c>
      <c r="O329" s="38"/>
      <c r="P329" s="38" t="s">
        <v>149</v>
      </c>
      <c r="Q329" s="38"/>
    </row>
    <row r="330" spans="1:17" x14ac:dyDescent="0.25">
      <c r="A330" s="39">
        <v>45416</v>
      </c>
      <c r="B330" s="38" t="s">
        <v>111</v>
      </c>
      <c r="C330" s="38" t="s">
        <v>7</v>
      </c>
      <c r="D330" s="38" t="s">
        <v>189</v>
      </c>
      <c r="E330" s="38" t="s">
        <v>81</v>
      </c>
      <c r="F330" s="38" t="s">
        <v>285</v>
      </c>
      <c r="G330" s="38" t="s">
        <v>138</v>
      </c>
      <c r="H330" s="9" t="s">
        <v>112</v>
      </c>
      <c r="I330" s="38" t="s">
        <v>58</v>
      </c>
      <c r="J330" s="38">
        <v>0</v>
      </c>
      <c r="K330">
        <v>0</v>
      </c>
      <c r="L330">
        <v>0</v>
      </c>
      <c r="M330">
        <v>0</v>
      </c>
      <c r="N330" s="38">
        <v>20.48</v>
      </c>
      <c r="O330" s="38"/>
      <c r="P330" s="38" t="s">
        <v>153</v>
      </c>
      <c r="Q330" s="38"/>
    </row>
    <row r="331" spans="1:17" x14ac:dyDescent="0.25">
      <c r="A331" s="39">
        <v>45416</v>
      </c>
      <c r="B331" s="38" t="s">
        <v>109</v>
      </c>
      <c r="C331" s="38" t="s">
        <v>7</v>
      </c>
      <c r="D331" s="38" t="s">
        <v>142</v>
      </c>
      <c r="E331" s="38" t="s">
        <v>56</v>
      </c>
      <c r="F331" s="38" t="s">
        <v>199</v>
      </c>
      <c r="G331" s="38" t="s">
        <v>138</v>
      </c>
      <c r="H331" s="9" t="s">
        <v>110</v>
      </c>
      <c r="I331" s="38" t="s">
        <v>58</v>
      </c>
      <c r="J331" s="38">
        <v>0</v>
      </c>
      <c r="K331">
        <v>0</v>
      </c>
      <c r="L331">
        <v>0</v>
      </c>
      <c r="M331">
        <v>0</v>
      </c>
      <c r="N331" s="38">
        <v>41.05</v>
      </c>
      <c r="O331" s="38"/>
      <c r="P331" s="38" t="s">
        <v>149</v>
      </c>
      <c r="Q331" s="38"/>
    </row>
    <row r="332" spans="1:17" x14ac:dyDescent="0.25">
      <c r="A332" s="39">
        <v>45416</v>
      </c>
      <c r="B332" s="38" t="s">
        <v>107</v>
      </c>
      <c r="C332" s="38" t="s">
        <v>7</v>
      </c>
      <c r="D332" s="38" t="s">
        <v>401</v>
      </c>
      <c r="E332" s="38" t="s">
        <v>56</v>
      </c>
      <c r="F332" s="38" t="s">
        <v>93</v>
      </c>
      <c r="G332" s="38" t="s">
        <v>138</v>
      </c>
      <c r="H332" s="9" t="s">
        <v>108</v>
      </c>
      <c r="I332" s="38" t="s">
        <v>58</v>
      </c>
      <c r="J332" s="38">
        <v>0</v>
      </c>
      <c r="K332">
        <v>0</v>
      </c>
      <c r="L332">
        <v>0</v>
      </c>
      <c r="M332">
        <v>0</v>
      </c>
      <c r="N332" s="38">
        <v>12.09</v>
      </c>
      <c r="O332" s="38"/>
      <c r="P332" s="38" t="s">
        <v>403</v>
      </c>
      <c r="Q332" s="38"/>
    </row>
    <row r="333" spans="1:17" x14ac:dyDescent="0.25">
      <c r="A333" s="39">
        <v>45416</v>
      </c>
      <c r="B333" s="38" t="s">
        <v>41</v>
      </c>
      <c r="C333" s="38" t="s">
        <v>7</v>
      </c>
      <c r="D333" s="38" t="s">
        <v>123</v>
      </c>
      <c r="E333" s="38" t="s">
        <v>81</v>
      </c>
      <c r="F333" s="38" t="s">
        <v>285</v>
      </c>
      <c r="G333" s="38" t="s">
        <v>138</v>
      </c>
      <c r="H333" s="9" t="s">
        <v>106</v>
      </c>
      <c r="I333" s="38" t="s">
        <v>58</v>
      </c>
      <c r="J333" s="38">
        <v>0</v>
      </c>
      <c r="K333">
        <v>0</v>
      </c>
      <c r="L333">
        <v>0</v>
      </c>
      <c r="M333">
        <v>0</v>
      </c>
      <c r="N333" s="38">
        <v>17.88</v>
      </c>
      <c r="O333" s="38"/>
      <c r="P333" s="38" t="s">
        <v>152</v>
      </c>
      <c r="Q333" s="38"/>
    </row>
    <row r="334" spans="1:17" x14ac:dyDescent="0.25">
      <c r="A334" s="39">
        <v>45416</v>
      </c>
      <c r="B334" s="38" t="s">
        <v>43</v>
      </c>
      <c r="C334" s="38" t="s">
        <v>7</v>
      </c>
      <c r="D334" s="38" t="s">
        <v>282</v>
      </c>
      <c r="E334" s="38" t="s">
        <v>275</v>
      </c>
      <c r="F334" s="38" t="s">
        <v>276</v>
      </c>
      <c r="G334" s="38" t="s">
        <v>138</v>
      </c>
      <c r="H334" s="9" t="s">
        <v>208</v>
      </c>
      <c r="I334" s="38" t="s">
        <v>58</v>
      </c>
      <c r="J334" s="38">
        <v>0</v>
      </c>
      <c r="K334">
        <v>0</v>
      </c>
      <c r="L334">
        <v>0</v>
      </c>
      <c r="M334">
        <v>0</v>
      </c>
      <c r="N334" s="38">
        <v>17.25</v>
      </c>
      <c r="O334" s="38"/>
      <c r="P334" s="38" t="s">
        <v>154</v>
      </c>
      <c r="Q334" s="38"/>
    </row>
    <row r="335" spans="1:17" x14ac:dyDescent="0.25">
      <c r="A335" s="39">
        <v>45416</v>
      </c>
      <c r="B335" s="38" t="s">
        <v>5</v>
      </c>
      <c r="C335" s="38" t="s">
        <v>7</v>
      </c>
      <c r="D335" s="38" t="s">
        <v>283</v>
      </c>
      <c r="E335" s="38" t="s">
        <v>60</v>
      </c>
      <c r="F335" s="38" t="s">
        <v>285</v>
      </c>
      <c r="G335" s="38" t="s">
        <v>138</v>
      </c>
      <c r="H335" s="9" t="s">
        <v>209</v>
      </c>
      <c r="I335" s="38" t="s">
        <v>58</v>
      </c>
      <c r="J335" s="38">
        <v>0</v>
      </c>
      <c r="K335">
        <v>0</v>
      </c>
      <c r="L335">
        <v>0</v>
      </c>
      <c r="M335">
        <v>0</v>
      </c>
      <c r="N335" s="38">
        <v>16.46</v>
      </c>
      <c r="O335" s="38"/>
      <c r="P335" s="38" t="s">
        <v>153</v>
      </c>
      <c r="Q335" s="38"/>
    </row>
    <row r="336" spans="1:17" x14ac:dyDescent="0.25">
      <c r="A336" s="39">
        <v>45416</v>
      </c>
      <c r="B336" s="38" t="s">
        <v>9</v>
      </c>
      <c r="C336" s="38" t="s">
        <v>7</v>
      </c>
      <c r="D336" s="38" t="s">
        <v>189</v>
      </c>
      <c r="E336" s="38" t="s">
        <v>360</v>
      </c>
      <c r="F336" s="38" t="s">
        <v>276</v>
      </c>
      <c r="G336" s="38" t="s">
        <v>138</v>
      </c>
      <c r="H336" s="9" t="s">
        <v>210</v>
      </c>
      <c r="I336" s="38" t="s">
        <v>58</v>
      </c>
      <c r="J336" s="38">
        <v>0</v>
      </c>
      <c r="K336">
        <v>0</v>
      </c>
      <c r="L336">
        <v>0</v>
      </c>
      <c r="M336">
        <v>0</v>
      </c>
      <c r="N336" s="38">
        <v>23.18</v>
      </c>
      <c r="O336" s="38"/>
      <c r="P336" s="38" t="s">
        <v>153</v>
      </c>
      <c r="Q336" s="38"/>
    </row>
    <row r="337" spans="1:17" x14ac:dyDescent="0.25">
      <c r="A337" s="39">
        <v>45416</v>
      </c>
      <c r="B337" s="38" t="s">
        <v>10</v>
      </c>
      <c r="C337" s="38" t="s">
        <v>7</v>
      </c>
      <c r="D337" s="38" t="s">
        <v>263</v>
      </c>
      <c r="E337" s="38" t="s">
        <v>342</v>
      </c>
      <c r="F337" s="38" t="s">
        <v>90</v>
      </c>
      <c r="G337" s="38" t="s">
        <v>138</v>
      </c>
      <c r="H337" s="9" t="s">
        <v>211</v>
      </c>
      <c r="I337" s="38" t="s">
        <v>58</v>
      </c>
      <c r="J337" s="38">
        <v>0</v>
      </c>
      <c r="K337">
        <v>0</v>
      </c>
      <c r="L337">
        <v>0</v>
      </c>
      <c r="M337">
        <v>0</v>
      </c>
      <c r="N337" s="38">
        <v>74.34</v>
      </c>
      <c r="O337" s="38"/>
      <c r="P337" s="38" t="s">
        <v>151</v>
      </c>
      <c r="Q337" s="38"/>
    </row>
    <row r="338" spans="1:17" x14ac:dyDescent="0.25">
      <c r="A338" s="39">
        <v>45416</v>
      </c>
      <c r="B338" s="38" t="s">
        <v>11</v>
      </c>
      <c r="C338" s="38" t="s">
        <v>7</v>
      </c>
      <c r="D338" s="38" t="s">
        <v>205</v>
      </c>
      <c r="E338" s="38" t="s">
        <v>60</v>
      </c>
      <c r="F338" s="38" t="s">
        <v>93</v>
      </c>
      <c r="G338" s="38" t="s">
        <v>138</v>
      </c>
      <c r="H338" s="9" t="s">
        <v>212</v>
      </c>
      <c r="I338" s="38" t="s">
        <v>58</v>
      </c>
      <c r="J338" s="38">
        <v>0</v>
      </c>
      <c r="K338">
        <v>0</v>
      </c>
      <c r="L338">
        <v>0</v>
      </c>
      <c r="M338">
        <v>0</v>
      </c>
      <c r="N338" s="38">
        <v>11.39</v>
      </c>
      <c r="O338" s="38"/>
      <c r="P338" s="38" t="s">
        <v>147</v>
      </c>
      <c r="Q338" s="38"/>
    </row>
    <row r="339" spans="1:17" x14ac:dyDescent="0.25">
      <c r="A339" s="39">
        <v>45416</v>
      </c>
      <c r="B339" s="38" t="s">
        <v>12</v>
      </c>
      <c r="C339" s="38" t="s">
        <v>7</v>
      </c>
      <c r="D339" s="38" t="s">
        <v>286</v>
      </c>
      <c r="E339" s="38" t="s">
        <v>60</v>
      </c>
      <c r="F339" s="38" t="s">
        <v>285</v>
      </c>
      <c r="G339" s="38" t="s">
        <v>138</v>
      </c>
      <c r="H339" s="9" t="s">
        <v>213</v>
      </c>
      <c r="I339" s="38" t="s">
        <v>58</v>
      </c>
      <c r="J339" s="38">
        <v>0</v>
      </c>
      <c r="K339">
        <v>0</v>
      </c>
      <c r="L339">
        <v>0</v>
      </c>
      <c r="M339">
        <v>0</v>
      </c>
      <c r="N339" s="38">
        <v>11.98</v>
      </c>
      <c r="O339" s="38"/>
      <c r="P339" s="38" t="s">
        <v>154</v>
      </c>
      <c r="Q339" s="38"/>
    </row>
    <row r="340" spans="1:17" x14ac:dyDescent="0.25">
      <c r="A340" s="39">
        <v>45416</v>
      </c>
      <c r="B340" s="38" t="s">
        <v>105</v>
      </c>
      <c r="C340" s="38" t="s">
        <v>7</v>
      </c>
      <c r="D340" s="38" t="s">
        <v>267</v>
      </c>
      <c r="E340" s="38" t="s">
        <v>60</v>
      </c>
      <c r="F340" s="38" t="s">
        <v>93</v>
      </c>
      <c r="G340" s="38" t="s">
        <v>138</v>
      </c>
      <c r="H340" s="9" t="s">
        <v>214</v>
      </c>
      <c r="I340" s="38" t="s">
        <v>58</v>
      </c>
      <c r="J340" s="38">
        <v>0</v>
      </c>
      <c r="K340">
        <v>0</v>
      </c>
      <c r="L340">
        <v>0</v>
      </c>
      <c r="M340">
        <v>0</v>
      </c>
      <c r="N340" s="38">
        <v>12.39</v>
      </c>
      <c r="O340" s="38"/>
      <c r="P340" s="38" t="s">
        <v>147</v>
      </c>
      <c r="Q340" s="38"/>
    </row>
    <row r="341" spans="1:17" x14ac:dyDescent="0.25">
      <c r="A341" s="39">
        <v>45416</v>
      </c>
      <c r="B341" s="38" t="s">
        <v>104</v>
      </c>
      <c r="C341" s="38" t="s">
        <v>7</v>
      </c>
      <c r="D341" s="38" t="s">
        <v>143</v>
      </c>
      <c r="E341" s="38" t="s">
        <v>60</v>
      </c>
      <c r="F341" s="38" t="s">
        <v>285</v>
      </c>
      <c r="G341" s="38" t="s">
        <v>138</v>
      </c>
      <c r="H341" s="9" t="s">
        <v>215</v>
      </c>
      <c r="I341" s="38" t="s">
        <v>58</v>
      </c>
      <c r="J341" s="38">
        <v>0</v>
      </c>
      <c r="K341">
        <v>0</v>
      </c>
      <c r="L341">
        <v>0</v>
      </c>
      <c r="M341">
        <v>0</v>
      </c>
      <c r="N341" s="38">
        <v>13.96</v>
      </c>
      <c r="O341" s="38"/>
      <c r="P341" s="38" t="s">
        <v>154</v>
      </c>
      <c r="Q341" s="38"/>
    </row>
    <row r="342" spans="1:17" x14ac:dyDescent="0.25">
      <c r="A342" s="39">
        <v>45416</v>
      </c>
      <c r="B342" s="38" t="s">
        <v>13</v>
      </c>
      <c r="C342" s="38" t="s">
        <v>7</v>
      </c>
      <c r="D342" s="38" t="s">
        <v>350</v>
      </c>
      <c r="E342" s="38" t="s">
        <v>60</v>
      </c>
      <c r="F342" s="38" t="s">
        <v>93</v>
      </c>
      <c r="G342" s="38" t="s">
        <v>138</v>
      </c>
      <c r="H342" s="9" t="s">
        <v>216</v>
      </c>
      <c r="I342" s="38" t="s">
        <v>58</v>
      </c>
      <c r="J342" s="38">
        <v>0</v>
      </c>
      <c r="K342">
        <v>0</v>
      </c>
      <c r="L342">
        <v>0</v>
      </c>
      <c r="M342">
        <v>0</v>
      </c>
      <c r="N342" s="38">
        <v>12.4</v>
      </c>
      <c r="O342" s="38"/>
      <c r="P342" s="38" t="s">
        <v>147</v>
      </c>
      <c r="Q342" s="38"/>
    </row>
    <row r="343" spans="1:17" x14ac:dyDescent="0.25">
      <c r="A343" s="39">
        <v>45416</v>
      </c>
      <c r="B343" s="38" t="s">
        <v>103</v>
      </c>
      <c r="C343" s="38" t="s">
        <v>7</v>
      </c>
      <c r="D343" s="38" t="s">
        <v>179</v>
      </c>
      <c r="E343" s="38" t="s">
        <v>81</v>
      </c>
      <c r="F343" s="38" t="s">
        <v>90</v>
      </c>
      <c r="G343" s="38" t="s">
        <v>138</v>
      </c>
      <c r="H343" s="9" t="s">
        <v>217</v>
      </c>
      <c r="I343" s="38" t="s">
        <v>65</v>
      </c>
      <c r="J343" s="38">
        <v>0</v>
      </c>
      <c r="K343">
        <v>0</v>
      </c>
      <c r="L343">
        <v>0</v>
      </c>
      <c r="M343">
        <v>0</v>
      </c>
      <c r="N343" s="38">
        <v>41.9</v>
      </c>
      <c r="O343" s="38"/>
      <c r="P343" s="38" t="s">
        <v>187</v>
      </c>
      <c r="Q343" s="38"/>
    </row>
    <row r="344" spans="1:17" x14ac:dyDescent="0.25">
      <c r="A344" s="39">
        <v>45416</v>
      </c>
      <c r="B344" s="38" t="s">
        <v>101</v>
      </c>
      <c r="C344" s="38" t="s">
        <v>7</v>
      </c>
      <c r="D344" s="38" t="s">
        <v>405</v>
      </c>
      <c r="E344" s="38" t="s">
        <v>81</v>
      </c>
      <c r="F344" s="38" t="s">
        <v>285</v>
      </c>
      <c r="G344" s="38" t="s">
        <v>138</v>
      </c>
      <c r="H344" s="9" t="s">
        <v>102</v>
      </c>
      <c r="I344" s="38" t="s">
        <v>58</v>
      </c>
      <c r="J344" s="38">
        <v>0</v>
      </c>
      <c r="K344">
        <v>0</v>
      </c>
      <c r="L344">
        <v>0</v>
      </c>
      <c r="M344">
        <v>0</v>
      </c>
      <c r="N344" s="38">
        <v>19.600000000000001</v>
      </c>
      <c r="O344" s="38"/>
      <c r="P344" s="38" t="s">
        <v>151</v>
      </c>
      <c r="Q344" s="38"/>
    </row>
    <row r="345" spans="1:17" x14ac:dyDescent="0.25">
      <c r="A345" s="39">
        <v>45416</v>
      </c>
      <c r="B345" s="38" t="s">
        <v>99</v>
      </c>
      <c r="C345" s="38" t="s">
        <v>7</v>
      </c>
      <c r="D345" s="38" t="s">
        <v>249</v>
      </c>
      <c r="E345" s="38" t="s">
        <v>81</v>
      </c>
      <c r="F345" s="38" t="s">
        <v>90</v>
      </c>
      <c r="G345" s="38" t="s">
        <v>138</v>
      </c>
      <c r="H345" s="9" t="s">
        <v>100</v>
      </c>
      <c r="I345" s="38"/>
      <c r="J345" s="38">
        <v>0</v>
      </c>
      <c r="K345">
        <v>0</v>
      </c>
      <c r="L345">
        <v>0</v>
      </c>
      <c r="M345">
        <v>0</v>
      </c>
      <c r="N345" s="38">
        <v>41.83</v>
      </c>
      <c r="O345" s="38"/>
      <c r="P345" s="38" t="s">
        <v>152</v>
      </c>
      <c r="Q345" s="38"/>
    </row>
    <row r="346" spans="1:17" x14ac:dyDescent="0.25">
      <c r="A346" s="39">
        <v>45416</v>
      </c>
      <c r="B346" s="38" t="s">
        <v>97</v>
      </c>
      <c r="C346" s="38" t="s">
        <v>7</v>
      </c>
      <c r="D346" s="38" t="s">
        <v>288</v>
      </c>
      <c r="E346" s="38" t="s">
        <v>352</v>
      </c>
      <c r="F346" s="38" t="s">
        <v>285</v>
      </c>
      <c r="G346" s="38" t="s">
        <v>138</v>
      </c>
      <c r="H346" s="9" t="s">
        <v>98</v>
      </c>
      <c r="I346" s="38" t="s">
        <v>58</v>
      </c>
      <c r="J346" s="38">
        <v>0</v>
      </c>
      <c r="K346">
        <v>0</v>
      </c>
      <c r="L346">
        <v>0</v>
      </c>
      <c r="M346">
        <v>0</v>
      </c>
      <c r="N346" s="38">
        <v>22.49</v>
      </c>
      <c r="O346" s="38"/>
      <c r="P346" s="38" t="s">
        <v>148</v>
      </c>
      <c r="Q346" s="38"/>
    </row>
    <row r="347" spans="1:17" x14ac:dyDescent="0.25">
      <c r="A347" s="39">
        <v>45416</v>
      </c>
      <c r="B347" s="38" t="s">
        <v>95</v>
      </c>
      <c r="C347" s="38" t="s">
        <v>7</v>
      </c>
      <c r="D347" s="38" t="s">
        <v>181</v>
      </c>
      <c r="E347" s="38" t="s">
        <v>81</v>
      </c>
      <c r="F347" s="38" t="s">
        <v>90</v>
      </c>
      <c r="G347" s="38" t="s">
        <v>138</v>
      </c>
      <c r="H347" s="9" t="s">
        <v>96</v>
      </c>
      <c r="I347" s="38" t="s">
        <v>65</v>
      </c>
      <c r="J347" s="38">
        <v>0</v>
      </c>
      <c r="K347">
        <v>0</v>
      </c>
      <c r="L347">
        <v>0</v>
      </c>
      <c r="M347">
        <v>0</v>
      </c>
      <c r="N347" s="38">
        <v>20.38</v>
      </c>
      <c r="O347" s="38"/>
      <c r="P347" s="38" t="s">
        <v>152</v>
      </c>
      <c r="Q347" s="38"/>
    </row>
    <row r="348" spans="1:17" x14ac:dyDescent="0.25">
      <c r="A348" s="39">
        <v>45416</v>
      </c>
      <c r="B348" s="38" t="s">
        <v>14</v>
      </c>
      <c r="C348" s="38" t="s">
        <v>7</v>
      </c>
      <c r="D348" s="38" t="s">
        <v>289</v>
      </c>
      <c r="E348" s="38" t="s">
        <v>352</v>
      </c>
      <c r="F348" s="38" t="s">
        <v>285</v>
      </c>
      <c r="G348" s="38" t="s">
        <v>138</v>
      </c>
      <c r="H348" s="9" t="s">
        <v>94</v>
      </c>
      <c r="I348" s="38" t="s">
        <v>58</v>
      </c>
      <c r="J348" s="38">
        <v>0</v>
      </c>
      <c r="K348">
        <v>0</v>
      </c>
      <c r="L348">
        <v>0</v>
      </c>
      <c r="M348">
        <v>0</v>
      </c>
      <c r="N348" s="38">
        <v>25.88</v>
      </c>
      <c r="O348" s="38"/>
      <c r="P348" s="38" t="s">
        <v>151</v>
      </c>
      <c r="Q348" s="38"/>
    </row>
    <row r="349" spans="1:17" x14ac:dyDescent="0.25">
      <c r="A349" s="39">
        <v>45416</v>
      </c>
      <c r="B349" s="38" t="s">
        <v>91</v>
      </c>
      <c r="C349" s="38" t="s">
        <v>7</v>
      </c>
      <c r="D349" s="38" t="s">
        <v>180</v>
      </c>
      <c r="E349" s="38" t="s">
        <v>81</v>
      </c>
      <c r="F349" s="38" t="s">
        <v>90</v>
      </c>
      <c r="G349" s="38" t="s">
        <v>138</v>
      </c>
      <c r="H349" s="9" t="s">
        <v>92</v>
      </c>
      <c r="I349" s="38"/>
      <c r="J349" s="38">
        <v>0</v>
      </c>
      <c r="K349">
        <v>0</v>
      </c>
      <c r="L349">
        <v>0</v>
      </c>
      <c r="M349">
        <v>0</v>
      </c>
      <c r="N349" s="38">
        <v>16.73</v>
      </c>
      <c r="O349" s="38"/>
      <c r="P349" s="38" t="s">
        <v>148</v>
      </c>
      <c r="Q349" s="38"/>
    </row>
    <row r="350" spans="1:17" x14ac:dyDescent="0.25">
      <c r="A350" s="39">
        <v>45416</v>
      </c>
      <c r="B350" s="38" t="s">
        <v>15</v>
      </c>
      <c r="C350" s="38" t="s">
        <v>7</v>
      </c>
      <c r="D350" s="38" t="s">
        <v>140</v>
      </c>
      <c r="E350" s="38" t="s">
        <v>81</v>
      </c>
      <c r="F350" s="38" t="s">
        <v>285</v>
      </c>
      <c r="G350" s="38" t="s">
        <v>138</v>
      </c>
      <c r="H350" s="9" t="s">
        <v>218</v>
      </c>
      <c r="I350" s="38" t="s">
        <v>58</v>
      </c>
      <c r="J350" s="38">
        <v>0</v>
      </c>
      <c r="K350">
        <v>0</v>
      </c>
      <c r="L350">
        <v>0</v>
      </c>
      <c r="M350">
        <v>0</v>
      </c>
      <c r="N350" s="38">
        <v>20.190000000000001</v>
      </c>
      <c r="O350" s="38"/>
      <c r="P350" s="38" t="s">
        <v>148</v>
      </c>
      <c r="Q350" s="38"/>
    </row>
    <row r="351" spans="1:17" x14ac:dyDescent="0.25">
      <c r="A351" s="39">
        <v>45416</v>
      </c>
      <c r="B351" s="38" t="s">
        <v>89</v>
      </c>
      <c r="C351" s="38" t="s">
        <v>7</v>
      </c>
      <c r="D351" s="38" t="s">
        <v>176</v>
      </c>
      <c r="E351" s="38" t="s">
        <v>398</v>
      </c>
      <c r="F351" s="38" t="s">
        <v>90</v>
      </c>
      <c r="G351" s="38" t="s">
        <v>138</v>
      </c>
      <c r="H351" s="9" t="s">
        <v>219</v>
      </c>
      <c r="I351" s="38" t="s">
        <v>65</v>
      </c>
      <c r="J351" s="38">
        <v>0</v>
      </c>
      <c r="K351">
        <v>0</v>
      </c>
      <c r="L351">
        <v>0</v>
      </c>
      <c r="M351">
        <v>0</v>
      </c>
      <c r="N351" s="38">
        <v>17.670000000000002</v>
      </c>
      <c r="O351" s="38"/>
      <c r="P351" s="38" t="s">
        <v>186</v>
      </c>
      <c r="Q351" s="38"/>
    </row>
    <row r="352" spans="1:17" x14ac:dyDescent="0.25">
      <c r="A352" s="39">
        <v>45416</v>
      </c>
      <c r="B352" s="38" t="s">
        <v>16</v>
      </c>
      <c r="C352" s="38" t="s">
        <v>7</v>
      </c>
      <c r="D352" s="38" t="s">
        <v>407</v>
      </c>
      <c r="E352" s="38" t="s">
        <v>360</v>
      </c>
      <c r="F352" s="38" t="s">
        <v>253</v>
      </c>
      <c r="G352" s="38" t="s">
        <v>138</v>
      </c>
      <c r="H352" s="9" t="s">
        <v>220</v>
      </c>
      <c r="I352" s="38" t="s">
        <v>58</v>
      </c>
      <c r="J352" s="38">
        <v>0</v>
      </c>
      <c r="K352">
        <v>0</v>
      </c>
      <c r="L352">
        <v>0</v>
      </c>
      <c r="M352">
        <v>0</v>
      </c>
      <c r="N352" s="38">
        <v>21.19</v>
      </c>
      <c r="O352" s="38"/>
      <c r="P352" s="38" t="s">
        <v>151</v>
      </c>
      <c r="Q352" s="38"/>
    </row>
    <row r="353" spans="1:17" x14ac:dyDescent="0.25">
      <c r="A353" s="39">
        <v>45416</v>
      </c>
      <c r="B353" s="38" t="s">
        <v>88</v>
      </c>
      <c r="C353" s="38" t="s">
        <v>7</v>
      </c>
      <c r="D353" s="38" t="s">
        <v>311</v>
      </c>
      <c r="E353" s="38" t="s">
        <v>60</v>
      </c>
      <c r="F353" s="38" t="s">
        <v>253</v>
      </c>
      <c r="G353" s="38" t="s">
        <v>138</v>
      </c>
      <c r="H353" s="9" t="s">
        <v>221</v>
      </c>
      <c r="I353" s="38"/>
      <c r="J353" s="38">
        <v>0</v>
      </c>
      <c r="K353">
        <v>0</v>
      </c>
      <c r="L353">
        <v>0</v>
      </c>
      <c r="M353">
        <v>0</v>
      </c>
      <c r="N353" s="38">
        <v>38.44</v>
      </c>
      <c r="O353" s="38"/>
      <c r="P353" s="38" t="s">
        <v>154</v>
      </c>
      <c r="Q353" s="38"/>
    </row>
    <row r="354" spans="1:17" x14ac:dyDescent="0.25">
      <c r="A354" s="39">
        <v>45416</v>
      </c>
      <c r="B354" s="38" t="s">
        <v>17</v>
      </c>
      <c r="C354" s="38" t="s">
        <v>7</v>
      </c>
      <c r="D354" s="38" t="s">
        <v>272</v>
      </c>
      <c r="E354" s="38" t="s">
        <v>275</v>
      </c>
      <c r="F354" s="38" t="s">
        <v>276</v>
      </c>
      <c r="G354" s="38" t="s">
        <v>138</v>
      </c>
      <c r="H354" s="9" t="s">
        <v>222</v>
      </c>
      <c r="I354" s="38" t="s">
        <v>58</v>
      </c>
      <c r="J354" s="38">
        <v>0</v>
      </c>
      <c r="K354">
        <v>0</v>
      </c>
      <c r="L354">
        <v>0</v>
      </c>
      <c r="M354">
        <v>0</v>
      </c>
      <c r="N354" s="38">
        <v>20.56</v>
      </c>
      <c r="O354" s="38"/>
      <c r="P354" s="38" t="s">
        <v>151</v>
      </c>
      <c r="Q354" s="38"/>
    </row>
    <row r="355" spans="1:17" x14ac:dyDescent="0.25">
      <c r="A355" s="39">
        <v>45416</v>
      </c>
      <c r="B355" s="38" t="s">
        <v>19</v>
      </c>
      <c r="C355" s="38" t="s">
        <v>7</v>
      </c>
      <c r="D355" s="38" t="s">
        <v>343</v>
      </c>
      <c r="E355" s="38" t="s">
        <v>81</v>
      </c>
      <c r="F355" s="38" t="s">
        <v>253</v>
      </c>
      <c r="G355" s="38" t="s">
        <v>138</v>
      </c>
      <c r="H355" s="9" t="s">
        <v>223</v>
      </c>
      <c r="I355" s="38" t="s">
        <v>65</v>
      </c>
      <c r="J355" s="38">
        <v>0</v>
      </c>
      <c r="K355">
        <v>0</v>
      </c>
      <c r="L355">
        <v>0</v>
      </c>
      <c r="M355">
        <v>0</v>
      </c>
      <c r="N355" s="38">
        <v>41.06</v>
      </c>
      <c r="O355" s="38"/>
      <c r="P355" s="38" t="s">
        <v>151</v>
      </c>
      <c r="Q355" s="38"/>
    </row>
    <row r="356" spans="1:17" x14ac:dyDescent="0.25">
      <c r="A356" s="39">
        <v>45416</v>
      </c>
      <c r="B356" s="38" t="s">
        <v>18</v>
      </c>
      <c r="C356" s="38" t="s">
        <v>7</v>
      </c>
      <c r="D356" s="38" t="s">
        <v>268</v>
      </c>
      <c r="E356" s="38" t="s">
        <v>408</v>
      </c>
      <c r="F356" s="38" t="s">
        <v>253</v>
      </c>
      <c r="G356" s="38" t="s">
        <v>138</v>
      </c>
      <c r="H356" s="9" t="s">
        <v>224</v>
      </c>
      <c r="I356" s="38" t="s">
        <v>58</v>
      </c>
      <c r="J356" s="38">
        <v>0</v>
      </c>
      <c r="K356">
        <v>0</v>
      </c>
      <c r="L356">
        <v>0</v>
      </c>
      <c r="M356">
        <v>0</v>
      </c>
      <c r="N356" s="38">
        <v>18.89</v>
      </c>
      <c r="O356" s="38"/>
      <c r="P356" s="38" t="s">
        <v>148</v>
      </c>
      <c r="Q356" s="38"/>
    </row>
    <row r="357" spans="1:17" x14ac:dyDescent="0.25">
      <c r="A357" s="39">
        <v>45416</v>
      </c>
      <c r="B357" s="38" t="s">
        <v>87</v>
      </c>
      <c r="C357" s="38" t="s">
        <v>7</v>
      </c>
      <c r="D357" s="38"/>
      <c r="E357" s="38"/>
      <c r="F357" s="38"/>
      <c r="G357" s="38" t="s">
        <v>138</v>
      </c>
      <c r="H357" s="9" t="s">
        <v>225</v>
      </c>
      <c r="I357" s="38"/>
      <c r="J357" s="38">
        <v>0</v>
      </c>
      <c r="K357">
        <v>0</v>
      </c>
      <c r="L357">
        <v>0</v>
      </c>
      <c r="M357">
        <v>0</v>
      </c>
      <c r="N357" s="38">
        <v>41146219</v>
      </c>
      <c r="O357" s="38"/>
      <c r="P357" s="38"/>
      <c r="Q357" s="38"/>
    </row>
    <row r="358" spans="1:17" x14ac:dyDescent="0.25">
      <c r="A358" s="39">
        <v>45416</v>
      </c>
      <c r="B358" s="38" t="s">
        <v>42</v>
      </c>
      <c r="C358" s="38" t="s">
        <v>7</v>
      </c>
      <c r="D358" s="38" t="s">
        <v>246</v>
      </c>
      <c r="E358" s="38" t="s">
        <v>81</v>
      </c>
      <c r="F358" s="38" t="s">
        <v>285</v>
      </c>
      <c r="G358" s="38" t="s">
        <v>138</v>
      </c>
      <c r="H358" s="9" t="s">
        <v>226</v>
      </c>
      <c r="I358" s="38" t="s">
        <v>58</v>
      </c>
      <c r="J358" s="38">
        <v>0</v>
      </c>
      <c r="K358">
        <v>0</v>
      </c>
      <c r="L358">
        <v>0</v>
      </c>
      <c r="M358">
        <v>0</v>
      </c>
      <c r="N358" s="38">
        <v>20.7</v>
      </c>
      <c r="O358" s="38"/>
      <c r="P358" s="38" t="s">
        <v>148</v>
      </c>
      <c r="Q358" s="38"/>
    </row>
    <row r="359" spans="1:17" x14ac:dyDescent="0.25">
      <c r="A359" s="39">
        <v>45416</v>
      </c>
      <c r="B359" s="38" t="s">
        <v>86</v>
      </c>
      <c r="C359" s="38" t="s">
        <v>7</v>
      </c>
      <c r="D359" s="38" t="s">
        <v>271</v>
      </c>
      <c r="E359" s="38" t="s">
        <v>275</v>
      </c>
      <c r="F359" s="38" t="s">
        <v>276</v>
      </c>
      <c r="G359" s="38" t="s">
        <v>138</v>
      </c>
      <c r="H359" s="9" t="s">
        <v>227</v>
      </c>
      <c r="I359" s="38" t="s">
        <v>65</v>
      </c>
      <c r="J359" s="38">
        <v>0</v>
      </c>
      <c r="K359">
        <v>0</v>
      </c>
      <c r="L359">
        <v>0</v>
      </c>
      <c r="M359">
        <v>0</v>
      </c>
      <c r="N359" s="38">
        <v>41.64</v>
      </c>
      <c r="O359" s="38"/>
      <c r="P359" s="38" t="s">
        <v>152</v>
      </c>
      <c r="Q359" s="38"/>
    </row>
    <row r="360" spans="1:17" x14ac:dyDescent="0.25">
      <c r="A360" s="39">
        <v>45416</v>
      </c>
      <c r="B360" s="38" t="s">
        <v>38</v>
      </c>
      <c r="C360" s="38" t="s">
        <v>7</v>
      </c>
      <c r="D360" s="38" t="s">
        <v>141</v>
      </c>
      <c r="E360" s="38" t="s">
        <v>81</v>
      </c>
      <c r="F360" s="38" t="s">
        <v>285</v>
      </c>
      <c r="G360" s="38" t="s">
        <v>138</v>
      </c>
      <c r="H360" s="9" t="s">
        <v>85</v>
      </c>
      <c r="I360" s="38" t="s">
        <v>58</v>
      </c>
      <c r="J360" s="38">
        <v>0</v>
      </c>
      <c r="K360">
        <v>0</v>
      </c>
      <c r="L360">
        <v>0</v>
      </c>
      <c r="M360">
        <v>0</v>
      </c>
      <c r="N360" s="38">
        <v>37.5</v>
      </c>
      <c r="O360" s="38"/>
      <c r="P360" s="38" t="s">
        <v>151</v>
      </c>
      <c r="Q360" s="38"/>
    </row>
    <row r="361" spans="1:17" x14ac:dyDescent="0.25">
      <c r="A361" s="39">
        <v>45416</v>
      </c>
      <c r="B361" s="38" t="s">
        <v>83</v>
      </c>
      <c r="C361" s="38" t="s">
        <v>7</v>
      </c>
      <c r="D361" s="38"/>
      <c r="E361" s="38"/>
      <c r="F361" s="38"/>
      <c r="G361" s="38" t="s">
        <v>138</v>
      </c>
      <c r="H361" s="9" t="s">
        <v>84</v>
      </c>
      <c r="I361" s="38"/>
      <c r="J361" s="38">
        <v>0</v>
      </c>
      <c r="K361">
        <v>0</v>
      </c>
      <c r="L361">
        <v>0</v>
      </c>
      <c r="M361">
        <v>0</v>
      </c>
      <c r="N361" s="38">
        <v>41.36</v>
      </c>
      <c r="O361" s="38"/>
      <c r="P361" s="38"/>
      <c r="Q361" s="38"/>
    </row>
    <row r="362" spans="1:17" x14ac:dyDescent="0.25">
      <c r="A362" s="39">
        <v>45416</v>
      </c>
      <c r="B362" s="38" t="s">
        <v>20</v>
      </c>
      <c r="C362" s="38" t="s">
        <v>7</v>
      </c>
      <c r="D362" s="38" t="s">
        <v>351</v>
      </c>
      <c r="E362" s="38" t="s">
        <v>352</v>
      </c>
      <c r="F362" s="38" t="s">
        <v>285</v>
      </c>
      <c r="G362" s="38" t="s">
        <v>138</v>
      </c>
      <c r="H362" s="9" t="s">
        <v>82</v>
      </c>
      <c r="I362" s="38" t="s">
        <v>58</v>
      </c>
      <c r="J362" s="38">
        <v>0</v>
      </c>
      <c r="K362">
        <v>0</v>
      </c>
      <c r="L362">
        <v>0</v>
      </c>
      <c r="M362">
        <v>0</v>
      </c>
      <c r="N362" s="38">
        <v>22.79</v>
      </c>
      <c r="O362" s="38"/>
      <c r="P362" s="38" t="s">
        <v>151</v>
      </c>
      <c r="Q362" s="38"/>
    </row>
    <row r="363" spans="1:17" x14ac:dyDescent="0.25">
      <c r="A363" s="39">
        <v>45416</v>
      </c>
      <c r="B363" s="38" t="s">
        <v>21</v>
      </c>
      <c r="C363" s="38" t="s">
        <v>7</v>
      </c>
      <c r="D363" s="38" t="s">
        <v>291</v>
      </c>
      <c r="E363" s="38" t="s">
        <v>352</v>
      </c>
      <c r="F363" s="38" t="s">
        <v>285</v>
      </c>
      <c r="G363" s="38" t="s">
        <v>138</v>
      </c>
      <c r="H363" s="9" t="s">
        <v>80</v>
      </c>
      <c r="I363" s="38" t="s">
        <v>65</v>
      </c>
      <c r="J363" s="38">
        <v>0</v>
      </c>
      <c r="K363">
        <v>0</v>
      </c>
      <c r="L363">
        <v>0</v>
      </c>
      <c r="M363">
        <v>0</v>
      </c>
      <c r="N363" s="38">
        <v>21.59</v>
      </c>
      <c r="O363" s="38"/>
      <c r="P363" s="38" t="s">
        <v>152</v>
      </c>
      <c r="Q363" s="38"/>
    </row>
    <row r="364" spans="1:17" x14ac:dyDescent="0.25">
      <c r="A364" s="39">
        <v>45416</v>
      </c>
      <c r="B364" s="38" t="s">
        <v>22</v>
      </c>
      <c r="C364" s="38" t="s">
        <v>7</v>
      </c>
      <c r="D364" s="38" t="s">
        <v>353</v>
      </c>
      <c r="E364" s="38" t="s">
        <v>352</v>
      </c>
      <c r="F364" s="38" t="s">
        <v>285</v>
      </c>
      <c r="G364" s="38" t="s">
        <v>138</v>
      </c>
      <c r="H364" s="9" t="s">
        <v>79</v>
      </c>
      <c r="I364" s="38" t="s">
        <v>58</v>
      </c>
      <c r="J364" s="38">
        <v>0</v>
      </c>
      <c r="K364">
        <v>0</v>
      </c>
      <c r="L364">
        <v>0</v>
      </c>
      <c r="M364">
        <v>0</v>
      </c>
      <c r="N364" s="38">
        <v>13.62</v>
      </c>
      <c r="O364" s="38"/>
      <c r="P364" s="38" t="s">
        <v>148</v>
      </c>
      <c r="Q364" s="38"/>
    </row>
    <row r="365" spans="1:17" x14ac:dyDescent="0.25">
      <c r="A365" s="39">
        <v>45416</v>
      </c>
      <c r="B365" s="38" t="s">
        <v>77</v>
      </c>
      <c r="C365" s="38" t="s">
        <v>7</v>
      </c>
      <c r="D365" s="38"/>
      <c r="E365" s="38"/>
      <c r="F365" s="38"/>
      <c r="G365" s="38" t="s">
        <v>138</v>
      </c>
      <c r="H365" s="9" t="s">
        <v>78</v>
      </c>
      <c r="I365" s="38"/>
      <c r="J365" s="38">
        <v>0</v>
      </c>
      <c r="K365">
        <v>0</v>
      </c>
      <c r="L365">
        <v>0</v>
      </c>
      <c r="M365">
        <v>0</v>
      </c>
      <c r="N365" s="38">
        <v>17.88</v>
      </c>
      <c r="O365" s="38"/>
      <c r="P365" s="38"/>
      <c r="Q365" s="38"/>
    </row>
    <row r="366" spans="1:17" x14ac:dyDescent="0.25">
      <c r="A366" s="39">
        <v>45416</v>
      </c>
      <c r="B366" s="38" t="s">
        <v>23</v>
      </c>
      <c r="C366" s="38" t="s">
        <v>7</v>
      </c>
      <c r="D366" s="38" t="s">
        <v>409</v>
      </c>
      <c r="E366" s="38" t="s">
        <v>352</v>
      </c>
      <c r="F366" s="38" t="s">
        <v>285</v>
      </c>
      <c r="G366" s="38" t="s">
        <v>138</v>
      </c>
      <c r="H366" s="9" t="s">
        <v>228</v>
      </c>
      <c r="I366" s="38" t="s">
        <v>58</v>
      </c>
      <c r="J366" s="38">
        <v>0</v>
      </c>
      <c r="K366">
        <v>0</v>
      </c>
      <c r="L366">
        <v>0</v>
      </c>
      <c r="M366">
        <v>0</v>
      </c>
      <c r="N366" s="38">
        <v>23.22</v>
      </c>
      <c r="O366" s="38"/>
      <c r="P366" s="38" t="s">
        <v>148</v>
      </c>
      <c r="Q366" s="38"/>
    </row>
    <row r="367" spans="1:17" x14ac:dyDescent="0.25">
      <c r="A367" s="39">
        <v>45416</v>
      </c>
      <c r="B367" s="38" t="s">
        <v>24</v>
      </c>
      <c r="C367" s="38" t="s">
        <v>7</v>
      </c>
      <c r="D367" s="38" t="s">
        <v>344</v>
      </c>
      <c r="E367" s="38" t="s">
        <v>379</v>
      </c>
      <c r="F367" s="38" t="s">
        <v>253</v>
      </c>
      <c r="G367" s="38" t="s">
        <v>138</v>
      </c>
      <c r="H367" s="9" t="s">
        <v>229</v>
      </c>
      <c r="I367" s="38" t="s">
        <v>65</v>
      </c>
      <c r="J367" s="38">
        <v>0</v>
      </c>
      <c r="K367">
        <v>0</v>
      </c>
      <c r="L367">
        <v>0</v>
      </c>
      <c r="M367">
        <v>0</v>
      </c>
      <c r="N367" s="38">
        <v>18.37</v>
      </c>
      <c r="O367" s="38"/>
      <c r="P367" s="38" t="s">
        <v>152</v>
      </c>
      <c r="Q367" s="38"/>
    </row>
    <row r="368" spans="1:17" x14ac:dyDescent="0.25">
      <c r="A368" s="39">
        <v>45416</v>
      </c>
      <c r="B368" s="38" t="s">
        <v>75</v>
      </c>
      <c r="C368" s="38" t="s">
        <v>7</v>
      </c>
      <c r="D368" s="38" t="s">
        <v>410</v>
      </c>
      <c r="E368" s="38" t="s">
        <v>202</v>
      </c>
      <c r="F368" s="38" t="s">
        <v>346</v>
      </c>
      <c r="G368" s="38" t="s">
        <v>138</v>
      </c>
      <c r="H368" s="9" t="s">
        <v>230</v>
      </c>
      <c r="I368" s="38" t="s">
        <v>58</v>
      </c>
      <c r="J368" s="38">
        <v>0</v>
      </c>
      <c r="K368">
        <v>0</v>
      </c>
      <c r="L368">
        <v>0</v>
      </c>
      <c r="M368">
        <v>0</v>
      </c>
      <c r="N368" s="38">
        <v>12.9</v>
      </c>
      <c r="O368" s="38"/>
      <c r="P368" s="38" t="s">
        <v>303</v>
      </c>
      <c r="Q368" s="38"/>
    </row>
    <row r="369" spans="1:17" x14ac:dyDescent="0.25">
      <c r="A369" s="39">
        <v>45416</v>
      </c>
      <c r="B369" s="38" t="s">
        <v>25</v>
      </c>
      <c r="C369" s="38" t="s">
        <v>7</v>
      </c>
      <c r="D369" s="38" t="s">
        <v>383</v>
      </c>
      <c r="E369" s="38" t="s">
        <v>81</v>
      </c>
      <c r="F369" s="38" t="s">
        <v>285</v>
      </c>
      <c r="G369" s="38" t="s">
        <v>138</v>
      </c>
      <c r="H369" s="9" t="s">
        <v>231</v>
      </c>
      <c r="I369" s="38" t="s">
        <v>65</v>
      </c>
      <c r="J369" s="38">
        <v>0</v>
      </c>
      <c r="K369">
        <v>0</v>
      </c>
      <c r="L369">
        <v>0</v>
      </c>
      <c r="M369">
        <v>0</v>
      </c>
      <c r="N369" s="38">
        <v>12.16</v>
      </c>
      <c r="O369" s="38"/>
      <c r="P369" s="38" t="s">
        <v>148</v>
      </c>
      <c r="Q369" s="38"/>
    </row>
    <row r="370" spans="1:17" x14ac:dyDescent="0.25">
      <c r="A370" s="39">
        <v>45416</v>
      </c>
      <c r="B370" s="38" t="s">
        <v>74</v>
      </c>
      <c r="C370" s="38" t="s">
        <v>7</v>
      </c>
      <c r="D370" s="38" t="s">
        <v>292</v>
      </c>
      <c r="E370" s="38" t="s">
        <v>60</v>
      </c>
      <c r="F370" s="38" t="s">
        <v>346</v>
      </c>
      <c r="G370" s="38" t="s">
        <v>138</v>
      </c>
      <c r="H370" s="9" t="s">
        <v>232</v>
      </c>
      <c r="I370" s="38" t="s">
        <v>58</v>
      </c>
      <c r="J370" s="38">
        <v>0</v>
      </c>
      <c r="K370">
        <v>0</v>
      </c>
      <c r="L370">
        <v>0</v>
      </c>
      <c r="M370">
        <v>0</v>
      </c>
      <c r="N370" s="38">
        <v>15.61</v>
      </c>
      <c r="O370" s="38"/>
      <c r="P370" s="38" t="s">
        <v>293</v>
      </c>
      <c r="Q370" s="38"/>
    </row>
    <row r="371" spans="1:17" x14ac:dyDescent="0.25">
      <c r="A371" s="39">
        <v>45416</v>
      </c>
      <c r="B371" s="38" t="s">
        <v>26</v>
      </c>
      <c r="C371" s="38" t="s">
        <v>7</v>
      </c>
      <c r="D371" s="38" t="s">
        <v>294</v>
      </c>
      <c r="E371" s="38" t="s">
        <v>56</v>
      </c>
      <c r="F371" s="38" t="s">
        <v>184</v>
      </c>
      <c r="G371" s="38" t="s">
        <v>138</v>
      </c>
      <c r="H371" s="9" t="s">
        <v>233</v>
      </c>
      <c r="I371" s="38" t="s">
        <v>65</v>
      </c>
      <c r="J371" s="38">
        <v>0</v>
      </c>
      <c r="K371">
        <v>0</v>
      </c>
      <c r="L371">
        <v>0</v>
      </c>
      <c r="M371">
        <v>0</v>
      </c>
      <c r="N371" s="38">
        <v>13.29</v>
      </c>
      <c r="O371" s="38"/>
      <c r="P371" s="38" t="s">
        <v>155</v>
      </c>
      <c r="Q371" s="38"/>
    </row>
    <row r="372" spans="1:17" x14ac:dyDescent="0.25">
      <c r="A372" s="39">
        <v>45416</v>
      </c>
      <c r="B372" s="38" t="s">
        <v>27</v>
      </c>
      <c r="C372" s="38" t="s">
        <v>7</v>
      </c>
      <c r="D372" s="38" t="s">
        <v>384</v>
      </c>
      <c r="E372" s="38" t="s">
        <v>366</v>
      </c>
      <c r="F372" s="38" t="s">
        <v>346</v>
      </c>
      <c r="G372" s="38" t="s">
        <v>138</v>
      </c>
      <c r="H372" s="9" t="s">
        <v>234</v>
      </c>
      <c r="I372" s="38" t="s">
        <v>58</v>
      </c>
      <c r="J372" s="38">
        <v>0</v>
      </c>
      <c r="K372">
        <v>0</v>
      </c>
      <c r="L372">
        <v>0</v>
      </c>
      <c r="M372">
        <v>0</v>
      </c>
      <c r="N372" s="38">
        <v>13.89</v>
      </c>
      <c r="O372" s="38"/>
      <c r="P372" s="38" t="s">
        <v>269</v>
      </c>
      <c r="Q372" s="38"/>
    </row>
    <row r="373" spans="1:17" x14ac:dyDescent="0.25">
      <c r="A373" s="39">
        <v>45416</v>
      </c>
      <c r="B373" s="38" t="s">
        <v>28</v>
      </c>
      <c r="C373" s="38" t="s">
        <v>7</v>
      </c>
      <c r="D373" s="38" t="s">
        <v>411</v>
      </c>
      <c r="E373" s="38" t="s">
        <v>56</v>
      </c>
      <c r="F373" s="38" t="s">
        <v>338</v>
      </c>
      <c r="G373" s="38" t="s">
        <v>138</v>
      </c>
      <c r="H373" s="9" t="s">
        <v>235</v>
      </c>
      <c r="I373" s="38" t="s">
        <v>65</v>
      </c>
      <c r="J373" s="38">
        <v>0</v>
      </c>
      <c r="K373">
        <v>0</v>
      </c>
      <c r="L373">
        <v>0</v>
      </c>
      <c r="M373">
        <v>0</v>
      </c>
      <c r="N373" s="38">
        <v>13.9</v>
      </c>
      <c r="O373" s="38"/>
      <c r="P373" s="38" t="s">
        <v>155</v>
      </c>
      <c r="Q373" s="38"/>
    </row>
    <row r="374" spans="1:17" x14ac:dyDescent="0.25">
      <c r="A374" s="39">
        <v>45416</v>
      </c>
      <c r="B374" s="38" t="s">
        <v>72</v>
      </c>
      <c r="C374" s="38" t="s">
        <v>7</v>
      </c>
      <c r="D374" s="38" t="s">
        <v>322</v>
      </c>
      <c r="E374" s="38" t="s">
        <v>202</v>
      </c>
      <c r="F374" s="38" t="s">
        <v>346</v>
      </c>
      <c r="G374" s="38" t="s">
        <v>138</v>
      </c>
      <c r="H374" s="9" t="s">
        <v>422</v>
      </c>
      <c r="I374" s="38" t="s">
        <v>58</v>
      </c>
      <c r="J374" s="38">
        <v>0</v>
      </c>
      <c r="K374">
        <v>0</v>
      </c>
      <c r="L374">
        <v>0</v>
      </c>
      <c r="M374">
        <v>0</v>
      </c>
      <c r="N374" s="38">
        <v>15.45</v>
      </c>
      <c r="O374" s="38"/>
      <c r="P374" s="38" t="s">
        <v>157</v>
      </c>
      <c r="Q374" s="38"/>
    </row>
    <row r="375" spans="1:17" x14ac:dyDescent="0.25">
      <c r="A375" s="39">
        <v>45416</v>
      </c>
      <c r="B375" s="38" t="s">
        <v>29</v>
      </c>
      <c r="C375" s="38" t="s">
        <v>7</v>
      </c>
      <c r="D375" s="38" t="s">
        <v>315</v>
      </c>
      <c r="E375" s="38" t="s">
        <v>56</v>
      </c>
      <c r="F375" s="38" t="s">
        <v>338</v>
      </c>
      <c r="G375" s="38" t="s">
        <v>138</v>
      </c>
      <c r="H375" s="9" t="s">
        <v>236</v>
      </c>
      <c r="I375" s="38" t="s">
        <v>65</v>
      </c>
      <c r="J375" s="38">
        <v>0</v>
      </c>
      <c r="K375">
        <v>0</v>
      </c>
      <c r="L375">
        <v>0</v>
      </c>
      <c r="M375">
        <v>0</v>
      </c>
      <c r="N375" s="38">
        <v>13.98</v>
      </c>
      <c r="O375" s="38"/>
      <c r="P375" s="38" t="s">
        <v>156</v>
      </c>
      <c r="Q375" s="38"/>
    </row>
    <row r="376" spans="1:17" x14ac:dyDescent="0.25">
      <c r="A376" s="39">
        <v>45416</v>
      </c>
      <c r="B376" s="38" t="s">
        <v>30</v>
      </c>
      <c r="C376" s="38" t="s">
        <v>7</v>
      </c>
      <c r="D376" s="38" t="s">
        <v>305</v>
      </c>
      <c r="E376" s="38" t="s">
        <v>81</v>
      </c>
      <c r="F376" s="38" t="s">
        <v>90</v>
      </c>
      <c r="G376" s="38" t="s">
        <v>138</v>
      </c>
      <c r="H376" s="9" t="s">
        <v>71</v>
      </c>
      <c r="I376" s="38" t="s">
        <v>58</v>
      </c>
      <c r="J376" s="38">
        <v>0</v>
      </c>
      <c r="K376">
        <v>0</v>
      </c>
      <c r="L376">
        <v>0</v>
      </c>
      <c r="M376">
        <v>0</v>
      </c>
      <c r="N376" s="38">
        <v>10.84</v>
      </c>
      <c r="O376" s="38"/>
      <c r="P376" s="38" t="s">
        <v>150</v>
      </c>
      <c r="Q376" s="38"/>
    </row>
    <row r="377" spans="1:17" x14ac:dyDescent="0.25">
      <c r="A377" s="39">
        <v>45416</v>
      </c>
      <c r="B377" s="38" t="s">
        <v>31</v>
      </c>
      <c r="C377" s="38" t="s">
        <v>7</v>
      </c>
      <c r="D377" s="38"/>
      <c r="E377" s="38" t="s">
        <v>56</v>
      </c>
      <c r="F377" s="38"/>
      <c r="G377" s="38" t="s">
        <v>138</v>
      </c>
      <c r="H377" s="9" t="s">
        <v>70</v>
      </c>
      <c r="I377" s="38" t="s">
        <v>65</v>
      </c>
      <c r="J377" s="38">
        <v>0</v>
      </c>
      <c r="K377">
        <v>0</v>
      </c>
      <c r="L377">
        <v>0</v>
      </c>
      <c r="M377">
        <v>0</v>
      </c>
      <c r="N377" s="38">
        <v>13.5</v>
      </c>
      <c r="O377" s="38"/>
      <c r="P377" s="38" t="s">
        <v>156</v>
      </c>
      <c r="Q377" s="38"/>
    </row>
    <row r="378" spans="1:17" x14ac:dyDescent="0.25">
      <c r="A378" s="39">
        <v>45416</v>
      </c>
      <c r="B378" s="38" t="s">
        <v>32</v>
      </c>
      <c r="C378" s="38" t="s">
        <v>7</v>
      </c>
      <c r="D378" s="38" t="s">
        <v>413</v>
      </c>
      <c r="E378" s="38" t="s">
        <v>202</v>
      </c>
      <c r="F378" s="38" t="s">
        <v>346</v>
      </c>
      <c r="G378" s="38" t="s">
        <v>138</v>
      </c>
      <c r="H378" s="9" t="s">
        <v>69</v>
      </c>
      <c r="I378" s="38" t="s">
        <v>58</v>
      </c>
      <c r="J378" s="38">
        <v>0</v>
      </c>
      <c r="K378">
        <v>0</v>
      </c>
      <c r="L378">
        <v>0</v>
      </c>
      <c r="M378">
        <v>0</v>
      </c>
      <c r="N378" s="38">
        <v>14.39</v>
      </c>
      <c r="O378" s="38"/>
      <c r="P378" s="38" t="s">
        <v>414</v>
      </c>
      <c r="Q378" s="38"/>
    </row>
    <row r="379" spans="1:17" x14ac:dyDescent="0.25">
      <c r="A379" s="39">
        <v>45416</v>
      </c>
      <c r="B379" s="38" t="s">
        <v>67</v>
      </c>
      <c r="C379" s="38" t="s">
        <v>7</v>
      </c>
      <c r="D379" s="38" t="s">
        <v>354</v>
      </c>
      <c r="E379" s="38" t="s">
        <v>56</v>
      </c>
      <c r="F379" s="38" t="s">
        <v>367</v>
      </c>
      <c r="G379" s="38" t="s">
        <v>138</v>
      </c>
      <c r="H379" s="9" t="s">
        <v>68</v>
      </c>
      <c r="I379" s="38" t="s">
        <v>65</v>
      </c>
      <c r="J379" s="38">
        <v>0</v>
      </c>
      <c r="K379">
        <v>0</v>
      </c>
      <c r="L379">
        <v>0</v>
      </c>
      <c r="M379">
        <v>0</v>
      </c>
      <c r="N379" s="38">
        <v>13.8</v>
      </c>
      <c r="O379" s="38"/>
      <c r="P379" s="38" t="s">
        <v>156</v>
      </c>
      <c r="Q379" s="38"/>
    </row>
    <row r="380" spans="1:17" x14ac:dyDescent="0.25">
      <c r="A380" s="39">
        <v>45416</v>
      </c>
      <c r="B380" s="38" t="s">
        <v>33</v>
      </c>
      <c r="C380" s="38" t="s">
        <v>7</v>
      </c>
      <c r="D380" s="38" t="s">
        <v>277</v>
      </c>
      <c r="E380" s="38" t="s">
        <v>73</v>
      </c>
      <c r="F380" s="38" t="s">
        <v>346</v>
      </c>
      <c r="G380" s="38" t="s">
        <v>138</v>
      </c>
      <c r="H380" s="9" t="s">
        <v>66</v>
      </c>
      <c r="I380" s="38" t="s">
        <v>58</v>
      </c>
      <c r="J380" s="38">
        <v>0</v>
      </c>
      <c r="K380">
        <v>0</v>
      </c>
      <c r="L380">
        <v>0</v>
      </c>
      <c r="M380">
        <v>0</v>
      </c>
      <c r="N380" s="38">
        <v>14.19</v>
      </c>
      <c r="O380" s="38"/>
      <c r="P380" s="38" t="s">
        <v>201</v>
      </c>
      <c r="Q380" s="38"/>
    </row>
    <row r="381" spans="1:17" x14ac:dyDescent="0.25">
      <c r="A381" s="39">
        <v>45416</v>
      </c>
      <c r="B381" s="38" t="s">
        <v>34</v>
      </c>
      <c r="C381" s="38" t="s">
        <v>7</v>
      </c>
      <c r="D381" s="38" t="s">
        <v>415</v>
      </c>
      <c r="E381" s="38" t="s">
        <v>56</v>
      </c>
      <c r="F381" s="38" t="s">
        <v>346</v>
      </c>
      <c r="G381" s="38" t="s">
        <v>138</v>
      </c>
      <c r="H381" s="9" t="s">
        <v>64</v>
      </c>
      <c r="I381" s="38" t="s">
        <v>65</v>
      </c>
      <c r="J381" s="38">
        <v>0</v>
      </c>
      <c r="K381">
        <v>0</v>
      </c>
      <c r="L381">
        <v>0</v>
      </c>
      <c r="M381">
        <v>0</v>
      </c>
      <c r="N381" s="38">
        <v>15.6</v>
      </c>
      <c r="O381" s="38"/>
      <c r="P381" s="38" t="s">
        <v>416</v>
      </c>
      <c r="Q381" s="38"/>
    </row>
    <row r="382" spans="1:17" x14ac:dyDescent="0.25">
      <c r="A382" s="39">
        <v>45416</v>
      </c>
      <c r="B382" s="38" t="s">
        <v>35</v>
      </c>
      <c r="C382" s="38" t="s">
        <v>7</v>
      </c>
      <c r="D382" s="38" t="s">
        <v>331</v>
      </c>
      <c r="E382" s="38" t="s">
        <v>60</v>
      </c>
      <c r="F382" s="38" t="s">
        <v>346</v>
      </c>
      <c r="G382" s="38" t="s">
        <v>138</v>
      </c>
      <c r="H382" s="9" t="s">
        <v>237</v>
      </c>
      <c r="I382" s="38" t="s">
        <v>58</v>
      </c>
      <c r="J382" s="38">
        <v>0</v>
      </c>
      <c r="K382">
        <v>0</v>
      </c>
      <c r="L382">
        <v>0</v>
      </c>
      <c r="M382">
        <v>0</v>
      </c>
      <c r="N382" s="38">
        <v>14.64</v>
      </c>
      <c r="O382" s="38"/>
      <c r="P382" s="38" t="s">
        <v>158</v>
      </c>
      <c r="Q382" s="38"/>
    </row>
    <row r="383" spans="1:17" x14ac:dyDescent="0.25">
      <c r="A383" s="39">
        <v>45416</v>
      </c>
      <c r="B383" s="38" t="s">
        <v>418</v>
      </c>
      <c r="C383" s="38" t="s">
        <v>7</v>
      </c>
      <c r="D383" s="38"/>
      <c r="E383" s="38"/>
      <c r="F383" s="38"/>
      <c r="G383" s="38" t="s">
        <v>138</v>
      </c>
      <c r="H383" s="9" t="s">
        <v>240</v>
      </c>
      <c r="I383" s="38" t="s">
        <v>262</v>
      </c>
      <c r="J383" s="38">
        <v>0</v>
      </c>
      <c r="K383">
        <v>0</v>
      </c>
      <c r="L383">
        <v>0</v>
      </c>
      <c r="M383">
        <v>0</v>
      </c>
      <c r="N383" s="38">
        <v>17.670000000000002</v>
      </c>
      <c r="O383" s="38"/>
      <c r="P383" s="38"/>
      <c r="Q383" s="38"/>
    </row>
    <row r="384" spans="1:17" x14ac:dyDescent="0.25">
      <c r="A384" s="39">
        <v>45416</v>
      </c>
      <c r="B384" s="38" t="s">
        <v>419</v>
      </c>
      <c r="C384" s="38" t="s">
        <v>7</v>
      </c>
      <c r="D384" s="38"/>
      <c r="E384" s="38"/>
      <c r="F384" s="38"/>
      <c r="G384" s="38" t="s">
        <v>138</v>
      </c>
      <c r="H384" s="9" t="s">
        <v>240</v>
      </c>
      <c r="I384" s="38" t="s">
        <v>262</v>
      </c>
      <c r="J384" s="38">
        <v>0</v>
      </c>
      <c r="K384">
        <v>0</v>
      </c>
      <c r="L384">
        <v>0</v>
      </c>
      <c r="M384">
        <v>0</v>
      </c>
      <c r="N384" s="38">
        <v>13.49</v>
      </c>
      <c r="O384" s="38"/>
      <c r="P384" s="38"/>
      <c r="Q384" s="38"/>
    </row>
    <row r="385" spans="1:17" x14ac:dyDescent="0.25">
      <c r="A385" s="39">
        <v>45416</v>
      </c>
      <c r="B385" s="38" t="s">
        <v>36</v>
      </c>
      <c r="C385" s="38" t="s">
        <v>7</v>
      </c>
      <c r="D385" s="38" t="s">
        <v>295</v>
      </c>
      <c r="E385" s="38" t="s">
        <v>81</v>
      </c>
      <c r="F385" s="38" t="s">
        <v>369</v>
      </c>
      <c r="G385" s="38" t="s">
        <v>138</v>
      </c>
      <c r="H385" s="9" t="s">
        <v>423</v>
      </c>
      <c r="I385" s="38" t="s">
        <v>58</v>
      </c>
      <c r="J385" s="38">
        <v>0</v>
      </c>
      <c r="K385">
        <v>0</v>
      </c>
      <c r="L385">
        <v>0</v>
      </c>
      <c r="M385">
        <v>0</v>
      </c>
      <c r="N385" s="38">
        <v>38472557</v>
      </c>
      <c r="O385" s="38"/>
      <c r="P385" s="38" t="s">
        <v>156</v>
      </c>
      <c r="Q385" s="38"/>
    </row>
    <row r="386" spans="1:17" x14ac:dyDescent="0.25">
      <c r="A386" s="39">
        <v>45416</v>
      </c>
      <c r="B386" s="38" t="s">
        <v>256</v>
      </c>
      <c r="C386" s="38" t="s">
        <v>7</v>
      </c>
      <c r="D386" s="38" t="s">
        <v>392</v>
      </c>
      <c r="E386" s="38" t="s">
        <v>417</v>
      </c>
      <c r="F386" s="38" t="s">
        <v>192</v>
      </c>
      <c r="G386" s="38" t="s">
        <v>138</v>
      </c>
      <c r="H386" s="9"/>
      <c r="I386" s="38" t="s">
        <v>262</v>
      </c>
      <c r="J386" s="38">
        <v>0</v>
      </c>
      <c r="K386">
        <v>0</v>
      </c>
      <c r="L386">
        <v>0</v>
      </c>
      <c r="M386">
        <v>0</v>
      </c>
      <c r="N386" s="38">
        <v>0</v>
      </c>
      <c r="O386" s="38"/>
      <c r="P386" s="38" t="s">
        <v>149</v>
      </c>
      <c r="Q386" s="38"/>
    </row>
    <row r="387" spans="1:17" x14ac:dyDescent="0.25">
      <c r="A387" s="39">
        <v>45416</v>
      </c>
      <c r="B387" s="38" t="s">
        <v>257</v>
      </c>
      <c r="C387" s="38" t="s">
        <v>7</v>
      </c>
      <c r="D387" s="38" t="s">
        <v>392</v>
      </c>
      <c r="E387" s="38" t="s">
        <v>417</v>
      </c>
      <c r="F387" s="38" t="s">
        <v>192</v>
      </c>
      <c r="G387" s="38" t="s">
        <v>138</v>
      </c>
      <c r="H387" s="9"/>
      <c r="I387" s="38" t="s">
        <v>58</v>
      </c>
      <c r="J387" s="38">
        <v>0</v>
      </c>
      <c r="K387">
        <v>0</v>
      </c>
      <c r="L387">
        <v>0</v>
      </c>
      <c r="M387">
        <v>0</v>
      </c>
      <c r="N387" s="38">
        <v>38.46</v>
      </c>
      <c r="O387" s="38"/>
      <c r="P387" s="38" t="s">
        <v>149</v>
      </c>
      <c r="Q387" s="38"/>
    </row>
    <row r="388" spans="1:17" x14ac:dyDescent="0.25">
      <c r="A388" s="39">
        <v>45416</v>
      </c>
      <c r="B388" s="38" t="s">
        <v>37</v>
      </c>
      <c r="C388" s="38" t="s">
        <v>7</v>
      </c>
      <c r="D388" s="38" t="s">
        <v>347</v>
      </c>
      <c r="E388" s="38" t="s">
        <v>348</v>
      </c>
      <c r="F388" s="38" t="s">
        <v>346</v>
      </c>
      <c r="G388" s="38" t="s">
        <v>138</v>
      </c>
      <c r="H388" s="9" t="s">
        <v>425</v>
      </c>
      <c r="I388" s="38" t="s">
        <v>58</v>
      </c>
      <c r="J388" s="38">
        <v>0</v>
      </c>
      <c r="K388">
        <v>0</v>
      </c>
      <c r="L388">
        <v>0</v>
      </c>
      <c r="M388">
        <v>0</v>
      </c>
      <c r="N388" s="38">
        <v>13.5</v>
      </c>
      <c r="O388" s="38"/>
      <c r="P388" s="38" t="s">
        <v>270</v>
      </c>
      <c r="Q388" s="38"/>
    </row>
    <row r="389" spans="1:17" x14ac:dyDescent="0.25">
      <c r="A389" s="39">
        <v>45416</v>
      </c>
      <c r="B389" s="38" t="s">
        <v>258</v>
      </c>
      <c r="C389" s="38" t="s">
        <v>7</v>
      </c>
      <c r="D389" s="38"/>
      <c r="E389" s="38"/>
      <c r="F389" s="38"/>
      <c r="G389" s="38" t="s">
        <v>138</v>
      </c>
      <c r="H389" s="9" t="s">
        <v>426</v>
      </c>
      <c r="I389" s="38" t="s">
        <v>262</v>
      </c>
      <c r="J389" s="38">
        <v>0</v>
      </c>
      <c r="K389">
        <v>0</v>
      </c>
      <c r="L389">
        <v>0</v>
      </c>
      <c r="M389">
        <v>0</v>
      </c>
      <c r="N389" s="38">
        <v>13.5</v>
      </c>
      <c r="O389" s="38"/>
      <c r="P389" s="38" t="s">
        <v>148</v>
      </c>
      <c r="Q389" s="38"/>
    </row>
    <row r="390" spans="1:17" x14ac:dyDescent="0.25">
      <c r="A390" s="39">
        <v>45416</v>
      </c>
      <c r="B390" s="38" t="s">
        <v>259</v>
      </c>
      <c r="C390" s="38" t="s">
        <v>7</v>
      </c>
      <c r="D390" s="38"/>
      <c r="E390" s="38"/>
      <c r="F390" s="38"/>
      <c r="G390" s="38" t="s">
        <v>138</v>
      </c>
      <c r="H390" s="9" t="s">
        <v>426</v>
      </c>
      <c r="I390" s="38" t="s">
        <v>262</v>
      </c>
      <c r="J390" s="38">
        <v>0</v>
      </c>
      <c r="K390">
        <v>0</v>
      </c>
      <c r="L390">
        <v>0</v>
      </c>
      <c r="M390">
        <v>0</v>
      </c>
      <c r="N390" s="38">
        <v>41.06</v>
      </c>
      <c r="O390" s="38"/>
      <c r="P390" s="38" t="s">
        <v>148</v>
      </c>
      <c r="Q390" s="38"/>
    </row>
    <row r="391" spans="1:17" x14ac:dyDescent="0.25">
      <c r="A391" s="39">
        <v>45416</v>
      </c>
      <c r="B391" s="38" t="s">
        <v>54</v>
      </c>
      <c r="C391" s="38" t="s">
        <v>7</v>
      </c>
      <c r="D391" s="38" t="s">
        <v>55</v>
      </c>
      <c r="E391" s="38" t="s">
        <v>56</v>
      </c>
      <c r="F391" s="38" t="s">
        <v>57</v>
      </c>
      <c r="G391" s="38" t="s">
        <v>138</v>
      </c>
      <c r="H391" s="9" t="s">
        <v>427</v>
      </c>
      <c r="I391" s="38" t="s">
        <v>58</v>
      </c>
      <c r="J391" s="38">
        <v>0</v>
      </c>
      <c r="K391">
        <v>0</v>
      </c>
      <c r="L391">
        <v>0</v>
      </c>
      <c r="M391">
        <v>0</v>
      </c>
      <c r="N391" s="38">
        <v>41.06</v>
      </c>
      <c r="O391" s="38"/>
      <c r="P391" s="38" t="s">
        <v>159</v>
      </c>
      <c r="Q391" s="38"/>
    </row>
    <row r="392" spans="1:17" x14ac:dyDescent="0.25">
      <c r="A392" s="39">
        <v>45416</v>
      </c>
      <c r="B392" s="38" t="s">
        <v>136</v>
      </c>
      <c r="C392" s="38" t="s">
        <v>8</v>
      </c>
      <c r="D392" s="38" t="s">
        <v>174</v>
      </c>
      <c r="E392" s="38" t="s">
        <v>81</v>
      </c>
      <c r="F392" s="38" t="s">
        <v>90</v>
      </c>
      <c r="G392" s="38" t="s">
        <v>138</v>
      </c>
      <c r="H392" s="9" t="s">
        <v>160</v>
      </c>
      <c r="I392" s="38" t="s">
        <v>58</v>
      </c>
      <c r="J392" s="38">
        <v>0</v>
      </c>
      <c r="K392">
        <v>0</v>
      </c>
      <c r="L392">
        <v>0</v>
      </c>
      <c r="M392">
        <v>0</v>
      </c>
      <c r="N392" s="38">
        <v>42144554</v>
      </c>
      <c r="O392" s="38"/>
      <c r="P392" s="38" t="s">
        <v>153</v>
      </c>
      <c r="Q392" s="38"/>
    </row>
    <row r="393" spans="1:17" x14ac:dyDescent="0.25">
      <c r="A393" s="39">
        <v>45416</v>
      </c>
      <c r="B393" t="s">
        <v>135</v>
      </c>
      <c r="C393" s="38" t="s">
        <v>8</v>
      </c>
      <c r="D393" t="s">
        <v>332</v>
      </c>
      <c r="E393" t="s">
        <v>81</v>
      </c>
      <c r="F393" t="s">
        <v>90</v>
      </c>
      <c r="G393" t="s">
        <v>138</v>
      </c>
      <c r="H393" s="9" t="s">
        <v>161</v>
      </c>
      <c r="I393" t="s">
        <v>58</v>
      </c>
      <c r="J393">
        <v>0</v>
      </c>
      <c r="K393">
        <v>0</v>
      </c>
      <c r="L393">
        <v>0</v>
      </c>
      <c r="M393">
        <v>0</v>
      </c>
      <c r="N393">
        <v>24.09</v>
      </c>
      <c r="P393" t="s">
        <v>148</v>
      </c>
      <c r="Q393" s="38"/>
    </row>
    <row r="394" spans="1:17" x14ac:dyDescent="0.25">
      <c r="A394" s="39">
        <v>45416</v>
      </c>
      <c r="B394" t="s">
        <v>134</v>
      </c>
      <c r="C394" s="38" t="s">
        <v>8</v>
      </c>
      <c r="D394" t="s">
        <v>175</v>
      </c>
      <c r="E394" t="s">
        <v>81</v>
      </c>
      <c r="F394" t="s">
        <v>90</v>
      </c>
      <c r="G394" t="s">
        <v>138</v>
      </c>
      <c r="H394" s="9" t="s">
        <v>206</v>
      </c>
      <c r="I394" t="s">
        <v>58</v>
      </c>
      <c r="J394">
        <v>0</v>
      </c>
      <c r="K394">
        <v>0</v>
      </c>
      <c r="L394">
        <v>0</v>
      </c>
      <c r="M394">
        <v>0</v>
      </c>
      <c r="N394">
        <v>0</v>
      </c>
      <c r="P394" t="s">
        <v>148</v>
      </c>
      <c r="Q394" s="38"/>
    </row>
    <row r="395" spans="1:17" x14ac:dyDescent="0.25">
      <c r="A395" s="39">
        <v>45416</v>
      </c>
      <c r="B395" t="s">
        <v>132</v>
      </c>
      <c r="C395" s="38" t="s">
        <v>8</v>
      </c>
      <c r="D395" t="s">
        <v>133</v>
      </c>
      <c r="E395" t="s">
        <v>126</v>
      </c>
      <c r="F395" t="s">
        <v>199</v>
      </c>
      <c r="G395" t="s">
        <v>138</v>
      </c>
      <c r="H395" s="9" t="s">
        <v>162</v>
      </c>
      <c r="I395" t="s">
        <v>58</v>
      </c>
      <c r="J395">
        <v>0</v>
      </c>
      <c r="K395">
        <v>0</v>
      </c>
      <c r="L395">
        <v>0</v>
      </c>
      <c r="M395">
        <v>0</v>
      </c>
      <c r="N395">
        <v>38.369999999999997</v>
      </c>
      <c r="P395" t="s">
        <v>149</v>
      </c>
      <c r="Q395" s="38"/>
    </row>
    <row r="396" spans="1:17" x14ac:dyDescent="0.25">
      <c r="A396" s="39">
        <v>45416</v>
      </c>
      <c r="B396" t="s">
        <v>131</v>
      </c>
      <c r="C396" s="38" t="s">
        <v>8</v>
      </c>
      <c r="D396" t="s">
        <v>396</v>
      </c>
      <c r="E396" t="s">
        <v>60</v>
      </c>
      <c r="F396" t="s">
        <v>90</v>
      </c>
      <c r="G396" t="s">
        <v>138</v>
      </c>
      <c r="H396" s="9" t="s">
        <v>163</v>
      </c>
      <c r="I396" t="s">
        <v>58</v>
      </c>
      <c r="J396">
        <v>0</v>
      </c>
      <c r="K396">
        <v>0</v>
      </c>
      <c r="L396">
        <v>0</v>
      </c>
      <c r="M396">
        <v>0</v>
      </c>
      <c r="N396">
        <v>23.93</v>
      </c>
      <c r="P396" t="s">
        <v>154</v>
      </c>
      <c r="Q396" s="38"/>
    </row>
    <row r="397" spans="1:17" x14ac:dyDescent="0.25">
      <c r="A397" s="39">
        <v>45416</v>
      </c>
      <c r="B397" t="s">
        <v>130</v>
      </c>
      <c r="C397" s="38" t="s">
        <v>8</v>
      </c>
      <c r="D397" t="s">
        <v>191</v>
      </c>
      <c r="E397" t="s">
        <v>81</v>
      </c>
      <c r="F397" t="s">
        <v>285</v>
      </c>
      <c r="G397" t="s">
        <v>138</v>
      </c>
      <c r="H397" s="9" t="s">
        <v>420</v>
      </c>
      <c r="I397" t="s">
        <v>58</v>
      </c>
      <c r="J397">
        <v>0</v>
      </c>
      <c r="K397">
        <v>0</v>
      </c>
      <c r="L397">
        <v>0</v>
      </c>
      <c r="M397">
        <v>0</v>
      </c>
      <c r="N397">
        <v>14.99</v>
      </c>
      <c r="P397" t="s">
        <v>148</v>
      </c>
      <c r="Q397" s="38"/>
    </row>
    <row r="398" spans="1:17" x14ac:dyDescent="0.25">
      <c r="A398" s="39">
        <v>45416</v>
      </c>
      <c r="B398" t="s">
        <v>128</v>
      </c>
      <c r="C398" s="38" t="s">
        <v>8</v>
      </c>
      <c r="D398" t="s">
        <v>129</v>
      </c>
      <c r="E398" t="s">
        <v>126</v>
      </c>
      <c r="F398" t="s">
        <v>199</v>
      </c>
      <c r="G398" t="s">
        <v>138</v>
      </c>
      <c r="H398" s="9" t="s">
        <v>164</v>
      </c>
      <c r="I398" t="s">
        <v>58</v>
      </c>
      <c r="J398">
        <v>0</v>
      </c>
      <c r="K398">
        <v>0</v>
      </c>
      <c r="L398">
        <v>0</v>
      </c>
      <c r="M398">
        <v>0</v>
      </c>
      <c r="N398">
        <v>41.06</v>
      </c>
      <c r="P398" t="s">
        <v>149</v>
      </c>
      <c r="Q398" s="38"/>
    </row>
    <row r="399" spans="1:17" x14ac:dyDescent="0.25">
      <c r="A399" s="39">
        <v>45416</v>
      </c>
      <c r="B399" t="s">
        <v>40</v>
      </c>
      <c r="C399" s="38" t="s">
        <v>8</v>
      </c>
      <c r="D399" t="s">
        <v>397</v>
      </c>
      <c r="E399" t="s">
        <v>60</v>
      </c>
      <c r="F399" t="s">
        <v>200</v>
      </c>
      <c r="G399" t="s">
        <v>138</v>
      </c>
      <c r="H399" s="9" t="s">
        <v>165</v>
      </c>
      <c r="I399" t="s">
        <v>58</v>
      </c>
      <c r="J399">
        <v>0</v>
      </c>
      <c r="K399">
        <v>0</v>
      </c>
      <c r="L399">
        <v>0</v>
      </c>
      <c r="M399">
        <v>0</v>
      </c>
      <c r="N399">
        <v>14.92</v>
      </c>
      <c r="P399" t="s">
        <v>153</v>
      </c>
      <c r="Q399" s="38"/>
    </row>
    <row r="400" spans="1:17" x14ac:dyDescent="0.25">
      <c r="A400" s="39">
        <v>45416</v>
      </c>
      <c r="B400" t="s">
        <v>127</v>
      </c>
      <c r="C400" s="38" t="s">
        <v>8</v>
      </c>
      <c r="D400" t="s">
        <v>203</v>
      </c>
      <c r="E400" t="s">
        <v>81</v>
      </c>
      <c r="F400" t="s">
        <v>285</v>
      </c>
      <c r="G400" t="s">
        <v>138</v>
      </c>
      <c r="H400" s="9" t="s">
        <v>207</v>
      </c>
      <c r="I400" t="s">
        <v>58</v>
      </c>
      <c r="J400">
        <v>0</v>
      </c>
      <c r="K400">
        <v>0</v>
      </c>
      <c r="L400">
        <v>0</v>
      </c>
      <c r="M400">
        <v>0</v>
      </c>
      <c r="N400">
        <v>20.85</v>
      </c>
      <c r="P400" t="s">
        <v>151</v>
      </c>
      <c r="Q400" s="38"/>
    </row>
    <row r="401" spans="1:17" x14ac:dyDescent="0.25">
      <c r="A401" s="39">
        <v>45416</v>
      </c>
      <c r="B401" t="s">
        <v>124</v>
      </c>
      <c r="C401" s="38" t="s">
        <v>8</v>
      </c>
      <c r="D401" t="s">
        <v>340</v>
      </c>
      <c r="E401" t="s">
        <v>126</v>
      </c>
      <c r="F401" t="s">
        <v>199</v>
      </c>
      <c r="G401" t="s">
        <v>138</v>
      </c>
      <c r="H401" s="9" t="s">
        <v>166</v>
      </c>
      <c r="I401" t="s">
        <v>58</v>
      </c>
      <c r="J401">
        <v>0</v>
      </c>
      <c r="K401">
        <v>0</v>
      </c>
      <c r="L401">
        <v>0</v>
      </c>
      <c r="M401">
        <v>0</v>
      </c>
      <c r="N401">
        <v>39863813</v>
      </c>
      <c r="P401" t="s">
        <v>149</v>
      </c>
      <c r="Q401" s="38"/>
    </row>
    <row r="402" spans="1:17" x14ac:dyDescent="0.25">
      <c r="A402" s="39">
        <v>45416</v>
      </c>
      <c r="B402" t="s">
        <v>122</v>
      </c>
      <c r="C402" s="38" t="s">
        <v>8</v>
      </c>
      <c r="D402" t="s">
        <v>356</v>
      </c>
      <c r="E402" t="s">
        <v>81</v>
      </c>
      <c r="F402" t="s">
        <v>90</v>
      </c>
      <c r="G402" t="s">
        <v>138</v>
      </c>
      <c r="H402" s="9" t="s">
        <v>167</v>
      </c>
      <c r="I402" t="s">
        <v>58</v>
      </c>
      <c r="J402">
        <v>0</v>
      </c>
      <c r="K402">
        <v>0</v>
      </c>
      <c r="L402">
        <v>0</v>
      </c>
      <c r="M402">
        <v>0</v>
      </c>
      <c r="N402">
        <v>20.9</v>
      </c>
      <c r="P402" t="s">
        <v>148</v>
      </c>
      <c r="Q402" s="38"/>
    </row>
    <row r="403" spans="1:17" x14ac:dyDescent="0.25">
      <c r="A403" s="39">
        <v>45416</v>
      </c>
      <c r="B403" t="s">
        <v>120</v>
      </c>
      <c r="C403" s="38" t="s">
        <v>8</v>
      </c>
      <c r="D403" t="s">
        <v>333</v>
      </c>
      <c r="E403" t="s">
        <v>375</v>
      </c>
      <c r="F403" t="s">
        <v>285</v>
      </c>
      <c r="G403" t="s">
        <v>138</v>
      </c>
      <c r="H403" s="9" t="s">
        <v>121</v>
      </c>
      <c r="I403" t="s">
        <v>58</v>
      </c>
      <c r="J403">
        <v>0</v>
      </c>
      <c r="K403">
        <v>0</v>
      </c>
      <c r="L403">
        <v>0</v>
      </c>
      <c r="M403">
        <v>0</v>
      </c>
      <c r="N403">
        <v>41.69</v>
      </c>
      <c r="P403" t="s">
        <v>151</v>
      </c>
      <c r="Q403" s="38"/>
    </row>
    <row r="404" spans="1:17" x14ac:dyDescent="0.25">
      <c r="A404" s="39">
        <v>45416</v>
      </c>
      <c r="B404" t="s">
        <v>119</v>
      </c>
      <c r="C404" s="38" t="s">
        <v>8</v>
      </c>
      <c r="D404" t="s">
        <v>178</v>
      </c>
      <c r="E404" t="s">
        <v>399</v>
      </c>
      <c r="F404" t="s">
        <v>192</v>
      </c>
      <c r="G404" t="s">
        <v>138</v>
      </c>
      <c r="H404" s="9" t="s">
        <v>168</v>
      </c>
      <c r="I404" t="s">
        <v>58</v>
      </c>
      <c r="J404">
        <v>0</v>
      </c>
      <c r="K404">
        <v>0</v>
      </c>
      <c r="L404">
        <v>0</v>
      </c>
      <c r="M404">
        <v>0</v>
      </c>
      <c r="N404">
        <v>41.62</v>
      </c>
      <c r="P404" t="s">
        <v>149</v>
      </c>
      <c r="Q404" s="38"/>
    </row>
    <row r="405" spans="1:17" x14ac:dyDescent="0.25">
      <c r="A405" s="39">
        <v>45416</v>
      </c>
      <c r="B405" t="s">
        <v>117</v>
      </c>
      <c r="C405" s="38" t="s">
        <v>8</v>
      </c>
      <c r="D405" t="s">
        <v>349</v>
      </c>
      <c r="E405" t="s">
        <v>398</v>
      </c>
      <c r="F405" t="s">
        <v>90</v>
      </c>
      <c r="G405" t="s">
        <v>138</v>
      </c>
      <c r="H405" s="9" t="s">
        <v>118</v>
      </c>
      <c r="I405" t="s">
        <v>58</v>
      </c>
      <c r="J405">
        <v>0</v>
      </c>
      <c r="K405">
        <v>0</v>
      </c>
      <c r="L405">
        <v>0</v>
      </c>
      <c r="M405">
        <v>0</v>
      </c>
      <c r="N405">
        <v>34.69</v>
      </c>
      <c r="P405" t="s">
        <v>151</v>
      </c>
      <c r="Q405" s="38"/>
    </row>
    <row r="406" spans="1:17" x14ac:dyDescent="0.25">
      <c r="A406" s="39">
        <v>45416</v>
      </c>
      <c r="B406" t="s">
        <v>39</v>
      </c>
      <c r="C406" s="38" t="s">
        <v>8</v>
      </c>
      <c r="D406" t="s">
        <v>177</v>
      </c>
      <c r="E406" t="s">
        <v>377</v>
      </c>
      <c r="F406" t="s">
        <v>90</v>
      </c>
      <c r="G406" t="s">
        <v>138</v>
      </c>
      <c r="H406" s="9" t="s">
        <v>116</v>
      </c>
      <c r="I406" t="s">
        <v>58</v>
      </c>
      <c r="J406">
        <v>0</v>
      </c>
      <c r="K406">
        <v>0</v>
      </c>
      <c r="L406">
        <v>0</v>
      </c>
      <c r="M406">
        <v>0</v>
      </c>
      <c r="N406">
        <v>41.24</v>
      </c>
      <c r="P406" t="s">
        <v>151</v>
      </c>
      <c r="Q406" s="38"/>
    </row>
    <row r="407" spans="1:17" x14ac:dyDescent="0.25">
      <c r="A407" s="39">
        <v>45416</v>
      </c>
      <c r="B407" t="s">
        <v>113</v>
      </c>
      <c r="C407" s="38" t="s">
        <v>8</v>
      </c>
      <c r="D407" t="s">
        <v>188</v>
      </c>
      <c r="E407" t="s">
        <v>126</v>
      </c>
      <c r="F407" t="s">
        <v>199</v>
      </c>
      <c r="G407" t="s">
        <v>138</v>
      </c>
      <c r="H407" s="9" t="s">
        <v>114</v>
      </c>
      <c r="I407" t="s">
        <v>58</v>
      </c>
      <c r="J407">
        <v>0</v>
      </c>
      <c r="K407">
        <v>0</v>
      </c>
      <c r="L407">
        <v>0</v>
      </c>
      <c r="M407">
        <v>0</v>
      </c>
      <c r="N407">
        <v>41.35</v>
      </c>
      <c r="P407" t="s">
        <v>149</v>
      </c>
      <c r="Q407" s="38"/>
    </row>
    <row r="408" spans="1:17" x14ac:dyDescent="0.25">
      <c r="A408" s="39">
        <v>45416</v>
      </c>
      <c r="B408" t="s">
        <v>111</v>
      </c>
      <c r="C408" s="38" t="s">
        <v>8</v>
      </c>
      <c r="D408" t="s">
        <v>189</v>
      </c>
      <c r="E408" t="s">
        <v>81</v>
      </c>
      <c r="F408" t="s">
        <v>285</v>
      </c>
      <c r="G408" t="s">
        <v>138</v>
      </c>
      <c r="H408" s="9" t="s">
        <v>112</v>
      </c>
      <c r="I408" t="s">
        <v>58</v>
      </c>
      <c r="J408">
        <v>0</v>
      </c>
      <c r="K408">
        <v>0</v>
      </c>
      <c r="L408">
        <v>0</v>
      </c>
      <c r="M408">
        <v>0</v>
      </c>
      <c r="N408">
        <v>20.48</v>
      </c>
      <c r="P408" t="s">
        <v>153</v>
      </c>
      <c r="Q408" s="38"/>
    </row>
    <row r="409" spans="1:17" x14ac:dyDescent="0.25">
      <c r="A409" s="39">
        <v>45416</v>
      </c>
      <c r="B409" t="s">
        <v>109</v>
      </c>
      <c r="C409" s="38" t="s">
        <v>8</v>
      </c>
      <c r="D409" t="s">
        <v>142</v>
      </c>
      <c r="E409" t="s">
        <v>56</v>
      </c>
      <c r="F409" t="s">
        <v>199</v>
      </c>
      <c r="G409" t="s">
        <v>138</v>
      </c>
      <c r="H409" s="9" t="s">
        <v>110</v>
      </c>
      <c r="I409" t="s">
        <v>58</v>
      </c>
      <c r="J409">
        <v>0</v>
      </c>
      <c r="K409">
        <v>0</v>
      </c>
      <c r="L409">
        <v>0</v>
      </c>
      <c r="M409">
        <v>0</v>
      </c>
      <c r="N409">
        <v>41.05</v>
      </c>
      <c r="P409" t="s">
        <v>149</v>
      </c>
      <c r="Q409" s="38"/>
    </row>
    <row r="410" spans="1:17" x14ac:dyDescent="0.25">
      <c r="A410" s="39">
        <v>45416</v>
      </c>
      <c r="B410" t="s">
        <v>107</v>
      </c>
      <c r="C410" s="38" t="s">
        <v>8</v>
      </c>
      <c r="D410" t="s">
        <v>401</v>
      </c>
      <c r="E410" t="s">
        <v>56</v>
      </c>
      <c r="F410" t="s">
        <v>93</v>
      </c>
      <c r="G410" t="s">
        <v>138</v>
      </c>
      <c r="H410" s="9" t="s">
        <v>108</v>
      </c>
      <c r="I410" t="s">
        <v>58</v>
      </c>
      <c r="J410">
        <v>0</v>
      </c>
      <c r="K410">
        <v>0</v>
      </c>
      <c r="L410">
        <v>0</v>
      </c>
      <c r="M410">
        <v>0</v>
      </c>
      <c r="N410">
        <v>12.09</v>
      </c>
      <c r="P410" t="s">
        <v>403</v>
      </c>
      <c r="Q410" s="38"/>
    </row>
    <row r="411" spans="1:17" x14ac:dyDescent="0.25">
      <c r="A411" s="39">
        <v>45416</v>
      </c>
      <c r="B411" t="s">
        <v>41</v>
      </c>
      <c r="C411" s="38" t="s">
        <v>8</v>
      </c>
      <c r="D411" t="s">
        <v>123</v>
      </c>
      <c r="E411" t="s">
        <v>81</v>
      </c>
      <c r="F411" t="s">
        <v>285</v>
      </c>
      <c r="G411" t="s">
        <v>138</v>
      </c>
      <c r="H411" s="9" t="s">
        <v>106</v>
      </c>
      <c r="I411" t="s">
        <v>58</v>
      </c>
      <c r="J411">
        <v>0</v>
      </c>
      <c r="K411">
        <v>0</v>
      </c>
      <c r="L411">
        <v>0</v>
      </c>
      <c r="M411">
        <v>0</v>
      </c>
      <c r="N411">
        <v>17.88</v>
      </c>
      <c r="P411" t="s">
        <v>152</v>
      </c>
      <c r="Q411" s="38"/>
    </row>
    <row r="412" spans="1:17" x14ac:dyDescent="0.25">
      <c r="A412" s="39">
        <v>45416</v>
      </c>
      <c r="B412" t="s">
        <v>43</v>
      </c>
      <c r="C412" s="38" t="s">
        <v>8</v>
      </c>
      <c r="D412" t="s">
        <v>282</v>
      </c>
      <c r="E412" t="s">
        <v>275</v>
      </c>
      <c r="F412" t="s">
        <v>276</v>
      </c>
      <c r="G412" t="s">
        <v>138</v>
      </c>
      <c r="H412" s="9" t="s">
        <v>208</v>
      </c>
      <c r="I412" t="s">
        <v>58</v>
      </c>
      <c r="J412">
        <v>0</v>
      </c>
      <c r="K412">
        <v>0</v>
      </c>
      <c r="L412">
        <v>0</v>
      </c>
      <c r="M412">
        <v>0</v>
      </c>
      <c r="N412">
        <v>17.25</v>
      </c>
      <c r="P412" t="s">
        <v>154</v>
      </c>
      <c r="Q412" s="38"/>
    </row>
    <row r="413" spans="1:17" x14ac:dyDescent="0.25">
      <c r="A413" s="39">
        <v>45416</v>
      </c>
      <c r="B413" t="s">
        <v>5</v>
      </c>
      <c r="C413" s="38" t="s">
        <v>8</v>
      </c>
      <c r="D413" t="s">
        <v>283</v>
      </c>
      <c r="E413" t="s">
        <v>60</v>
      </c>
      <c r="F413" t="s">
        <v>285</v>
      </c>
      <c r="G413" t="s">
        <v>138</v>
      </c>
      <c r="H413" s="9" t="s">
        <v>209</v>
      </c>
      <c r="I413" t="s">
        <v>58</v>
      </c>
      <c r="J413">
        <v>0</v>
      </c>
      <c r="K413">
        <v>0</v>
      </c>
      <c r="L413">
        <v>0</v>
      </c>
      <c r="M413">
        <v>0</v>
      </c>
      <c r="N413">
        <v>16.46</v>
      </c>
      <c r="P413" t="s">
        <v>153</v>
      </c>
      <c r="Q413" s="38"/>
    </row>
    <row r="414" spans="1:17" x14ac:dyDescent="0.25">
      <c r="A414" s="39">
        <v>45416</v>
      </c>
      <c r="B414" t="s">
        <v>9</v>
      </c>
      <c r="C414" s="38" t="s">
        <v>8</v>
      </c>
      <c r="D414" t="s">
        <v>189</v>
      </c>
      <c r="E414" t="s">
        <v>360</v>
      </c>
      <c r="F414" t="s">
        <v>276</v>
      </c>
      <c r="G414" t="s">
        <v>138</v>
      </c>
      <c r="H414" s="9" t="s">
        <v>210</v>
      </c>
      <c r="I414" t="s">
        <v>58</v>
      </c>
      <c r="J414">
        <v>0</v>
      </c>
      <c r="K414">
        <v>0</v>
      </c>
      <c r="L414">
        <v>0</v>
      </c>
      <c r="M414">
        <v>0</v>
      </c>
      <c r="N414">
        <v>23.18</v>
      </c>
      <c r="P414" t="s">
        <v>153</v>
      </c>
      <c r="Q414" s="38"/>
    </row>
    <row r="415" spans="1:17" x14ac:dyDescent="0.25">
      <c r="A415" s="39">
        <v>45416</v>
      </c>
      <c r="B415" t="s">
        <v>10</v>
      </c>
      <c r="C415" s="38" t="s">
        <v>8</v>
      </c>
      <c r="D415" t="s">
        <v>263</v>
      </c>
      <c r="E415" t="s">
        <v>342</v>
      </c>
      <c r="F415" t="s">
        <v>90</v>
      </c>
      <c r="G415" t="s">
        <v>138</v>
      </c>
      <c r="H415" s="9" t="s">
        <v>211</v>
      </c>
      <c r="I415" t="s">
        <v>58</v>
      </c>
      <c r="J415">
        <v>0</v>
      </c>
      <c r="K415">
        <v>0</v>
      </c>
      <c r="L415">
        <v>0</v>
      </c>
      <c r="M415">
        <v>0</v>
      </c>
      <c r="N415">
        <v>74.34</v>
      </c>
      <c r="P415" t="s">
        <v>151</v>
      </c>
      <c r="Q415" s="38"/>
    </row>
    <row r="416" spans="1:17" x14ac:dyDescent="0.25">
      <c r="A416" s="39">
        <v>45416</v>
      </c>
      <c r="B416" t="s">
        <v>11</v>
      </c>
      <c r="C416" s="38" t="s">
        <v>8</v>
      </c>
      <c r="D416" t="s">
        <v>205</v>
      </c>
      <c r="E416" t="s">
        <v>60</v>
      </c>
      <c r="F416" t="s">
        <v>93</v>
      </c>
      <c r="G416" t="s">
        <v>138</v>
      </c>
      <c r="H416" s="9" t="s">
        <v>212</v>
      </c>
      <c r="I416" t="s">
        <v>58</v>
      </c>
      <c r="J416">
        <v>0</v>
      </c>
      <c r="K416">
        <v>0</v>
      </c>
      <c r="L416">
        <v>0</v>
      </c>
      <c r="M416">
        <v>0</v>
      </c>
      <c r="N416">
        <v>11.39</v>
      </c>
      <c r="P416" t="s">
        <v>147</v>
      </c>
      <c r="Q416" s="38"/>
    </row>
    <row r="417" spans="1:17" x14ac:dyDescent="0.25">
      <c r="A417" s="39">
        <v>45416</v>
      </c>
      <c r="B417" t="s">
        <v>12</v>
      </c>
      <c r="C417" s="38" t="s">
        <v>8</v>
      </c>
      <c r="D417" t="s">
        <v>286</v>
      </c>
      <c r="E417" t="s">
        <v>60</v>
      </c>
      <c r="F417" t="s">
        <v>285</v>
      </c>
      <c r="G417" t="s">
        <v>138</v>
      </c>
      <c r="H417" s="9" t="s">
        <v>213</v>
      </c>
      <c r="I417" t="s">
        <v>58</v>
      </c>
      <c r="J417">
        <v>0</v>
      </c>
      <c r="K417">
        <v>0</v>
      </c>
      <c r="L417">
        <v>0</v>
      </c>
      <c r="M417">
        <v>0</v>
      </c>
      <c r="N417">
        <v>11.98</v>
      </c>
      <c r="P417" t="s">
        <v>154</v>
      </c>
      <c r="Q417" s="38"/>
    </row>
    <row r="418" spans="1:17" x14ac:dyDescent="0.25">
      <c r="A418" s="39">
        <v>45416</v>
      </c>
      <c r="B418" t="s">
        <v>105</v>
      </c>
      <c r="C418" s="38" t="s">
        <v>8</v>
      </c>
      <c r="D418" t="s">
        <v>267</v>
      </c>
      <c r="E418" t="s">
        <v>60</v>
      </c>
      <c r="F418" t="s">
        <v>93</v>
      </c>
      <c r="G418" t="s">
        <v>138</v>
      </c>
      <c r="H418" s="9" t="s">
        <v>214</v>
      </c>
      <c r="I418" t="s">
        <v>58</v>
      </c>
      <c r="J418">
        <v>0</v>
      </c>
      <c r="K418">
        <v>0</v>
      </c>
      <c r="L418">
        <v>0</v>
      </c>
      <c r="M418">
        <v>0</v>
      </c>
      <c r="N418">
        <v>12.39</v>
      </c>
      <c r="P418" t="s">
        <v>147</v>
      </c>
      <c r="Q418" s="38"/>
    </row>
    <row r="419" spans="1:17" x14ac:dyDescent="0.25">
      <c r="A419" s="39">
        <v>45416</v>
      </c>
      <c r="B419" t="s">
        <v>104</v>
      </c>
      <c r="C419" s="38" t="s">
        <v>8</v>
      </c>
      <c r="D419" t="s">
        <v>143</v>
      </c>
      <c r="E419" t="s">
        <v>60</v>
      </c>
      <c r="F419" t="s">
        <v>285</v>
      </c>
      <c r="G419" t="s">
        <v>138</v>
      </c>
      <c r="H419" s="9" t="s">
        <v>215</v>
      </c>
      <c r="I419" t="s">
        <v>58</v>
      </c>
      <c r="J419">
        <v>0</v>
      </c>
      <c r="K419">
        <v>0</v>
      </c>
      <c r="L419">
        <v>0</v>
      </c>
      <c r="M419">
        <v>0</v>
      </c>
      <c r="N419">
        <v>13.96</v>
      </c>
      <c r="P419" t="s">
        <v>154</v>
      </c>
      <c r="Q419" s="38"/>
    </row>
    <row r="420" spans="1:17" x14ac:dyDescent="0.25">
      <c r="A420" s="39">
        <v>45416</v>
      </c>
      <c r="B420" t="s">
        <v>13</v>
      </c>
      <c r="C420" s="38" t="s">
        <v>8</v>
      </c>
      <c r="D420" t="s">
        <v>350</v>
      </c>
      <c r="E420" t="s">
        <v>60</v>
      </c>
      <c r="F420" t="s">
        <v>93</v>
      </c>
      <c r="G420" t="s">
        <v>138</v>
      </c>
      <c r="H420" s="9" t="s">
        <v>216</v>
      </c>
      <c r="I420" t="s">
        <v>58</v>
      </c>
      <c r="J420">
        <v>0</v>
      </c>
      <c r="K420">
        <v>0</v>
      </c>
      <c r="L420">
        <v>0</v>
      </c>
      <c r="M420">
        <v>0</v>
      </c>
      <c r="N420">
        <v>12.4</v>
      </c>
      <c r="P420" t="s">
        <v>147</v>
      </c>
      <c r="Q420" s="38"/>
    </row>
    <row r="421" spans="1:17" x14ac:dyDescent="0.25">
      <c r="A421" s="39">
        <v>45416</v>
      </c>
      <c r="B421" t="s">
        <v>103</v>
      </c>
      <c r="C421" s="38" t="s">
        <v>8</v>
      </c>
      <c r="D421" t="s">
        <v>179</v>
      </c>
      <c r="E421" t="s">
        <v>81</v>
      </c>
      <c r="F421" t="s">
        <v>90</v>
      </c>
      <c r="G421" t="s">
        <v>138</v>
      </c>
      <c r="H421" s="9" t="s">
        <v>217</v>
      </c>
      <c r="I421" t="s">
        <v>65</v>
      </c>
      <c r="J421">
        <v>0</v>
      </c>
      <c r="K421">
        <v>0</v>
      </c>
      <c r="L421">
        <v>0</v>
      </c>
      <c r="M421">
        <v>0</v>
      </c>
      <c r="N421">
        <v>41.9</v>
      </c>
      <c r="P421" t="s">
        <v>187</v>
      </c>
      <c r="Q421" s="38"/>
    </row>
    <row r="422" spans="1:17" x14ac:dyDescent="0.25">
      <c r="A422" s="39">
        <v>45416</v>
      </c>
      <c r="B422" t="s">
        <v>101</v>
      </c>
      <c r="C422" s="38" t="s">
        <v>8</v>
      </c>
      <c r="D422" t="s">
        <v>405</v>
      </c>
      <c r="E422" t="s">
        <v>81</v>
      </c>
      <c r="F422" t="s">
        <v>285</v>
      </c>
      <c r="G422" t="s">
        <v>138</v>
      </c>
      <c r="H422" s="9" t="s">
        <v>102</v>
      </c>
      <c r="I422" t="s">
        <v>58</v>
      </c>
      <c r="J422">
        <v>0</v>
      </c>
      <c r="K422">
        <v>0</v>
      </c>
      <c r="L422">
        <v>0</v>
      </c>
      <c r="M422">
        <v>0</v>
      </c>
      <c r="N422">
        <v>19.600000000000001</v>
      </c>
      <c r="P422" t="s">
        <v>151</v>
      </c>
      <c r="Q422" s="38"/>
    </row>
    <row r="423" spans="1:17" x14ac:dyDescent="0.25">
      <c r="A423" s="39">
        <v>45416</v>
      </c>
      <c r="B423" t="s">
        <v>99</v>
      </c>
      <c r="C423" s="38" t="s">
        <v>8</v>
      </c>
      <c r="D423" t="s">
        <v>249</v>
      </c>
      <c r="E423" t="s">
        <v>81</v>
      </c>
      <c r="F423" t="s">
        <v>90</v>
      </c>
      <c r="G423" t="s">
        <v>138</v>
      </c>
      <c r="H423" s="9" t="s">
        <v>100</v>
      </c>
      <c r="J423">
        <v>0</v>
      </c>
      <c r="K423">
        <v>0</v>
      </c>
      <c r="L423">
        <v>0</v>
      </c>
      <c r="M423">
        <v>0</v>
      </c>
      <c r="N423">
        <v>41.83</v>
      </c>
      <c r="P423" t="s">
        <v>152</v>
      </c>
      <c r="Q423" s="38"/>
    </row>
    <row r="424" spans="1:17" x14ac:dyDescent="0.25">
      <c r="A424" s="39">
        <v>45416</v>
      </c>
      <c r="B424" t="s">
        <v>97</v>
      </c>
      <c r="C424" s="38" t="s">
        <v>8</v>
      </c>
      <c r="D424" t="s">
        <v>288</v>
      </c>
      <c r="E424" t="s">
        <v>352</v>
      </c>
      <c r="F424" t="s">
        <v>285</v>
      </c>
      <c r="G424" t="s">
        <v>138</v>
      </c>
      <c r="H424" s="9" t="s">
        <v>98</v>
      </c>
      <c r="I424" t="s">
        <v>58</v>
      </c>
      <c r="J424">
        <v>0</v>
      </c>
      <c r="K424">
        <v>0</v>
      </c>
      <c r="L424">
        <v>0</v>
      </c>
      <c r="M424">
        <v>0</v>
      </c>
      <c r="N424">
        <v>22.49</v>
      </c>
      <c r="P424" t="s">
        <v>148</v>
      </c>
      <c r="Q424" s="38"/>
    </row>
    <row r="425" spans="1:17" x14ac:dyDescent="0.25">
      <c r="A425" s="39">
        <v>45416</v>
      </c>
      <c r="B425" t="s">
        <v>95</v>
      </c>
      <c r="C425" s="38" t="s">
        <v>8</v>
      </c>
      <c r="D425" t="s">
        <v>181</v>
      </c>
      <c r="E425" t="s">
        <v>81</v>
      </c>
      <c r="F425" t="s">
        <v>90</v>
      </c>
      <c r="G425" t="s">
        <v>138</v>
      </c>
      <c r="H425" s="9" t="s">
        <v>96</v>
      </c>
      <c r="I425" t="s">
        <v>65</v>
      </c>
      <c r="J425">
        <v>0</v>
      </c>
      <c r="K425">
        <v>0</v>
      </c>
      <c r="L425">
        <v>0</v>
      </c>
      <c r="M425">
        <v>0</v>
      </c>
      <c r="N425">
        <v>20.38</v>
      </c>
      <c r="P425" t="s">
        <v>152</v>
      </c>
      <c r="Q425" s="38"/>
    </row>
    <row r="426" spans="1:17" x14ac:dyDescent="0.25">
      <c r="A426" s="39">
        <v>45416</v>
      </c>
      <c r="B426" t="s">
        <v>14</v>
      </c>
      <c r="C426" s="38" t="s">
        <v>8</v>
      </c>
      <c r="D426" t="s">
        <v>289</v>
      </c>
      <c r="E426" t="s">
        <v>352</v>
      </c>
      <c r="F426" t="s">
        <v>285</v>
      </c>
      <c r="G426" t="s">
        <v>138</v>
      </c>
      <c r="H426" s="9" t="s">
        <v>94</v>
      </c>
      <c r="I426" t="s">
        <v>58</v>
      </c>
      <c r="J426">
        <v>0</v>
      </c>
      <c r="K426">
        <v>0</v>
      </c>
      <c r="L426">
        <v>0</v>
      </c>
      <c r="M426">
        <v>0</v>
      </c>
      <c r="N426">
        <v>25.88</v>
      </c>
      <c r="P426" t="s">
        <v>151</v>
      </c>
      <c r="Q426" s="38"/>
    </row>
    <row r="427" spans="1:17" x14ac:dyDescent="0.25">
      <c r="A427" s="39">
        <v>45416</v>
      </c>
      <c r="B427" t="s">
        <v>91</v>
      </c>
      <c r="C427" s="38" t="s">
        <v>8</v>
      </c>
      <c r="D427" t="s">
        <v>180</v>
      </c>
      <c r="E427" t="s">
        <v>81</v>
      </c>
      <c r="F427" t="s">
        <v>90</v>
      </c>
      <c r="G427" t="s">
        <v>138</v>
      </c>
      <c r="H427" s="9" t="s">
        <v>92</v>
      </c>
      <c r="J427">
        <v>0</v>
      </c>
      <c r="K427">
        <v>0</v>
      </c>
      <c r="L427">
        <v>0</v>
      </c>
      <c r="M427">
        <v>0</v>
      </c>
      <c r="N427">
        <v>16.73</v>
      </c>
      <c r="P427" t="s">
        <v>148</v>
      </c>
      <c r="Q427" s="38"/>
    </row>
    <row r="428" spans="1:17" x14ac:dyDescent="0.25">
      <c r="A428" s="39">
        <v>45416</v>
      </c>
      <c r="B428" t="s">
        <v>15</v>
      </c>
      <c r="C428" s="38" t="s">
        <v>8</v>
      </c>
      <c r="D428" t="s">
        <v>140</v>
      </c>
      <c r="E428" t="s">
        <v>81</v>
      </c>
      <c r="F428" t="s">
        <v>285</v>
      </c>
      <c r="G428" t="s">
        <v>138</v>
      </c>
      <c r="H428" s="9" t="s">
        <v>218</v>
      </c>
      <c r="I428" t="s">
        <v>58</v>
      </c>
      <c r="J428">
        <v>0</v>
      </c>
      <c r="K428">
        <v>0</v>
      </c>
      <c r="L428">
        <v>0</v>
      </c>
      <c r="M428">
        <v>0</v>
      </c>
      <c r="N428">
        <v>20.190000000000001</v>
      </c>
      <c r="P428" t="s">
        <v>148</v>
      </c>
      <c r="Q428" s="38"/>
    </row>
    <row r="429" spans="1:17" x14ac:dyDescent="0.25">
      <c r="A429" s="39">
        <v>45416</v>
      </c>
      <c r="B429" t="s">
        <v>89</v>
      </c>
      <c r="C429" s="38" t="s">
        <v>8</v>
      </c>
      <c r="D429" t="s">
        <v>176</v>
      </c>
      <c r="E429" t="s">
        <v>398</v>
      </c>
      <c r="F429" t="s">
        <v>90</v>
      </c>
      <c r="G429" t="s">
        <v>138</v>
      </c>
      <c r="H429" s="9" t="s">
        <v>219</v>
      </c>
      <c r="I429" t="s">
        <v>65</v>
      </c>
      <c r="J429">
        <v>0</v>
      </c>
      <c r="K429">
        <v>0</v>
      </c>
      <c r="L429">
        <v>0</v>
      </c>
      <c r="M429">
        <v>0</v>
      </c>
      <c r="N429">
        <v>17.670000000000002</v>
      </c>
      <c r="P429" t="s">
        <v>186</v>
      </c>
      <c r="Q429" s="38"/>
    </row>
    <row r="430" spans="1:17" x14ac:dyDescent="0.25">
      <c r="A430" s="39">
        <v>45416</v>
      </c>
      <c r="B430" t="s">
        <v>16</v>
      </c>
      <c r="C430" s="38" t="s">
        <v>8</v>
      </c>
      <c r="D430" t="s">
        <v>407</v>
      </c>
      <c r="E430" t="s">
        <v>360</v>
      </c>
      <c r="F430" t="s">
        <v>253</v>
      </c>
      <c r="G430" t="s">
        <v>138</v>
      </c>
      <c r="H430" s="9" t="s">
        <v>220</v>
      </c>
      <c r="I430" t="s">
        <v>58</v>
      </c>
      <c r="J430">
        <v>0</v>
      </c>
      <c r="K430">
        <v>0</v>
      </c>
      <c r="L430">
        <v>0</v>
      </c>
      <c r="M430">
        <v>0</v>
      </c>
      <c r="N430">
        <v>21.19</v>
      </c>
      <c r="P430" t="s">
        <v>151</v>
      </c>
      <c r="Q430" s="38"/>
    </row>
    <row r="431" spans="1:17" x14ac:dyDescent="0.25">
      <c r="A431" s="39">
        <v>45416</v>
      </c>
      <c r="B431" t="s">
        <v>88</v>
      </c>
      <c r="C431" s="38" t="s">
        <v>8</v>
      </c>
      <c r="D431" t="s">
        <v>311</v>
      </c>
      <c r="E431" t="s">
        <v>60</v>
      </c>
      <c r="F431" t="s">
        <v>253</v>
      </c>
      <c r="G431" t="s">
        <v>138</v>
      </c>
      <c r="H431" s="9" t="s">
        <v>221</v>
      </c>
      <c r="J431">
        <v>0</v>
      </c>
      <c r="K431">
        <v>0</v>
      </c>
      <c r="L431">
        <v>0</v>
      </c>
      <c r="M431">
        <v>0</v>
      </c>
      <c r="N431">
        <v>38.44</v>
      </c>
      <c r="P431" t="s">
        <v>154</v>
      </c>
      <c r="Q431" s="38"/>
    </row>
    <row r="432" spans="1:17" x14ac:dyDescent="0.25">
      <c r="A432" s="39">
        <v>45416</v>
      </c>
      <c r="B432" t="s">
        <v>17</v>
      </c>
      <c r="C432" s="38" t="s">
        <v>8</v>
      </c>
      <c r="D432" t="s">
        <v>272</v>
      </c>
      <c r="E432" t="s">
        <v>275</v>
      </c>
      <c r="F432" t="s">
        <v>276</v>
      </c>
      <c r="G432" t="s">
        <v>138</v>
      </c>
      <c r="H432" s="9" t="s">
        <v>222</v>
      </c>
      <c r="I432" t="s">
        <v>58</v>
      </c>
      <c r="J432">
        <v>0</v>
      </c>
      <c r="K432">
        <v>0</v>
      </c>
      <c r="L432">
        <v>0</v>
      </c>
      <c r="M432">
        <v>0</v>
      </c>
      <c r="N432">
        <v>20.56</v>
      </c>
      <c r="P432" t="s">
        <v>151</v>
      </c>
      <c r="Q432" s="38"/>
    </row>
    <row r="433" spans="1:17" x14ac:dyDescent="0.25">
      <c r="A433" s="39">
        <v>45416</v>
      </c>
      <c r="B433" t="s">
        <v>19</v>
      </c>
      <c r="C433" s="38" t="s">
        <v>8</v>
      </c>
      <c r="D433" t="s">
        <v>343</v>
      </c>
      <c r="E433" t="s">
        <v>81</v>
      </c>
      <c r="F433" t="s">
        <v>253</v>
      </c>
      <c r="G433" t="s">
        <v>138</v>
      </c>
      <c r="H433" s="9" t="s">
        <v>223</v>
      </c>
      <c r="I433" t="s">
        <v>65</v>
      </c>
      <c r="J433">
        <v>0</v>
      </c>
      <c r="K433">
        <v>0</v>
      </c>
      <c r="L433">
        <v>0</v>
      </c>
      <c r="M433">
        <v>0</v>
      </c>
      <c r="N433">
        <v>41.06</v>
      </c>
      <c r="P433" t="s">
        <v>151</v>
      </c>
      <c r="Q433" s="38"/>
    </row>
    <row r="434" spans="1:17" x14ac:dyDescent="0.25">
      <c r="A434" s="39">
        <v>45416</v>
      </c>
      <c r="B434" t="s">
        <v>18</v>
      </c>
      <c r="C434" s="38" t="s">
        <v>8</v>
      </c>
      <c r="D434" t="s">
        <v>268</v>
      </c>
      <c r="E434" t="s">
        <v>408</v>
      </c>
      <c r="F434" t="s">
        <v>253</v>
      </c>
      <c r="G434" t="s">
        <v>138</v>
      </c>
      <c r="H434" s="9" t="s">
        <v>224</v>
      </c>
      <c r="I434" t="s">
        <v>58</v>
      </c>
      <c r="J434">
        <v>0</v>
      </c>
      <c r="K434">
        <v>0</v>
      </c>
      <c r="L434">
        <v>0</v>
      </c>
      <c r="M434">
        <v>0</v>
      </c>
      <c r="N434">
        <v>18.89</v>
      </c>
      <c r="P434" t="s">
        <v>148</v>
      </c>
      <c r="Q434" s="38"/>
    </row>
    <row r="435" spans="1:17" x14ac:dyDescent="0.25">
      <c r="A435" s="39">
        <v>45416</v>
      </c>
      <c r="B435" t="s">
        <v>87</v>
      </c>
      <c r="C435" s="38" t="s">
        <v>8</v>
      </c>
      <c r="G435" t="s">
        <v>138</v>
      </c>
      <c r="H435" s="9" t="s">
        <v>225</v>
      </c>
      <c r="J435">
        <v>0</v>
      </c>
      <c r="K435">
        <v>0</v>
      </c>
      <c r="L435">
        <v>0</v>
      </c>
      <c r="M435">
        <v>0</v>
      </c>
      <c r="N435">
        <v>41146219</v>
      </c>
      <c r="Q435" s="38"/>
    </row>
    <row r="436" spans="1:17" x14ac:dyDescent="0.25">
      <c r="A436" s="39">
        <v>45416</v>
      </c>
      <c r="B436" t="s">
        <v>42</v>
      </c>
      <c r="C436" s="38" t="s">
        <v>8</v>
      </c>
      <c r="D436" t="s">
        <v>246</v>
      </c>
      <c r="E436" t="s">
        <v>81</v>
      </c>
      <c r="F436" t="s">
        <v>285</v>
      </c>
      <c r="G436" t="s">
        <v>138</v>
      </c>
      <c r="H436" s="9" t="s">
        <v>226</v>
      </c>
      <c r="I436" t="s">
        <v>58</v>
      </c>
      <c r="J436">
        <v>0</v>
      </c>
      <c r="K436">
        <v>0</v>
      </c>
      <c r="L436">
        <v>0</v>
      </c>
      <c r="M436">
        <v>0</v>
      </c>
      <c r="N436">
        <v>20.7</v>
      </c>
      <c r="P436" t="s">
        <v>148</v>
      </c>
      <c r="Q436" s="38"/>
    </row>
    <row r="437" spans="1:17" x14ac:dyDescent="0.25">
      <c r="A437" s="39">
        <v>45416</v>
      </c>
      <c r="B437" t="s">
        <v>86</v>
      </c>
      <c r="C437" s="38" t="s">
        <v>8</v>
      </c>
      <c r="D437" t="s">
        <v>271</v>
      </c>
      <c r="E437" t="s">
        <v>275</v>
      </c>
      <c r="F437" t="s">
        <v>276</v>
      </c>
      <c r="G437" t="s">
        <v>138</v>
      </c>
      <c r="H437" s="9" t="s">
        <v>227</v>
      </c>
      <c r="I437" t="s">
        <v>65</v>
      </c>
      <c r="J437">
        <v>0</v>
      </c>
      <c r="K437">
        <v>0</v>
      </c>
      <c r="L437">
        <v>0</v>
      </c>
      <c r="M437">
        <v>0</v>
      </c>
      <c r="N437">
        <v>41.64</v>
      </c>
      <c r="P437" t="s">
        <v>152</v>
      </c>
      <c r="Q437" s="38"/>
    </row>
    <row r="438" spans="1:17" x14ac:dyDescent="0.25">
      <c r="A438" s="39">
        <v>45416</v>
      </c>
      <c r="B438" t="s">
        <v>38</v>
      </c>
      <c r="C438" s="38" t="s">
        <v>8</v>
      </c>
      <c r="D438" t="s">
        <v>141</v>
      </c>
      <c r="E438" t="s">
        <v>81</v>
      </c>
      <c r="F438" t="s">
        <v>285</v>
      </c>
      <c r="G438" t="s">
        <v>138</v>
      </c>
      <c r="H438" s="9" t="s">
        <v>85</v>
      </c>
      <c r="I438" t="s">
        <v>58</v>
      </c>
      <c r="J438">
        <v>0</v>
      </c>
      <c r="K438">
        <v>0</v>
      </c>
      <c r="L438">
        <v>0</v>
      </c>
      <c r="M438">
        <v>0</v>
      </c>
      <c r="N438">
        <v>37.5</v>
      </c>
      <c r="P438" t="s">
        <v>151</v>
      </c>
      <c r="Q438" s="38"/>
    </row>
    <row r="439" spans="1:17" x14ac:dyDescent="0.25">
      <c r="A439" s="39">
        <v>45416</v>
      </c>
      <c r="B439" t="s">
        <v>83</v>
      </c>
      <c r="C439" s="38" t="s">
        <v>8</v>
      </c>
      <c r="G439" t="s">
        <v>138</v>
      </c>
      <c r="H439" s="9" t="s">
        <v>84</v>
      </c>
      <c r="J439">
        <v>0</v>
      </c>
      <c r="K439">
        <v>0</v>
      </c>
      <c r="L439">
        <v>0</v>
      </c>
      <c r="M439">
        <v>0</v>
      </c>
      <c r="N439">
        <v>41.36</v>
      </c>
      <c r="Q439" s="38"/>
    </row>
    <row r="440" spans="1:17" x14ac:dyDescent="0.25">
      <c r="A440" s="39">
        <v>45416</v>
      </c>
      <c r="B440" t="s">
        <v>20</v>
      </c>
      <c r="C440" s="38" t="s">
        <v>8</v>
      </c>
      <c r="D440" t="s">
        <v>351</v>
      </c>
      <c r="E440" t="s">
        <v>352</v>
      </c>
      <c r="F440" t="s">
        <v>285</v>
      </c>
      <c r="G440" t="s">
        <v>138</v>
      </c>
      <c r="H440" s="9" t="s">
        <v>82</v>
      </c>
      <c r="I440" t="s">
        <v>58</v>
      </c>
      <c r="J440">
        <v>0</v>
      </c>
      <c r="K440">
        <v>0</v>
      </c>
      <c r="L440">
        <v>0</v>
      </c>
      <c r="M440">
        <v>0</v>
      </c>
      <c r="N440">
        <v>22.79</v>
      </c>
      <c r="P440" t="s">
        <v>151</v>
      </c>
      <c r="Q440" s="38"/>
    </row>
    <row r="441" spans="1:17" x14ac:dyDescent="0.25">
      <c r="A441" s="39">
        <v>45416</v>
      </c>
      <c r="B441" t="s">
        <v>21</v>
      </c>
      <c r="C441" s="38" t="s">
        <v>8</v>
      </c>
      <c r="D441" t="s">
        <v>291</v>
      </c>
      <c r="E441" t="s">
        <v>352</v>
      </c>
      <c r="F441" t="s">
        <v>285</v>
      </c>
      <c r="G441" t="s">
        <v>138</v>
      </c>
      <c r="H441" s="9" t="s">
        <v>80</v>
      </c>
      <c r="I441" t="s">
        <v>65</v>
      </c>
      <c r="J441">
        <v>0</v>
      </c>
      <c r="K441">
        <v>0</v>
      </c>
      <c r="L441">
        <v>0</v>
      </c>
      <c r="M441">
        <v>0</v>
      </c>
      <c r="N441">
        <v>21.59</v>
      </c>
      <c r="P441" t="s">
        <v>152</v>
      </c>
      <c r="Q441" s="38"/>
    </row>
    <row r="442" spans="1:17" x14ac:dyDescent="0.25">
      <c r="A442" s="39">
        <v>45416</v>
      </c>
      <c r="B442" t="s">
        <v>22</v>
      </c>
      <c r="C442" s="38" t="s">
        <v>8</v>
      </c>
      <c r="D442" t="s">
        <v>353</v>
      </c>
      <c r="E442" t="s">
        <v>352</v>
      </c>
      <c r="F442" t="s">
        <v>285</v>
      </c>
      <c r="G442" t="s">
        <v>138</v>
      </c>
      <c r="H442" s="9" t="s">
        <v>79</v>
      </c>
      <c r="I442" t="s">
        <v>58</v>
      </c>
      <c r="J442">
        <v>0</v>
      </c>
      <c r="K442">
        <v>0</v>
      </c>
      <c r="L442">
        <v>0</v>
      </c>
      <c r="M442">
        <v>0</v>
      </c>
      <c r="N442">
        <v>13.62</v>
      </c>
      <c r="P442" t="s">
        <v>148</v>
      </c>
      <c r="Q442" s="38"/>
    </row>
    <row r="443" spans="1:17" x14ac:dyDescent="0.25">
      <c r="A443" s="39">
        <v>45416</v>
      </c>
      <c r="B443" t="s">
        <v>77</v>
      </c>
      <c r="C443" s="38" t="s">
        <v>8</v>
      </c>
      <c r="G443" t="s">
        <v>138</v>
      </c>
      <c r="H443" s="9" t="s">
        <v>78</v>
      </c>
      <c r="J443">
        <v>0</v>
      </c>
      <c r="K443">
        <v>0</v>
      </c>
      <c r="L443">
        <v>0</v>
      </c>
      <c r="M443">
        <v>0</v>
      </c>
      <c r="N443">
        <v>17.88</v>
      </c>
      <c r="Q443" s="38"/>
    </row>
    <row r="444" spans="1:17" x14ac:dyDescent="0.25">
      <c r="A444" s="39">
        <v>45416</v>
      </c>
      <c r="B444" t="s">
        <v>23</v>
      </c>
      <c r="C444" s="38" t="s">
        <v>8</v>
      </c>
      <c r="D444" t="s">
        <v>409</v>
      </c>
      <c r="E444" t="s">
        <v>352</v>
      </c>
      <c r="F444" t="s">
        <v>285</v>
      </c>
      <c r="G444" t="s">
        <v>138</v>
      </c>
      <c r="H444" s="9" t="s">
        <v>228</v>
      </c>
      <c r="I444" t="s">
        <v>58</v>
      </c>
      <c r="J444">
        <v>0</v>
      </c>
      <c r="K444">
        <v>0</v>
      </c>
      <c r="L444">
        <v>0</v>
      </c>
      <c r="M444">
        <v>0</v>
      </c>
      <c r="N444">
        <v>23.22</v>
      </c>
      <c r="P444" t="s">
        <v>148</v>
      </c>
      <c r="Q444" s="38"/>
    </row>
    <row r="445" spans="1:17" x14ac:dyDescent="0.25">
      <c r="A445" s="39">
        <v>45416</v>
      </c>
      <c r="B445" t="s">
        <v>24</v>
      </c>
      <c r="C445" s="38" t="s">
        <v>8</v>
      </c>
      <c r="D445" t="s">
        <v>344</v>
      </c>
      <c r="E445" t="s">
        <v>379</v>
      </c>
      <c r="F445" t="s">
        <v>253</v>
      </c>
      <c r="G445" t="s">
        <v>138</v>
      </c>
      <c r="H445" s="9" t="s">
        <v>229</v>
      </c>
      <c r="I445" t="s">
        <v>65</v>
      </c>
      <c r="J445">
        <v>0</v>
      </c>
      <c r="K445">
        <v>0</v>
      </c>
      <c r="L445">
        <v>0</v>
      </c>
      <c r="M445">
        <v>0</v>
      </c>
      <c r="N445">
        <v>18.37</v>
      </c>
      <c r="P445" t="s">
        <v>152</v>
      </c>
      <c r="Q445" s="38"/>
    </row>
    <row r="446" spans="1:17" x14ac:dyDescent="0.25">
      <c r="A446" s="39">
        <v>45416</v>
      </c>
      <c r="B446" t="s">
        <v>75</v>
      </c>
      <c r="C446" s="38" t="s">
        <v>8</v>
      </c>
      <c r="D446" t="s">
        <v>410</v>
      </c>
      <c r="E446" t="s">
        <v>202</v>
      </c>
      <c r="F446" t="s">
        <v>346</v>
      </c>
      <c r="G446" t="s">
        <v>138</v>
      </c>
      <c r="H446" s="9" t="s">
        <v>230</v>
      </c>
      <c r="I446" t="s">
        <v>58</v>
      </c>
      <c r="J446">
        <v>0</v>
      </c>
      <c r="K446">
        <v>0</v>
      </c>
      <c r="L446">
        <v>0</v>
      </c>
      <c r="M446">
        <v>0</v>
      </c>
      <c r="N446">
        <v>12.9</v>
      </c>
      <c r="P446" t="s">
        <v>303</v>
      </c>
      <c r="Q446" s="38"/>
    </row>
    <row r="447" spans="1:17" x14ac:dyDescent="0.25">
      <c r="A447" s="39">
        <v>45416</v>
      </c>
      <c r="B447" t="s">
        <v>25</v>
      </c>
      <c r="C447" s="38" t="s">
        <v>8</v>
      </c>
      <c r="D447" t="s">
        <v>383</v>
      </c>
      <c r="E447" t="s">
        <v>81</v>
      </c>
      <c r="F447" t="s">
        <v>285</v>
      </c>
      <c r="G447" t="s">
        <v>138</v>
      </c>
      <c r="H447" s="9" t="s">
        <v>231</v>
      </c>
      <c r="I447" t="s">
        <v>65</v>
      </c>
      <c r="J447">
        <v>0</v>
      </c>
      <c r="K447">
        <v>0</v>
      </c>
      <c r="L447">
        <v>0</v>
      </c>
      <c r="M447">
        <v>0</v>
      </c>
      <c r="N447">
        <v>12.16</v>
      </c>
      <c r="P447" t="s">
        <v>148</v>
      </c>
      <c r="Q447" s="38"/>
    </row>
    <row r="448" spans="1:17" x14ac:dyDescent="0.25">
      <c r="A448" s="39">
        <v>45416</v>
      </c>
      <c r="B448" t="s">
        <v>74</v>
      </c>
      <c r="C448" s="38" t="s">
        <v>8</v>
      </c>
      <c r="D448" t="s">
        <v>292</v>
      </c>
      <c r="E448" t="s">
        <v>60</v>
      </c>
      <c r="F448" t="s">
        <v>346</v>
      </c>
      <c r="G448" t="s">
        <v>138</v>
      </c>
      <c r="H448" s="9" t="s">
        <v>232</v>
      </c>
      <c r="I448" t="s">
        <v>58</v>
      </c>
      <c r="J448">
        <v>0</v>
      </c>
      <c r="K448">
        <v>0</v>
      </c>
      <c r="L448">
        <v>0</v>
      </c>
      <c r="M448">
        <v>0</v>
      </c>
      <c r="N448">
        <v>15.61</v>
      </c>
      <c r="P448" t="s">
        <v>293</v>
      </c>
      <c r="Q448" s="38"/>
    </row>
    <row r="449" spans="1:17" x14ac:dyDescent="0.25">
      <c r="A449" s="39">
        <v>45416</v>
      </c>
      <c r="B449" t="s">
        <v>26</v>
      </c>
      <c r="C449" s="38" t="s">
        <v>8</v>
      </c>
      <c r="D449" t="s">
        <v>294</v>
      </c>
      <c r="E449" t="s">
        <v>56</v>
      </c>
      <c r="F449" t="s">
        <v>184</v>
      </c>
      <c r="G449" t="s">
        <v>138</v>
      </c>
      <c r="H449" s="9" t="s">
        <v>233</v>
      </c>
      <c r="I449" t="s">
        <v>65</v>
      </c>
      <c r="J449">
        <v>0</v>
      </c>
      <c r="K449">
        <v>0</v>
      </c>
      <c r="L449">
        <v>0</v>
      </c>
      <c r="M449">
        <v>0</v>
      </c>
      <c r="N449">
        <v>13.29</v>
      </c>
      <c r="P449" t="s">
        <v>155</v>
      </c>
      <c r="Q449" s="38"/>
    </row>
    <row r="450" spans="1:17" x14ac:dyDescent="0.25">
      <c r="A450" s="39">
        <v>45416</v>
      </c>
      <c r="B450" t="s">
        <v>27</v>
      </c>
      <c r="C450" s="38" t="s">
        <v>8</v>
      </c>
      <c r="D450" t="s">
        <v>384</v>
      </c>
      <c r="E450" t="s">
        <v>366</v>
      </c>
      <c r="F450" t="s">
        <v>346</v>
      </c>
      <c r="G450" t="s">
        <v>138</v>
      </c>
      <c r="H450" s="9" t="s">
        <v>234</v>
      </c>
      <c r="I450" t="s">
        <v>58</v>
      </c>
      <c r="J450">
        <v>0</v>
      </c>
      <c r="K450">
        <v>0</v>
      </c>
      <c r="L450">
        <v>0</v>
      </c>
      <c r="M450">
        <v>0</v>
      </c>
      <c r="N450">
        <v>13.89</v>
      </c>
      <c r="P450" t="s">
        <v>269</v>
      </c>
      <c r="Q450" s="38"/>
    </row>
    <row r="451" spans="1:17" x14ac:dyDescent="0.25">
      <c r="A451" s="39">
        <v>45416</v>
      </c>
      <c r="B451" t="s">
        <v>28</v>
      </c>
      <c r="C451" s="38" t="s">
        <v>8</v>
      </c>
      <c r="D451" t="s">
        <v>411</v>
      </c>
      <c r="E451" t="s">
        <v>56</v>
      </c>
      <c r="F451" t="s">
        <v>338</v>
      </c>
      <c r="G451" t="s">
        <v>138</v>
      </c>
      <c r="H451" s="9" t="s">
        <v>235</v>
      </c>
      <c r="I451" t="s">
        <v>65</v>
      </c>
      <c r="J451">
        <v>0</v>
      </c>
      <c r="K451">
        <v>0</v>
      </c>
      <c r="L451">
        <v>0</v>
      </c>
      <c r="M451">
        <v>0</v>
      </c>
      <c r="N451">
        <v>13.9</v>
      </c>
      <c r="P451" t="s">
        <v>155</v>
      </c>
      <c r="Q451" s="38"/>
    </row>
    <row r="452" spans="1:17" x14ac:dyDescent="0.25">
      <c r="A452" s="39">
        <v>45416</v>
      </c>
      <c r="B452" t="s">
        <v>72</v>
      </c>
      <c r="C452" s="38" t="s">
        <v>8</v>
      </c>
      <c r="D452" t="s">
        <v>322</v>
      </c>
      <c r="E452" t="s">
        <v>202</v>
      </c>
      <c r="F452" t="s">
        <v>346</v>
      </c>
      <c r="G452" t="s">
        <v>138</v>
      </c>
      <c r="H452" s="9" t="s">
        <v>422</v>
      </c>
      <c r="I452" t="s">
        <v>58</v>
      </c>
      <c r="J452">
        <v>0</v>
      </c>
      <c r="K452">
        <v>0</v>
      </c>
      <c r="L452">
        <v>0</v>
      </c>
      <c r="M452">
        <v>0</v>
      </c>
      <c r="N452">
        <v>15.45</v>
      </c>
      <c r="P452" t="s">
        <v>157</v>
      </c>
      <c r="Q452" s="38"/>
    </row>
    <row r="453" spans="1:17" x14ac:dyDescent="0.25">
      <c r="A453" s="39">
        <v>45416</v>
      </c>
      <c r="B453" t="s">
        <v>29</v>
      </c>
      <c r="C453" s="38" t="s">
        <v>8</v>
      </c>
      <c r="D453" t="s">
        <v>315</v>
      </c>
      <c r="E453" t="s">
        <v>56</v>
      </c>
      <c r="F453" t="s">
        <v>338</v>
      </c>
      <c r="G453" t="s">
        <v>138</v>
      </c>
      <c r="H453" s="9" t="s">
        <v>236</v>
      </c>
      <c r="I453" t="s">
        <v>65</v>
      </c>
      <c r="J453">
        <v>0</v>
      </c>
      <c r="K453">
        <v>0</v>
      </c>
      <c r="L453">
        <v>0</v>
      </c>
      <c r="M453">
        <v>0</v>
      </c>
      <c r="N453">
        <v>13.98</v>
      </c>
      <c r="P453" t="s">
        <v>156</v>
      </c>
      <c r="Q453" s="38"/>
    </row>
    <row r="454" spans="1:17" x14ac:dyDescent="0.25">
      <c r="A454" s="39">
        <v>45416</v>
      </c>
      <c r="B454" t="s">
        <v>30</v>
      </c>
      <c r="C454" s="38" t="s">
        <v>8</v>
      </c>
      <c r="D454" t="s">
        <v>305</v>
      </c>
      <c r="E454" t="s">
        <v>81</v>
      </c>
      <c r="F454" t="s">
        <v>90</v>
      </c>
      <c r="G454" t="s">
        <v>138</v>
      </c>
      <c r="H454" s="9" t="s">
        <v>71</v>
      </c>
      <c r="I454" t="s">
        <v>58</v>
      </c>
      <c r="J454">
        <v>0</v>
      </c>
      <c r="K454">
        <v>0</v>
      </c>
      <c r="L454">
        <v>0</v>
      </c>
      <c r="M454">
        <v>0</v>
      </c>
      <c r="N454">
        <v>10.84</v>
      </c>
      <c r="P454" t="s">
        <v>150</v>
      </c>
      <c r="Q454" s="38"/>
    </row>
    <row r="455" spans="1:17" x14ac:dyDescent="0.25">
      <c r="A455" s="39">
        <v>45416</v>
      </c>
      <c r="B455" t="s">
        <v>31</v>
      </c>
      <c r="C455" s="38" t="s">
        <v>8</v>
      </c>
      <c r="E455" t="s">
        <v>56</v>
      </c>
      <c r="G455" t="s">
        <v>138</v>
      </c>
      <c r="H455" s="9" t="s">
        <v>70</v>
      </c>
      <c r="I455" t="s">
        <v>65</v>
      </c>
      <c r="J455">
        <v>0</v>
      </c>
      <c r="K455">
        <v>0</v>
      </c>
      <c r="L455">
        <v>0</v>
      </c>
      <c r="M455">
        <v>0</v>
      </c>
      <c r="N455">
        <v>13.5</v>
      </c>
      <c r="P455" t="s">
        <v>156</v>
      </c>
      <c r="Q455" s="38"/>
    </row>
    <row r="456" spans="1:17" x14ac:dyDescent="0.25">
      <c r="A456" s="39">
        <v>45416</v>
      </c>
      <c r="B456" t="s">
        <v>32</v>
      </c>
      <c r="C456" s="38" t="s">
        <v>8</v>
      </c>
      <c r="D456" t="s">
        <v>413</v>
      </c>
      <c r="E456" t="s">
        <v>202</v>
      </c>
      <c r="F456" t="s">
        <v>346</v>
      </c>
      <c r="G456" t="s">
        <v>138</v>
      </c>
      <c r="H456" s="9" t="s">
        <v>69</v>
      </c>
      <c r="I456" t="s">
        <v>58</v>
      </c>
      <c r="J456">
        <v>0</v>
      </c>
      <c r="K456">
        <v>0</v>
      </c>
      <c r="L456">
        <v>0</v>
      </c>
      <c r="M456">
        <v>0</v>
      </c>
      <c r="N456">
        <v>14.39</v>
      </c>
      <c r="P456" t="s">
        <v>414</v>
      </c>
      <c r="Q456" s="38"/>
    </row>
    <row r="457" spans="1:17" x14ac:dyDescent="0.25">
      <c r="A457" s="39">
        <v>45416</v>
      </c>
      <c r="B457" t="s">
        <v>67</v>
      </c>
      <c r="C457" s="38" t="s">
        <v>8</v>
      </c>
      <c r="D457" t="s">
        <v>354</v>
      </c>
      <c r="E457" t="s">
        <v>56</v>
      </c>
      <c r="F457" t="s">
        <v>367</v>
      </c>
      <c r="G457" t="s">
        <v>138</v>
      </c>
      <c r="H457" s="9" t="s">
        <v>68</v>
      </c>
      <c r="I457" t="s">
        <v>65</v>
      </c>
      <c r="J457">
        <v>0</v>
      </c>
      <c r="K457">
        <v>0</v>
      </c>
      <c r="L457">
        <v>0</v>
      </c>
      <c r="M457">
        <v>0</v>
      </c>
      <c r="N457">
        <v>13.8</v>
      </c>
      <c r="P457" t="s">
        <v>156</v>
      </c>
      <c r="Q457" s="38"/>
    </row>
    <row r="458" spans="1:17" x14ac:dyDescent="0.25">
      <c r="A458" s="39">
        <v>45416</v>
      </c>
      <c r="B458" t="s">
        <v>33</v>
      </c>
      <c r="C458" s="38" t="s">
        <v>8</v>
      </c>
      <c r="D458" t="s">
        <v>277</v>
      </c>
      <c r="E458" t="s">
        <v>73</v>
      </c>
      <c r="F458" t="s">
        <v>346</v>
      </c>
      <c r="G458" t="s">
        <v>138</v>
      </c>
      <c r="H458" s="9" t="s">
        <v>66</v>
      </c>
      <c r="I458" t="s">
        <v>58</v>
      </c>
      <c r="J458">
        <v>0</v>
      </c>
      <c r="K458">
        <v>0</v>
      </c>
      <c r="L458">
        <v>0</v>
      </c>
      <c r="M458">
        <v>0</v>
      </c>
      <c r="N458">
        <v>14.19</v>
      </c>
      <c r="P458" t="s">
        <v>201</v>
      </c>
      <c r="Q458" s="38"/>
    </row>
    <row r="459" spans="1:17" x14ac:dyDescent="0.25">
      <c r="A459" s="39">
        <v>45416</v>
      </c>
      <c r="B459" t="s">
        <v>34</v>
      </c>
      <c r="C459" s="38" t="s">
        <v>8</v>
      </c>
      <c r="D459" t="s">
        <v>415</v>
      </c>
      <c r="E459" t="s">
        <v>56</v>
      </c>
      <c r="F459" t="s">
        <v>346</v>
      </c>
      <c r="G459" t="s">
        <v>138</v>
      </c>
      <c r="H459" s="9" t="s">
        <v>64</v>
      </c>
      <c r="I459" t="s">
        <v>65</v>
      </c>
      <c r="J459">
        <v>0</v>
      </c>
      <c r="K459">
        <v>0</v>
      </c>
      <c r="L459">
        <v>0</v>
      </c>
      <c r="M459">
        <v>0</v>
      </c>
      <c r="N459">
        <v>15.6</v>
      </c>
      <c r="P459" t="s">
        <v>416</v>
      </c>
      <c r="Q459" s="38"/>
    </row>
    <row r="460" spans="1:17" x14ac:dyDescent="0.25">
      <c r="A460" s="39">
        <v>45416</v>
      </c>
      <c r="B460" t="s">
        <v>35</v>
      </c>
      <c r="C460" s="38" t="s">
        <v>8</v>
      </c>
      <c r="D460" t="s">
        <v>331</v>
      </c>
      <c r="E460" t="s">
        <v>60</v>
      </c>
      <c r="F460" t="s">
        <v>346</v>
      </c>
      <c r="G460" t="s">
        <v>138</v>
      </c>
      <c r="H460" s="9" t="s">
        <v>237</v>
      </c>
      <c r="I460" t="s">
        <v>58</v>
      </c>
      <c r="J460">
        <v>0</v>
      </c>
      <c r="K460">
        <v>0</v>
      </c>
      <c r="L460">
        <v>0</v>
      </c>
      <c r="M460">
        <v>0</v>
      </c>
      <c r="N460">
        <v>14.64</v>
      </c>
      <c r="P460" t="s">
        <v>158</v>
      </c>
      <c r="Q460" s="38"/>
    </row>
    <row r="461" spans="1:17" x14ac:dyDescent="0.25">
      <c r="A461" s="39">
        <v>45416</v>
      </c>
      <c r="B461" t="s">
        <v>418</v>
      </c>
      <c r="C461" s="38" t="s">
        <v>8</v>
      </c>
      <c r="G461" t="s">
        <v>138</v>
      </c>
      <c r="H461" s="9" t="s">
        <v>240</v>
      </c>
      <c r="I461" t="s">
        <v>262</v>
      </c>
      <c r="J461">
        <v>0</v>
      </c>
      <c r="K461">
        <v>0</v>
      </c>
      <c r="L461">
        <v>0</v>
      </c>
      <c r="M461">
        <v>0</v>
      </c>
      <c r="N461">
        <v>17.670000000000002</v>
      </c>
      <c r="Q461" s="38"/>
    </row>
    <row r="462" spans="1:17" x14ac:dyDescent="0.25">
      <c r="A462" s="39">
        <v>45416</v>
      </c>
      <c r="B462" t="s">
        <v>419</v>
      </c>
      <c r="C462" s="38" t="s">
        <v>8</v>
      </c>
      <c r="G462" t="s">
        <v>138</v>
      </c>
      <c r="H462" s="9" t="s">
        <v>240</v>
      </c>
      <c r="I462" t="s">
        <v>262</v>
      </c>
      <c r="J462">
        <v>0</v>
      </c>
      <c r="K462">
        <v>0</v>
      </c>
      <c r="L462">
        <v>0</v>
      </c>
      <c r="M462">
        <v>0</v>
      </c>
      <c r="N462">
        <v>13.49</v>
      </c>
      <c r="Q462" s="38"/>
    </row>
    <row r="463" spans="1:17" x14ac:dyDescent="0.25">
      <c r="A463" s="39">
        <v>45416</v>
      </c>
      <c r="B463" t="s">
        <v>36</v>
      </c>
      <c r="C463" s="38" t="s">
        <v>8</v>
      </c>
      <c r="D463" t="s">
        <v>295</v>
      </c>
      <c r="E463" t="s">
        <v>81</v>
      </c>
      <c r="F463" t="s">
        <v>369</v>
      </c>
      <c r="G463" t="s">
        <v>138</v>
      </c>
      <c r="H463" s="9" t="s">
        <v>423</v>
      </c>
      <c r="I463" t="s">
        <v>58</v>
      </c>
      <c r="J463">
        <v>0</v>
      </c>
      <c r="K463">
        <v>0</v>
      </c>
      <c r="L463">
        <v>0</v>
      </c>
      <c r="M463">
        <v>0</v>
      </c>
      <c r="N463">
        <v>38472557</v>
      </c>
      <c r="P463" t="s">
        <v>156</v>
      </c>
      <c r="Q463" s="38"/>
    </row>
    <row r="464" spans="1:17" x14ac:dyDescent="0.25">
      <c r="A464" s="39">
        <v>45416</v>
      </c>
      <c r="B464" t="s">
        <v>256</v>
      </c>
      <c r="C464" s="38" t="s">
        <v>8</v>
      </c>
      <c r="D464" t="s">
        <v>392</v>
      </c>
      <c r="E464" t="s">
        <v>417</v>
      </c>
      <c r="F464" t="s">
        <v>192</v>
      </c>
      <c r="G464" t="s">
        <v>138</v>
      </c>
      <c r="H464" s="9"/>
      <c r="I464" t="s">
        <v>262</v>
      </c>
      <c r="J464">
        <v>0</v>
      </c>
      <c r="K464">
        <v>0</v>
      </c>
      <c r="L464">
        <v>0</v>
      </c>
      <c r="M464">
        <v>0</v>
      </c>
      <c r="N464">
        <v>0</v>
      </c>
      <c r="P464" t="s">
        <v>149</v>
      </c>
      <c r="Q464" s="38"/>
    </row>
    <row r="465" spans="1:17" x14ac:dyDescent="0.25">
      <c r="A465" s="39">
        <v>45416</v>
      </c>
      <c r="B465" t="s">
        <v>257</v>
      </c>
      <c r="C465" s="38" t="s">
        <v>8</v>
      </c>
      <c r="D465" t="s">
        <v>392</v>
      </c>
      <c r="E465" t="s">
        <v>417</v>
      </c>
      <c r="F465" t="s">
        <v>192</v>
      </c>
      <c r="G465" t="s">
        <v>138</v>
      </c>
      <c r="H465" s="9"/>
      <c r="I465" t="s">
        <v>58</v>
      </c>
      <c r="J465">
        <v>0</v>
      </c>
      <c r="K465">
        <v>0</v>
      </c>
      <c r="L465">
        <v>0</v>
      </c>
      <c r="M465">
        <v>0</v>
      </c>
      <c r="N465">
        <v>38.46</v>
      </c>
      <c r="P465" t="s">
        <v>149</v>
      </c>
      <c r="Q465" s="38"/>
    </row>
    <row r="466" spans="1:17" x14ac:dyDescent="0.25">
      <c r="A466" s="39">
        <v>45416</v>
      </c>
      <c r="B466" t="s">
        <v>37</v>
      </c>
      <c r="C466" s="38" t="s">
        <v>8</v>
      </c>
      <c r="D466" t="s">
        <v>347</v>
      </c>
      <c r="E466" t="s">
        <v>348</v>
      </c>
      <c r="F466" t="s">
        <v>346</v>
      </c>
      <c r="G466" t="s">
        <v>138</v>
      </c>
      <c r="H466" s="9" t="s">
        <v>425</v>
      </c>
      <c r="I466" t="s">
        <v>58</v>
      </c>
      <c r="J466">
        <v>0</v>
      </c>
      <c r="K466">
        <v>0</v>
      </c>
      <c r="L466">
        <v>0</v>
      </c>
      <c r="M466">
        <v>0</v>
      </c>
      <c r="N466">
        <v>13.5</v>
      </c>
      <c r="P466" t="s">
        <v>270</v>
      </c>
      <c r="Q466" s="38"/>
    </row>
    <row r="467" spans="1:17" x14ac:dyDescent="0.25">
      <c r="A467" s="39">
        <v>45416</v>
      </c>
      <c r="B467" t="s">
        <v>258</v>
      </c>
      <c r="C467" s="38" t="s">
        <v>8</v>
      </c>
      <c r="G467" t="s">
        <v>138</v>
      </c>
      <c r="H467" s="9" t="s">
        <v>426</v>
      </c>
      <c r="I467" t="s">
        <v>262</v>
      </c>
      <c r="J467">
        <v>0</v>
      </c>
      <c r="K467">
        <v>0</v>
      </c>
      <c r="L467">
        <v>0</v>
      </c>
      <c r="M467">
        <v>0</v>
      </c>
      <c r="N467">
        <v>13.5</v>
      </c>
      <c r="P467" t="s">
        <v>148</v>
      </c>
      <c r="Q467" s="38"/>
    </row>
    <row r="468" spans="1:17" x14ac:dyDescent="0.25">
      <c r="A468" s="39">
        <v>45416</v>
      </c>
      <c r="B468" t="s">
        <v>259</v>
      </c>
      <c r="C468" s="38" t="s">
        <v>8</v>
      </c>
      <c r="G468" t="s">
        <v>138</v>
      </c>
      <c r="H468" s="9" t="s">
        <v>426</v>
      </c>
      <c r="I468" t="s">
        <v>262</v>
      </c>
      <c r="J468">
        <v>0</v>
      </c>
      <c r="K468">
        <v>0</v>
      </c>
      <c r="L468">
        <v>0</v>
      </c>
      <c r="M468">
        <v>0</v>
      </c>
      <c r="N468">
        <v>41.06</v>
      </c>
      <c r="P468" t="s">
        <v>148</v>
      </c>
      <c r="Q468" s="38"/>
    </row>
    <row r="469" spans="1:17" x14ac:dyDescent="0.25">
      <c r="A469" s="39">
        <v>45416</v>
      </c>
      <c r="B469" t="s">
        <v>54</v>
      </c>
      <c r="C469" s="38" t="s">
        <v>8</v>
      </c>
      <c r="D469" t="s">
        <v>55</v>
      </c>
      <c r="E469" t="s">
        <v>56</v>
      </c>
      <c r="F469" t="s">
        <v>57</v>
      </c>
      <c r="G469" t="s">
        <v>138</v>
      </c>
      <c r="H469" s="9" t="s">
        <v>427</v>
      </c>
      <c r="I469" t="s">
        <v>58</v>
      </c>
      <c r="J469">
        <v>0</v>
      </c>
      <c r="K469">
        <v>0</v>
      </c>
      <c r="L469">
        <v>0</v>
      </c>
      <c r="M469">
        <v>0</v>
      </c>
      <c r="N469">
        <v>41.06</v>
      </c>
      <c r="P469" t="s">
        <v>159</v>
      </c>
      <c r="Q469" s="38"/>
    </row>
    <row r="470" spans="1:17" x14ac:dyDescent="0.25">
      <c r="A470" s="39">
        <v>45417</v>
      </c>
      <c r="B470" t="s">
        <v>136</v>
      </c>
      <c r="C470" s="38" t="s">
        <v>6</v>
      </c>
      <c r="D470" t="s">
        <v>174</v>
      </c>
      <c r="E470" t="s">
        <v>81</v>
      </c>
      <c r="F470" t="s">
        <v>90</v>
      </c>
      <c r="G470" t="s">
        <v>138</v>
      </c>
      <c r="H470" s="9" t="s">
        <v>160</v>
      </c>
      <c r="I470" t="s">
        <v>58</v>
      </c>
      <c r="J470">
        <v>0</v>
      </c>
      <c r="K470">
        <v>0</v>
      </c>
      <c r="L470">
        <v>0</v>
      </c>
      <c r="M470">
        <v>0</v>
      </c>
      <c r="N470">
        <v>42144554</v>
      </c>
      <c r="P470" t="s">
        <v>153</v>
      </c>
      <c r="Q470" s="38"/>
    </row>
    <row r="471" spans="1:17" x14ac:dyDescent="0.25">
      <c r="A471" s="39">
        <v>45417</v>
      </c>
      <c r="B471" s="38" t="s">
        <v>135</v>
      </c>
      <c r="C471" s="38" t="s">
        <v>6</v>
      </c>
      <c r="D471" s="38" t="s">
        <v>332</v>
      </c>
      <c r="E471" s="38" t="s">
        <v>81</v>
      </c>
      <c r="F471" s="38" t="s">
        <v>90</v>
      </c>
      <c r="G471" s="38" t="s">
        <v>138</v>
      </c>
      <c r="H471" s="9" t="s">
        <v>161</v>
      </c>
      <c r="I471" s="38" t="s">
        <v>58</v>
      </c>
      <c r="J471" s="38">
        <v>0</v>
      </c>
      <c r="K471">
        <v>0</v>
      </c>
      <c r="L471">
        <v>0</v>
      </c>
      <c r="M471">
        <v>0</v>
      </c>
      <c r="N471" s="38">
        <v>24.09</v>
      </c>
      <c r="O471" s="38"/>
      <c r="P471" s="38" t="s">
        <v>148</v>
      </c>
      <c r="Q471" s="38"/>
    </row>
    <row r="472" spans="1:17" x14ac:dyDescent="0.25">
      <c r="A472" s="39">
        <v>45417</v>
      </c>
      <c r="B472" s="38" t="s">
        <v>134</v>
      </c>
      <c r="C472" s="38" t="s">
        <v>6</v>
      </c>
      <c r="D472" s="38" t="s">
        <v>175</v>
      </c>
      <c r="E472" s="38" t="s">
        <v>81</v>
      </c>
      <c r="F472" s="38" t="s">
        <v>90</v>
      </c>
      <c r="G472" s="38" t="s">
        <v>138</v>
      </c>
      <c r="H472" s="9" t="s">
        <v>206</v>
      </c>
      <c r="I472" s="38" t="s">
        <v>58</v>
      </c>
      <c r="J472" s="38">
        <v>0</v>
      </c>
      <c r="K472">
        <v>0</v>
      </c>
      <c r="L472">
        <v>0</v>
      </c>
      <c r="M472">
        <v>0</v>
      </c>
      <c r="N472" s="38">
        <v>0</v>
      </c>
      <c r="O472" s="38"/>
      <c r="P472" s="38" t="s">
        <v>148</v>
      </c>
      <c r="Q472" s="38"/>
    </row>
    <row r="473" spans="1:17" x14ac:dyDescent="0.25">
      <c r="A473" s="39">
        <v>45417</v>
      </c>
      <c r="B473" s="38" t="s">
        <v>132</v>
      </c>
      <c r="C473" s="38" t="s">
        <v>6</v>
      </c>
      <c r="D473" s="38" t="s">
        <v>133</v>
      </c>
      <c r="E473" s="38" t="s">
        <v>126</v>
      </c>
      <c r="F473" s="38" t="s">
        <v>199</v>
      </c>
      <c r="G473" s="38" t="s">
        <v>138</v>
      </c>
      <c r="H473" s="9" t="s">
        <v>162</v>
      </c>
      <c r="I473" s="38" t="s">
        <v>58</v>
      </c>
      <c r="J473" s="38">
        <v>0</v>
      </c>
      <c r="K473">
        <v>0</v>
      </c>
      <c r="L473">
        <v>0</v>
      </c>
      <c r="M473">
        <v>0</v>
      </c>
      <c r="N473" s="38">
        <v>38.369999999999997</v>
      </c>
      <c r="O473" s="38"/>
      <c r="P473" s="38" t="s">
        <v>149</v>
      </c>
      <c r="Q473" s="38"/>
    </row>
    <row r="474" spans="1:17" x14ac:dyDescent="0.25">
      <c r="A474" s="39">
        <v>45417</v>
      </c>
      <c r="B474" s="38" t="s">
        <v>131</v>
      </c>
      <c r="C474" s="38" t="s">
        <v>6</v>
      </c>
      <c r="D474" s="38" t="s">
        <v>396</v>
      </c>
      <c r="E474" s="38" t="s">
        <v>60</v>
      </c>
      <c r="F474" s="38" t="s">
        <v>90</v>
      </c>
      <c r="G474" s="38" t="s">
        <v>138</v>
      </c>
      <c r="H474" s="9" t="s">
        <v>163</v>
      </c>
      <c r="I474" s="38" t="s">
        <v>58</v>
      </c>
      <c r="J474" s="38">
        <v>0</v>
      </c>
      <c r="K474">
        <v>0</v>
      </c>
      <c r="L474">
        <v>0</v>
      </c>
      <c r="M474">
        <v>0</v>
      </c>
      <c r="N474" s="38">
        <v>23.93</v>
      </c>
      <c r="O474" s="38"/>
      <c r="P474" s="38" t="s">
        <v>154</v>
      </c>
      <c r="Q474" s="38"/>
    </row>
    <row r="475" spans="1:17" x14ac:dyDescent="0.25">
      <c r="A475" s="39">
        <v>45417</v>
      </c>
      <c r="B475" s="38" t="s">
        <v>130</v>
      </c>
      <c r="C475" s="38" t="s">
        <v>6</v>
      </c>
      <c r="D475" s="38" t="s">
        <v>191</v>
      </c>
      <c r="E475" s="38" t="s">
        <v>81</v>
      </c>
      <c r="F475" s="38" t="s">
        <v>285</v>
      </c>
      <c r="G475" s="38" t="s">
        <v>138</v>
      </c>
      <c r="H475" s="9" t="s">
        <v>420</v>
      </c>
      <c r="I475" s="38" t="s">
        <v>58</v>
      </c>
      <c r="J475" s="38">
        <v>0</v>
      </c>
      <c r="K475">
        <v>0</v>
      </c>
      <c r="L475">
        <v>0</v>
      </c>
      <c r="M475">
        <v>0</v>
      </c>
      <c r="N475" s="38">
        <v>14.99</v>
      </c>
      <c r="O475" s="38"/>
      <c r="P475" s="38" t="s">
        <v>148</v>
      </c>
      <c r="Q475" s="38"/>
    </row>
    <row r="476" spans="1:17" x14ac:dyDescent="0.25">
      <c r="A476" s="39">
        <v>45417</v>
      </c>
      <c r="B476" s="38" t="s">
        <v>128</v>
      </c>
      <c r="C476" s="38" t="s">
        <v>6</v>
      </c>
      <c r="D476" s="38" t="s">
        <v>129</v>
      </c>
      <c r="E476" s="38" t="s">
        <v>126</v>
      </c>
      <c r="F476" s="38" t="s">
        <v>199</v>
      </c>
      <c r="G476" s="38" t="s">
        <v>138</v>
      </c>
      <c r="H476" s="9" t="s">
        <v>164</v>
      </c>
      <c r="I476" s="38" t="s">
        <v>58</v>
      </c>
      <c r="J476" s="38">
        <v>0</v>
      </c>
      <c r="K476">
        <v>0</v>
      </c>
      <c r="L476">
        <v>0</v>
      </c>
      <c r="M476">
        <v>0</v>
      </c>
      <c r="N476" s="38">
        <v>41.06</v>
      </c>
      <c r="O476" s="38"/>
      <c r="P476" s="38" t="s">
        <v>149</v>
      </c>
      <c r="Q476" s="38"/>
    </row>
    <row r="477" spans="1:17" x14ac:dyDescent="0.25">
      <c r="A477" s="39">
        <v>45417</v>
      </c>
      <c r="B477" s="38" t="s">
        <v>40</v>
      </c>
      <c r="C477" s="38" t="s">
        <v>6</v>
      </c>
      <c r="D477" s="38" t="s">
        <v>397</v>
      </c>
      <c r="E477" s="38" t="s">
        <v>60</v>
      </c>
      <c r="F477" s="38" t="s">
        <v>200</v>
      </c>
      <c r="G477" s="38" t="s">
        <v>138</v>
      </c>
      <c r="H477" s="9" t="s">
        <v>165</v>
      </c>
      <c r="I477" s="38" t="s">
        <v>58</v>
      </c>
      <c r="J477" s="38">
        <v>0</v>
      </c>
      <c r="K477">
        <v>0</v>
      </c>
      <c r="L477">
        <v>0</v>
      </c>
      <c r="M477">
        <v>0</v>
      </c>
      <c r="N477" s="38">
        <v>14.92</v>
      </c>
      <c r="O477" s="38"/>
      <c r="P477" s="38" t="s">
        <v>153</v>
      </c>
      <c r="Q477" s="38"/>
    </row>
    <row r="478" spans="1:17" x14ac:dyDescent="0.25">
      <c r="A478" s="39">
        <v>45417</v>
      </c>
      <c r="B478" s="38" t="s">
        <v>127</v>
      </c>
      <c r="C478" s="38" t="s">
        <v>6</v>
      </c>
      <c r="D478" s="38" t="s">
        <v>203</v>
      </c>
      <c r="E478" s="38" t="s">
        <v>81</v>
      </c>
      <c r="F478" s="38" t="s">
        <v>285</v>
      </c>
      <c r="G478" s="38" t="s">
        <v>138</v>
      </c>
      <c r="H478" s="9" t="s">
        <v>207</v>
      </c>
      <c r="I478" s="38" t="s">
        <v>58</v>
      </c>
      <c r="J478" s="38">
        <v>0</v>
      </c>
      <c r="K478">
        <v>0</v>
      </c>
      <c r="L478">
        <v>0</v>
      </c>
      <c r="M478">
        <v>0</v>
      </c>
      <c r="N478" s="38">
        <v>20.85</v>
      </c>
      <c r="O478" s="38"/>
      <c r="P478" s="38" t="s">
        <v>151</v>
      </c>
      <c r="Q478" s="38"/>
    </row>
    <row r="479" spans="1:17" x14ac:dyDescent="0.25">
      <c r="A479" s="39">
        <v>45417</v>
      </c>
      <c r="B479" s="38" t="s">
        <v>124</v>
      </c>
      <c r="C479" s="38" t="s">
        <v>6</v>
      </c>
      <c r="D479" s="38" t="s">
        <v>340</v>
      </c>
      <c r="E479" s="38" t="s">
        <v>126</v>
      </c>
      <c r="F479" s="38" t="s">
        <v>199</v>
      </c>
      <c r="G479" s="38" t="s">
        <v>138</v>
      </c>
      <c r="H479" s="9" t="s">
        <v>166</v>
      </c>
      <c r="I479" s="38" t="s">
        <v>58</v>
      </c>
      <c r="J479" s="38">
        <v>0</v>
      </c>
      <c r="K479">
        <v>0</v>
      </c>
      <c r="L479">
        <v>0</v>
      </c>
      <c r="M479">
        <v>0</v>
      </c>
      <c r="N479" s="38">
        <v>39863813</v>
      </c>
      <c r="O479" s="38"/>
      <c r="P479" s="38" t="s">
        <v>149</v>
      </c>
      <c r="Q479" s="38"/>
    </row>
    <row r="480" spans="1:17" x14ac:dyDescent="0.25">
      <c r="A480" s="39">
        <v>45417</v>
      </c>
      <c r="B480" s="38" t="s">
        <v>122</v>
      </c>
      <c r="C480" s="38" t="s">
        <v>6</v>
      </c>
      <c r="D480" s="38" t="s">
        <v>356</v>
      </c>
      <c r="E480" s="38" t="s">
        <v>81</v>
      </c>
      <c r="F480" s="38" t="s">
        <v>90</v>
      </c>
      <c r="G480" s="38" t="s">
        <v>138</v>
      </c>
      <c r="H480" s="9" t="s">
        <v>167</v>
      </c>
      <c r="I480" s="38" t="s">
        <v>58</v>
      </c>
      <c r="J480" s="38">
        <v>0</v>
      </c>
      <c r="K480">
        <v>0</v>
      </c>
      <c r="L480">
        <v>0</v>
      </c>
      <c r="M480">
        <v>0</v>
      </c>
      <c r="N480" s="38">
        <v>20.9</v>
      </c>
      <c r="O480" s="38"/>
      <c r="P480" s="38" t="s">
        <v>148</v>
      </c>
      <c r="Q480" s="38"/>
    </row>
    <row r="481" spans="1:17" x14ac:dyDescent="0.25">
      <c r="A481" s="39">
        <v>45417</v>
      </c>
      <c r="B481" s="38" t="s">
        <v>120</v>
      </c>
      <c r="C481" s="38" t="s">
        <v>6</v>
      </c>
      <c r="D481" s="38" t="s">
        <v>333</v>
      </c>
      <c r="E481" s="38" t="s">
        <v>375</v>
      </c>
      <c r="F481" s="38" t="s">
        <v>285</v>
      </c>
      <c r="G481" s="38" t="s">
        <v>138</v>
      </c>
      <c r="H481" s="9" t="s">
        <v>121</v>
      </c>
      <c r="I481" s="38" t="s">
        <v>58</v>
      </c>
      <c r="J481" s="38">
        <v>0</v>
      </c>
      <c r="K481">
        <v>0</v>
      </c>
      <c r="L481">
        <v>0</v>
      </c>
      <c r="M481">
        <v>0</v>
      </c>
      <c r="N481" s="38">
        <v>41.69</v>
      </c>
      <c r="O481" s="38"/>
      <c r="P481" s="38" t="s">
        <v>151</v>
      </c>
      <c r="Q481" s="38"/>
    </row>
    <row r="482" spans="1:17" x14ac:dyDescent="0.25">
      <c r="A482" s="39">
        <v>45417</v>
      </c>
      <c r="B482" s="38" t="s">
        <v>119</v>
      </c>
      <c r="C482" s="38" t="s">
        <v>6</v>
      </c>
      <c r="D482" s="38" t="s">
        <v>178</v>
      </c>
      <c r="E482" s="38" t="s">
        <v>399</v>
      </c>
      <c r="F482" s="38" t="s">
        <v>192</v>
      </c>
      <c r="G482" s="38" t="s">
        <v>138</v>
      </c>
      <c r="H482" s="9" t="s">
        <v>168</v>
      </c>
      <c r="I482" s="38" t="s">
        <v>58</v>
      </c>
      <c r="J482" s="38">
        <v>0</v>
      </c>
      <c r="K482">
        <v>0</v>
      </c>
      <c r="L482">
        <v>0</v>
      </c>
      <c r="M482">
        <v>0</v>
      </c>
      <c r="N482" s="38">
        <v>41.62</v>
      </c>
      <c r="O482" s="38"/>
      <c r="P482" s="38" t="s">
        <v>149</v>
      </c>
      <c r="Q482" s="38"/>
    </row>
    <row r="483" spans="1:17" x14ac:dyDescent="0.25">
      <c r="A483" s="39">
        <v>45417</v>
      </c>
      <c r="B483" s="38" t="s">
        <v>117</v>
      </c>
      <c r="C483" s="38" t="s">
        <v>6</v>
      </c>
      <c r="D483" s="38" t="s">
        <v>349</v>
      </c>
      <c r="E483" s="38" t="s">
        <v>398</v>
      </c>
      <c r="F483" s="38" t="s">
        <v>90</v>
      </c>
      <c r="G483" s="38" t="s">
        <v>138</v>
      </c>
      <c r="H483" s="9" t="s">
        <v>118</v>
      </c>
      <c r="I483" s="38" t="s">
        <v>58</v>
      </c>
      <c r="J483" s="38">
        <v>0</v>
      </c>
      <c r="K483">
        <v>0</v>
      </c>
      <c r="L483">
        <v>0</v>
      </c>
      <c r="M483">
        <v>0</v>
      </c>
      <c r="N483" s="38">
        <v>34.69</v>
      </c>
      <c r="O483" s="38"/>
      <c r="P483" s="38" t="s">
        <v>151</v>
      </c>
      <c r="Q483" s="38"/>
    </row>
    <row r="484" spans="1:17" x14ac:dyDescent="0.25">
      <c r="A484" s="39">
        <v>45417</v>
      </c>
      <c r="B484" s="38" t="s">
        <v>39</v>
      </c>
      <c r="C484" s="38" t="s">
        <v>6</v>
      </c>
      <c r="D484" s="38" t="s">
        <v>177</v>
      </c>
      <c r="E484" s="38" t="s">
        <v>377</v>
      </c>
      <c r="F484" s="38" t="s">
        <v>90</v>
      </c>
      <c r="G484" s="38" t="s">
        <v>138</v>
      </c>
      <c r="H484" s="9" t="s">
        <v>116</v>
      </c>
      <c r="I484" s="38" t="s">
        <v>58</v>
      </c>
      <c r="J484" s="38">
        <v>0</v>
      </c>
      <c r="K484">
        <v>0</v>
      </c>
      <c r="L484">
        <v>0</v>
      </c>
      <c r="M484">
        <v>0</v>
      </c>
      <c r="N484" s="38">
        <v>41.24</v>
      </c>
      <c r="O484" s="38"/>
      <c r="P484" s="38" t="s">
        <v>151</v>
      </c>
      <c r="Q484" s="38"/>
    </row>
    <row r="485" spans="1:17" x14ac:dyDescent="0.25">
      <c r="A485" s="39">
        <v>45417</v>
      </c>
      <c r="B485" s="38" t="s">
        <v>113</v>
      </c>
      <c r="C485" s="38" t="s">
        <v>6</v>
      </c>
      <c r="D485" s="38" t="s">
        <v>188</v>
      </c>
      <c r="E485" s="38" t="s">
        <v>126</v>
      </c>
      <c r="F485" s="38" t="s">
        <v>199</v>
      </c>
      <c r="G485" s="38" t="s">
        <v>138</v>
      </c>
      <c r="H485" s="9" t="s">
        <v>114</v>
      </c>
      <c r="I485" s="38" t="s">
        <v>58</v>
      </c>
      <c r="J485" s="38">
        <v>0</v>
      </c>
      <c r="K485">
        <v>0</v>
      </c>
      <c r="L485">
        <v>0</v>
      </c>
      <c r="M485">
        <v>0</v>
      </c>
      <c r="N485" s="38">
        <v>41.35</v>
      </c>
      <c r="O485" s="38"/>
      <c r="P485" s="38" t="s">
        <v>149</v>
      </c>
      <c r="Q485" s="38"/>
    </row>
    <row r="486" spans="1:17" x14ac:dyDescent="0.25">
      <c r="A486" s="39">
        <v>45417</v>
      </c>
      <c r="B486" s="38" t="s">
        <v>111</v>
      </c>
      <c r="C486" s="38" t="s">
        <v>6</v>
      </c>
      <c r="D486" s="38" t="s">
        <v>189</v>
      </c>
      <c r="E486" s="38" t="s">
        <v>81</v>
      </c>
      <c r="F486" s="38" t="s">
        <v>285</v>
      </c>
      <c r="G486" s="38" t="s">
        <v>138</v>
      </c>
      <c r="H486" s="9" t="s">
        <v>112</v>
      </c>
      <c r="I486" s="38" t="s">
        <v>58</v>
      </c>
      <c r="J486" s="38">
        <v>0</v>
      </c>
      <c r="K486">
        <v>0</v>
      </c>
      <c r="L486">
        <v>0</v>
      </c>
      <c r="M486">
        <v>0</v>
      </c>
      <c r="N486" s="38">
        <v>20.48</v>
      </c>
      <c r="O486" s="38"/>
      <c r="P486" s="38" t="s">
        <v>153</v>
      </c>
      <c r="Q486" s="38"/>
    </row>
    <row r="487" spans="1:17" x14ac:dyDescent="0.25">
      <c r="A487" s="39">
        <v>45417</v>
      </c>
      <c r="B487" s="38" t="s">
        <v>109</v>
      </c>
      <c r="C487" s="38" t="s">
        <v>6</v>
      </c>
      <c r="D487" s="38" t="s">
        <v>142</v>
      </c>
      <c r="E487" s="38" t="s">
        <v>56</v>
      </c>
      <c r="F487" s="38" t="s">
        <v>199</v>
      </c>
      <c r="G487" s="38" t="s">
        <v>138</v>
      </c>
      <c r="H487" s="9" t="s">
        <v>110</v>
      </c>
      <c r="I487" s="38" t="s">
        <v>58</v>
      </c>
      <c r="J487" s="38">
        <v>0</v>
      </c>
      <c r="K487">
        <v>0</v>
      </c>
      <c r="L487">
        <v>0</v>
      </c>
      <c r="M487">
        <v>0</v>
      </c>
      <c r="N487" s="38">
        <v>41.05</v>
      </c>
      <c r="O487" s="38"/>
      <c r="P487" s="38" t="s">
        <v>149</v>
      </c>
      <c r="Q487" s="38"/>
    </row>
    <row r="488" spans="1:17" x14ac:dyDescent="0.25">
      <c r="A488" s="39">
        <v>45417</v>
      </c>
      <c r="B488" s="38" t="s">
        <v>107</v>
      </c>
      <c r="C488" s="38" t="s">
        <v>6</v>
      </c>
      <c r="D488" s="38" t="s">
        <v>401</v>
      </c>
      <c r="E488" s="38" t="s">
        <v>56</v>
      </c>
      <c r="F488" s="38" t="s">
        <v>93</v>
      </c>
      <c r="G488" s="38" t="s">
        <v>138</v>
      </c>
      <c r="H488" s="9" t="s">
        <v>108</v>
      </c>
      <c r="I488" s="38" t="s">
        <v>58</v>
      </c>
      <c r="J488" s="38">
        <v>0</v>
      </c>
      <c r="K488">
        <v>0</v>
      </c>
      <c r="L488">
        <v>0</v>
      </c>
      <c r="M488">
        <v>0</v>
      </c>
      <c r="N488" s="38">
        <v>12.09</v>
      </c>
      <c r="O488" s="38"/>
      <c r="P488" s="38" t="s">
        <v>403</v>
      </c>
      <c r="Q488" s="38"/>
    </row>
    <row r="489" spans="1:17" x14ac:dyDescent="0.25">
      <c r="A489" s="39">
        <v>45417</v>
      </c>
      <c r="B489" s="38" t="s">
        <v>41</v>
      </c>
      <c r="C489" s="38" t="s">
        <v>6</v>
      </c>
      <c r="D489" s="38" t="s">
        <v>123</v>
      </c>
      <c r="E489" s="38" t="s">
        <v>81</v>
      </c>
      <c r="F489" s="38" t="s">
        <v>285</v>
      </c>
      <c r="G489" s="38" t="s">
        <v>138</v>
      </c>
      <c r="H489" s="9" t="s">
        <v>106</v>
      </c>
      <c r="I489" s="38" t="s">
        <v>58</v>
      </c>
      <c r="J489" s="38">
        <v>0</v>
      </c>
      <c r="K489">
        <v>0</v>
      </c>
      <c r="L489">
        <v>0</v>
      </c>
      <c r="M489">
        <v>0</v>
      </c>
      <c r="N489" s="38">
        <v>17.88</v>
      </c>
      <c r="O489" s="38"/>
      <c r="P489" s="38" t="s">
        <v>152</v>
      </c>
      <c r="Q489" s="38"/>
    </row>
    <row r="490" spans="1:17" x14ac:dyDescent="0.25">
      <c r="A490" s="39">
        <v>45417</v>
      </c>
      <c r="B490" s="38" t="s">
        <v>43</v>
      </c>
      <c r="C490" s="38" t="s">
        <v>6</v>
      </c>
      <c r="D490" s="38" t="s">
        <v>282</v>
      </c>
      <c r="E490" s="38" t="s">
        <v>275</v>
      </c>
      <c r="F490" s="38" t="s">
        <v>276</v>
      </c>
      <c r="G490" s="38" t="s">
        <v>138</v>
      </c>
      <c r="H490" s="9" t="s">
        <v>208</v>
      </c>
      <c r="I490" s="38" t="s">
        <v>58</v>
      </c>
      <c r="J490" s="38">
        <v>0</v>
      </c>
      <c r="K490">
        <v>0</v>
      </c>
      <c r="L490">
        <v>0</v>
      </c>
      <c r="M490">
        <v>0</v>
      </c>
      <c r="N490" s="38">
        <v>17.25</v>
      </c>
      <c r="O490" s="38"/>
      <c r="P490" s="38" t="s">
        <v>154</v>
      </c>
      <c r="Q490" s="38"/>
    </row>
    <row r="491" spans="1:17" x14ac:dyDescent="0.25">
      <c r="A491" s="39">
        <v>45417</v>
      </c>
      <c r="B491" s="38" t="s">
        <v>5</v>
      </c>
      <c r="C491" s="38" t="s">
        <v>6</v>
      </c>
      <c r="D491" s="38" t="s">
        <v>283</v>
      </c>
      <c r="E491" s="38" t="s">
        <v>60</v>
      </c>
      <c r="F491" s="38" t="s">
        <v>285</v>
      </c>
      <c r="G491" s="38" t="s">
        <v>138</v>
      </c>
      <c r="H491" s="9" t="s">
        <v>209</v>
      </c>
      <c r="I491" s="38" t="s">
        <v>58</v>
      </c>
      <c r="J491" s="38">
        <v>0</v>
      </c>
      <c r="K491">
        <v>0</v>
      </c>
      <c r="L491">
        <v>0</v>
      </c>
      <c r="M491">
        <v>0</v>
      </c>
      <c r="N491" s="38">
        <v>16.46</v>
      </c>
      <c r="O491" s="38"/>
      <c r="P491" s="38" t="s">
        <v>153</v>
      </c>
      <c r="Q491" s="38"/>
    </row>
    <row r="492" spans="1:17" x14ac:dyDescent="0.25">
      <c r="A492" s="39">
        <v>45417</v>
      </c>
      <c r="B492" s="38" t="s">
        <v>9</v>
      </c>
      <c r="C492" s="38" t="s">
        <v>6</v>
      </c>
      <c r="D492" s="38" t="s">
        <v>189</v>
      </c>
      <c r="E492" s="38" t="s">
        <v>360</v>
      </c>
      <c r="F492" s="38" t="s">
        <v>276</v>
      </c>
      <c r="G492" s="38" t="s">
        <v>138</v>
      </c>
      <c r="H492" s="9" t="s">
        <v>210</v>
      </c>
      <c r="I492" s="38" t="s">
        <v>58</v>
      </c>
      <c r="J492" s="38">
        <v>0</v>
      </c>
      <c r="K492">
        <v>0</v>
      </c>
      <c r="L492">
        <v>0</v>
      </c>
      <c r="M492">
        <v>0</v>
      </c>
      <c r="N492" s="38">
        <v>23.18</v>
      </c>
      <c r="O492" s="38"/>
      <c r="P492" s="38" t="s">
        <v>153</v>
      </c>
      <c r="Q492" s="38"/>
    </row>
    <row r="493" spans="1:17" x14ac:dyDescent="0.25">
      <c r="A493" s="39">
        <v>45417</v>
      </c>
      <c r="B493" s="38" t="s">
        <v>10</v>
      </c>
      <c r="C493" s="38" t="s">
        <v>6</v>
      </c>
      <c r="D493" s="38" t="s">
        <v>263</v>
      </c>
      <c r="E493" s="38" t="s">
        <v>342</v>
      </c>
      <c r="F493" s="38" t="s">
        <v>90</v>
      </c>
      <c r="G493" s="38" t="s">
        <v>138</v>
      </c>
      <c r="H493" s="9" t="s">
        <v>211</v>
      </c>
      <c r="I493" s="38" t="s">
        <v>58</v>
      </c>
      <c r="J493" s="38">
        <v>0</v>
      </c>
      <c r="K493">
        <v>0</v>
      </c>
      <c r="L493">
        <v>0</v>
      </c>
      <c r="M493">
        <v>0</v>
      </c>
      <c r="N493" s="38">
        <v>74.34</v>
      </c>
      <c r="O493" s="38"/>
      <c r="P493" s="38" t="s">
        <v>151</v>
      </c>
      <c r="Q493" s="38"/>
    </row>
    <row r="494" spans="1:17" x14ac:dyDescent="0.25">
      <c r="A494" s="39">
        <v>45417</v>
      </c>
      <c r="B494" s="38" t="s">
        <v>11</v>
      </c>
      <c r="C494" s="38" t="s">
        <v>6</v>
      </c>
      <c r="D494" s="38" t="s">
        <v>205</v>
      </c>
      <c r="E494" s="38" t="s">
        <v>60</v>
      </c>
      <c r="F494" s="38" t="s">
        <v>93</v>
      </c>
      <c r="G494" s="38" t="s">
        <v>138</v>
      </c>
      <c r="H494" s="9" t="s">
        <v>212</v>
      </c>
      <c r="I494" s="38" t="s">
        <v>58</v>
      </c>
      <c r="J494" s="38">
        <v>0</v>
      </c>
      <c r="K494">
        <v>0</v>
      </c>
      <c r="L494">
        <v>0</v>
      </c>
      <c r="M494">
        <v>0</v>
      </c>
      <c r="N494" s="38">
        <v>11.39</v>
      </c>
      <c r="O494" s="38"/>
      <c r="P494" s="38" t="s">
        <v>147</v>
      </c>
      <c r="Q494" s="38"/>
    </row>
    <row r="495" spans="1:17" x14ac:dyDescent="0.25">
      <c r="A495" s="39">
        <v>45417</v>
      </c>
      <c r="B495" s="38" t="s">
        <v>12</v>
      </c>
      <c r="C495" s="38" t="s">
        <v>6</v>
      </c>
      <c r="D495" s="38" t="s">
        <v>286</v>
      </c>
      <c r="E495" s="38" t="s">
        <v>60</v>
      </c>
      <c r="F495" s="38" t="s">
        <v>285</v>
      </c>
      <c r="G495" s="38" t="s">
        <v>138</v>
      </c>
      <c r="H495" s="9" t="s">
        <v>213</v>
      </c>
      <c r="I495" s="38" t="s">
        <v>58</v>
      </c>
      <c r="J495" s="38">
        <v>0</v>
      </c>
      <c r="K495">
        <v>0</v>
      </c>
      <c r="L495">
        <v>0</v>
      </c>
      <c r="M495">
        <v>0</v>
      </c>
      <c r="N495" s="38">
        <v>11.98</v>
      </c>
      <c r="O495" s="38"/>
      <c r="P495" s="38" t="s">
        <v>154</v>
      </c>
      <c r="Q495" s="38"/>
    </row>
    <row r="496" spans="1:17" x14ac:dyDescent="0.25">
      <c r="A496" s="39">
        <v>45417</v>
      </c>
      <c r="B496" s="38" t="s">
        <v>105</v>
      </c>
      <c r="C496" s="38" t="s">
        <v>6</v>
      </c>
      <c r="D496" s="38" t="s">
        <v>267</v>
      </c>
      <c r="E496" s="38" t="s">
        <v>60</v>
      </c>
      <c r="F496" s="38" t="s">
        <v>93</v>
      </c>
      <c r="G496" s="38" t="s">
        <v>138</v>
      </c>
      <c r="H496" s="9" t="s">
        <v>214</v>
      </c>
      <c r="I496" s="38" t="s">
        <v>58</v>
      </c>
      <c r="J496" s="38">
        <v>0</v>
      </c>
      <c r="K496">
        <v>0</v>
      </c>
      <c r="L496">
        <v>0</v>
      </c>
      <c r="M496">
        <v>0</v>
      </c>
      <c r="N496" s="38">
        <v>12.39</v>
      </c>
      <c r="O496" s="38"/>
      <c r="P496" s="38" t="s">
        <v>147</v>
      </c>
      <c r="Q496" s="38"/>
    </row>
    <row r="497" spans="1:17" x14ac:dyDescent="0.25">
      <c r="A497" s="39">
        <v>45417</v>
      </c>
      <c r="B497" s="38" t="s">
        <v>104</v>
      </c>
      <c r="C497" s="38" t="s">
        <v>6</v>
      </c>
      <c r="D497" s="38" t="s">
        <v>143</v>
      </c>
      <c r="E497" s="38" t="s">
        <v>60</v>
      </c>
      <c r="F497" s="38" t="s">
        <v>285</v>
      </c>
      <c r="G497" s="38" t="s">
        <v>138</v>
      </c>
      <c r="H497" s="9" t="s">
        <v>215</v>
      </c>
      <c r="I497" s="38" t="s">
        <v>58</v>
      </c>
      <c r="J497" s="38">
        <v>0</v>
      </c>
      <c r="K497">
        <v>0</v>
      </c>
      <c r="L497">
        <v>0</v>
      </c>
      <c r="M497">
        <v>0</v>
      </c>
      <c r="N497" s="38">
        <v>13.96</v>
      </c>
      <c r="O497" s="38"/>
      <c r="P497" s="38" t="s">
        <v>154</v>
      </c>
      <c r="Q497" s="38"/>
    </row>
    <row r="498" spans="1:17" x14ac:dyDescent="0.25">
      <c r="A498" s="39">
        <v>45417</v>
      </c>
      <c r="B498" s="38" t="s">
        <v>13</v>
      </c>
      <c r="C498" s="38" t="s">
        <v>6</v>
      </c>
      <c r="D498" s="38" t="s">
        <v>350</v>
      </c>
      <c r="E498" s="38" t="s">
        <v>60</v>
      </c>
      <c r="F498" s="38" t="s">
        <v>93</v>
      </c>
      <c r="G498" s="38" t="s">
        <v>138</v>
      </c>
      <c r="H498" s="9" t="s">
        <v>216</v>
      </c>
      <c r="I498" s="38" t="s">
        <v>58</v>
      </c>
      <c r="J498" s="38">
        <v>0</v>
      </c>
      <c r="K498">
        <v>0</v>
      </c>
      <c r="L498">
        <v>0</v>
      </c>
      <c r="M498">
        <v>0</v>
      </c>
      <c r="N498" s="38">
        <v>12.4</v>
      </c>
      <c r="O498" s="38"/>
      <c r="P498" s="38" t="s">
        <v>147</v>
      </c>
      <c r="Q498" s="38"/>
    </row>
    <row r="499" spans="1:17" x14ac:dyDescent="0.25">
      <c r="A499" s="39">
        <v>45417</v>
      </c>
      <c r="B499" s="38" t="s">
        <v>103</v>
      </c>
      <c r="C499" s="38" t="s">
        <v>6</v>
      </c>
      <c r="D499" s="38" t="s">
        <v>179</v>
      </c>
      <c r="E499" s="38" t="s">
        <v>81</v>
      </c>
      <c r="F499" s="38" t="s">
        <v>90</v>
      </c>
      <c r="G499" s="38" t="s">
        <v>138</v>
      </c>
      <c r="H499" s="9" t="s">
        <v>217</v>
      </c>
      <c r="I499" s="38" t="s">
        <v>65</v>
      </c>
      <c r="J499" s="38">
        <v>0</v>
      </c>
      <c r="K499">
        <v>0</v>
      </c>
      <c r="L499">
        <v>0</v>
      </c>
      <c r="M499">
        <v>0</v>
      </c>
      <c r="N499" s="38">
        <v>41.9</v>
      </c>
      <c r="O499" s="38"/>
      <c r="P499" s="38" t="s">
        <v>187</v>
      </c>
      <c r="Q499" s="38"/>
    </row>
    <row r="500" spans="1:17" x14ac:dyDescent="0.25">
      <c r="A500" s="39">
        <v>45417</v>
      </c>
      <c r="B500" s="38" t="s">
        <v>101</v>
      </c>
      <c r="C500" s="38" t="s">
        <v>6</v>
      </c>
      <c r="D500" s="38" t="s">
        <v>405</v>
      </c>
      <c r="E500" s="38" t="s">
        <v>81</v>
      </c>
      <c r="F500" s="38" t="s">
        <v>285</v>
      </c>
      <c r="G500" s="38" t="s">
        <v>138</v>
      </c>
      <c r="H500" s="9" t="s">
        <v>102</v>
      </c>
      <c r="I500" s="38" t="s">
        <v>58</v>
      </c>
      <c r="J500" s="38">
        <v>0</v>
      </c>
      <c r="K500">
        <v>0</v>
      </c>
      <c r="L500">
        <v>0</v>
      </c>
      <c r="M500">
        <v>0</v>
      </c>
      <c r="N500" s="38">
        <v>19.600000000000001</v>
      </c>
      <c r="O500" s="38"/>
      <c r="P500" s="38" t="s">
        <v>151</v>
      </c>
      <c r="Q500" s="38"/>
    </row>
    <row r="501" spans="1:17" x14ac:dyDescent="0.25">
      <c r="A501" s="39">
        <v>45417</v>
      </c>
      <c r="B501" s="38" t="s">
        <v>99</v>
      </c>
      <c r="C501" s="38" t="s">
        <v>6</v>
      </c>
      <c r="D501" s="38" t="s">
        <v>249</v>
      </c>
      <c r="E501" s="38" t="s">
        <v>81</v>
      </c>
      <c r="F501" s="38" t="s">
        <v>90</v>
      </c>
      <c r="G501" s="38" t="s">
        <v>138</v>
      </c>
      <c r="H501" s="9" t="s">
        <v>100</v>
      </c>
      <c r="I501" s="38"/>
      <c r="J501" s="38">
        <v>0</v>
      </c>
      <c r="K501">
        <v>0</v>
      </c>
      <c r="L501">
        <v>0</v>
      </c>
      <c r="M501">
        <v>0</v>
      </c>
      <c r="N501" s="38">
        <v>41.83</v>
      </c>
      <c r="O501" s="38"/>
      <c r="P501" s="38" t="s">
        <v>152</v>
      </c>
      <c r="Q501" s="38"/>
    </row>
    <row r="502" spans="1:17" x14ac:dyDescent="0.25">
      <c r="A502" s="39">
        <v>45417</v>
      </c>
      <c r="B502" s="38" t="s">
        <v>97</v>
      </c>
      <c r="C502" s="38" t="s">
        <v>6</v>
      </c>
      <c r="D502" s="38" t="s">
        <v>288</v>
      </c>
      <c r="E502" s="38" t="s">
        <v>352</v>
      </c>
      <c r="F502" s="38" t="s">
        <v>285</v>
      </c>
      <c r="G502" s="38" t="s">
        <v>138</v>
      </c>
      <c r="H502" s="9" t="s">
        <v>98</v>
      </c>
      <c r="I502" s="38" t="s">
        <v>58</v>
      </c>
      <c r="J502" s="38">
        <v>0</v>
      </c>
      <c r="K502">
        <v>0</v>
      </c>
      <c r="L502">
        <v>0</v>
      </c>
      <c r="M502">
        <v>0</v>
      </c>
      <c r="N502" s="38">
        <v>22.49</v>
      </c>
      <c r="O502" s="38"/>
      <c r="P502" s="38" t="s">
        <v>148</v>
      </c>
      <c r="Q502" s="38"/>
    </row>
    <row r="503" spans="1:17" x14ac:dyDescent="0.25">
      <c r="A503" s="39">
        <v>45417</v>
      </c>
      <c r="B503" s="38" t="s">
        <v>95</v>
      </c>
      <c r="C503" s="38" t="s">
        <v>6</v>
      </c>
      <c r="D503" s="38" t="s">
        <v>181</v>
      </c>
      <c r="E503" s="38" t="s">
        <v>81</v>
      </c>
      <c r="F503" s="38" t="s">
        <v>90</v>
      </c>
      <c r="G503" s="38" t="s">
        <v>138</v>
      </c>
      <c r="H503" s="9" t="s">
        <v>96</v>
      </c>
      <c r="I503" s="38" t="s">
        <v>65</v>
      </c>
      <c r="J503" s="38">
        <v>0</v>
      </c>
      <c r="K503">
        <v>0</v>
      </c>
      <c r="L503">
        <v>0</v>
      </c>
      <c r="M503">
        <v>0</v>
      </c>
      <c r="N503" s="38">
        <v>20.38</v>
      </c>
      <c r="O503" s="38"/>
      <c r="P503" s="38" t="s">
        <v>152</v>
      </c>
      <c r="Q503" s="38"/>
    </row>
    <row r="504" spans="1:17" x14ac:dyDescent="0.25">
      <c r="A504" s="39">
        <v>45417</v>
      </c>
      <c r="B504" s="38" t="s">
        <v>14</v>
      </c>
      <c r="C504" s="38" t="s">
        <v>6</v>
      </c>
      <c r="D504" s="38" t="s">
        <v>289</v>
      </c>
      <c r="E504" s="38" t="s">
        <v>352</v>
      </c>
      <c r="F504" s="38" t="s">
        <v>285</v>
      </c>
      <c r="G504" s="38" t="s">
        <v>138</v>
      </c>
      <c r="H504" s="9" t="s">
        <v>94</v>
      </c>
      <c r="I504" s="38" t="s">
        <v>58</v>
      </c>
      <c r="J504" s="38">
        <v>0</v>
      </c>
      <c r="K504">
        <v>0</v>
      </c>
      <c r="L504">
        <v>0</v>
      </c>
      <c r="M504">
        <v>0</v>
      </c>
      <c r="N504" s="38">
        <v>25.88</v>
      </c>
      <c r="O504" s="38"/>
      <c r="P504" s="38" t="s">
        <v>151</v>
      </c>
      <c r="Q504" s="38"/>
    </row>
    <row r="505" spans="1:17" x14ac:dyDescent="0.25">
      <c r="A505" s="39">
        <v>45417</v>
      </c>
      <c r="B505" s="38" t="s">
        <v>91</v>
      </c>
      <c r="C505" s="38" t="s">
        <v>6</v>
      </c>
      <c r="D505" s="38" t="s">
        <v>180</v>
      </c>
      <c r="E505" s="38" t="s">
        <v>81</v>
      </c>
      <c r="F505" s="38" t="s">
        <v>90</v>
      </c>
      <c r="G505" s="38" t="s">
        <v>138</v>
      </c>
      <c r="H505" s="9" t="s">
        <v>92</v>
      </c>
      <c r="I505" s="38"/>
      <c r="J505" s="38">
        <v>0</v>
      </c>
      <c r="K505">
        <v>0</v>
      </c>
      <c r="L505">
        <v>0</v>
      </c>
      <c r="M505">
        <v>0</v>
      </c>
      <c r="N505" s="38">
        <v>16.73</v>
      </c>
      <c r="O505" s="38"/>
      <c r="P505" s="38" t="s">
        <v>148</v>
      </c>
      <c r="Q505" s="38"/>
    </row>
    <row r="506" spans="1:17" x14ac:dyDescent="0.25">
      <c r="A506" s="39">
        <v>45417</v>
      </c>
      <c r="B506" s="38" t="s">
        <v>15</v>
      </c>
      <c r="C506" s="38" t="s">
        <v>6</v>
      </c>
      <c r="D506" s="38" t="s">
        <v>140</v>
      </c>
      <c r="E506" s="38" t="s">
        <v>81</v>
      </c>
      <c r="F506" s="38" t="s">
        <v>285</v>
      </c>
      <c r="G506" s="38" t="s">
        <v>138</v>
      </c>
      <c r="H506" s="9" t="s">
        <v>218</v>
      </c>
      <c r="I506" s="38" t="s">
        <v>58</v>
      </c>
      <c r="J506" s="38">
        <v>0</v>
      </c>
      <c r="K506">
        <v>0</v>
      </c>
      <c r="L506">
        <v>0</v>
      </c>
      <c r="M506">
        <v>0</v>
      </c>
      <c r="N506" s="38">
        <v>20.190000000000001</v>
      </c>
      <c r="O506" s="38"/>
      <c r="P506" s="38" t="s">
        <v>148</v>
      </c>
      <c r="Q506" s="38"/>
    </row>
    <row r="507" spans="1:17" x14ac:dyDescent="0.25">
      <c r="A507" s="39">
        <v>45417</v>
      </c>
      <c r="B507" s="38" t="s">
        <v>89</v>
      </c>
      <c r="C507" s="38" t="s">
        <v>6</v>
      </c>
      <c r="D507" s="38" t="s">
        <v>176</v>
      </c>
      <c r="E507" s="38" t="s">
        <v>398</v>
      </c>
      <c r="F507" s="38" t="s">
        <v>90</v>
      </c>
      <c r="G507" s="38" t="s">
        <v>138</v>
      </c>
      <c r="H507" s="9" t="s">
        <v>219</v>
      </c>
      <c r="I507" s="38" t="s">
        <v>65</v>
      </c>
      <c r="J507" s="38">
        <v>0</v>
      </c>
      <c r="K507">
        <v>0</v>
      </c>
      <c r="L507">
        <v>0</v>
      </c>
      <c r="M507">
        <v>0</v>
      </c>
      <c r="N507" s="38">
        <v>17.670000000000002</v>
      </c>
      <c r="O507" s="38"/>
      <c r="P507" s="38" t="s">
        <v>186</v>
      </c>
      <c r="Q507" s="38"/>
    </row>
    <row r="508" spans="1:17" x14ac:dyDescent="0.25">
      <c r="A508" s="39">
        <v>45417</v>
      </c>
      <c r="B508" s="38" t="s">
        <v>16</v>
      </c>
      <c r="C508" s="38" t="s">
        <v>6</v>
      </c>
      <c r="D508" s="38" t="s">
        <v>407</v>
      </c>
      <c r="E508" s="38" t="s">
        <v>360</v>
      </c>
      <c r="F508" s="38" t="s">
        <v>253</v>
      </c>
      <c r="G508" s="38" t="s">
        <v>138</v>
      </c>
      <c r="H508" s="9" t="s">
        <v>220</v>
      </c>
      <c r="I508" s="38" t="s">
        <v>58</v>
      </c>
      <c r="J508" s="38">
        <v>0</v>
      </c>
      <c r="K508">
        <v>0</v>
      </c>
      <c r="L508">
        <v>0</v>
      </c>
      <c r="M508">
        <v>0</v>
      </c>
      <c r="N508" s="38">
        <v>21.19</v>
      </c>
      <c r="O508" s="38"/>
      <c r="P508" s="38" t="s">
        <v>151</v>
      </c>
      <c r="Q508" s="38"/>
    </row>
    <row r="509" spans="1:17" x14ac:dyDescent="0.25">
      <c r="A509" s="39">
        <v>45417</v>
      </c>
      <c r="B509" s="38" t="s">
        <v>88</v>
      </c>
      <c r="C509" s="38" t="s">
        <v>6</v>
      </c>
      <c r="D509" s="38" t="s">
        <v>311</v>
      </c>
      <c r="E509" s="38" t="s">
        <v>60</v>
      </c>
      <c r="F509" s="38" t="s">
        <v>253</v>
      </c>
      <c r="G509" s="38" t="s">
        <v>138</v>
      </c>
      <c r="H509" s="9" t="s">
        <v>221</v>
      </c>
      <c r="I509" s="38"/>
      <c r="J509" s="38">
        <v>0</v>
      </c>
      <c r="K509">
        <v>0</v>
      </c>
      <c r="L509">
        <v>0</v>
      </c>
      <c r="M509">
        <v>0</v>
      </c>
      <c r="N509" s="38">
        <v>38.44</v>
      </c>
      <c r="O509" s="38"/>
      <c r="P509" s="38" t="s">
        <v>154</v>
      </c>
      <c r="Q509" s="38"/>
    </row>
    <row r="510" spans="1:17" x14ac:dyDescent="0.25">
      <c r="A510" s="39">
        <v>45417</v>
      </c>
      <c r="B510" s="38" t="s">
        <v>17</v>
      </c>
      <c r="C510" s="38" t="s">
        <v>6</v>
      </c>
      <c r="D510" s="38" t="s">
        <v>272</v>
      </c>
      <c r="E510" s="38" t="s">
        <v>275</v>
      </c>
      <c r="F510" s="38" t="s">
        <v>276</v>
      </c>
      <c r="G510" s="38" t="s">
        <v>138</v>
      </c>
      <c r="H510" s="9" t="s">
        <v>222</v>
      </c>
      <c r="I510" s="38" t="s">
        <v>58</v>
      </c>
      <c r="J510" s="38">
        <v>0</v>
      </c>
      <c r="K510">
        <v>0</v>
      </c>
      <c r="L510">
        <v>0</v>
      </c>
      <c r="M510">
        <v>0</v>
      </c>
      <c r="N510" s="38">
        <v>20.56</v>
      </c>
      <c r="O510" s="38"/>
      <c r="P510" s="38" t="s">
        <v>151</v>
      </c>
      <c r="Q510" s="38"/>
    </row>
    <row r="511" spans="1:17" x14ac:dyDescent="0.25">
      <c r="A511" s="39">
        <v>45417</v>
      </c>
      <c r="B511" s="38" t="s">
        <v>19</v>
      </c>
      <c r="C511" s="38" t="s">
        <v>6</v>
      </c>
      <c r="D511" s="38" t="s">
        <v>343</v>
      </c>
      <c r="E511" s="38" t="s">
        <v>81</v>
      </c>
      <c r="F511" s="38" t="s">
        <v>253</v>
      </c>
      <c r="G511" s="38" t="s">
        <v>138</v>
      </c>
      <c r="H511" s="9" t="s">
        <v>223</v>
      </c>
      <c r="I511" s="38" t="s">
        <v>65</v>
      </c>
      <c r="J511" s="38">
        <v>0</v>
      </c>
      <c r="K511">
        <v>0</v>
      </c>
      <c r="L511">
        <v>0</v>
      </c>
      <c r="M511">
        <v>0</v>
      </c>
      <c r="N511" s="38">
        <v>41.06</v>
      </c>
      <c r="O511" s="38"/>
      <c r="P511" s="38" t="s">
        <v>151</v>
      </c>
      <c r="Q511" s="38"/>
    </row>
    <row r="512" spans="1:17" x14ac:dyDescent="0.25">
      <c r="A512" s="39">
        <v>45417</v>
      </c>
      <c r="B512" s="38" t="s">
        <v>18</v>
      </c>
      <c r="C512" s="38" t="s">
        <v>6</v>
      </c>
      <c r="D512" s="38" t="s">
        <v>268</v>
      </c>
      <c r="E512" s="38" t="s">
        <v>408</v>
      </c>
      <c r="F512" s="38" t="s">
        <v>253</v>
      </c>
      <c r="G512" s="38" t="s">
        <v>138</v>
      </c>
      <c r="H512" s="9" t="s">
        <v>224</v>
      </c>
      <c r="I512" s="38" t="s">
        <v>58</v>
      </c>
      <c r="J512" s="38">
        <v>0</v>
      </c>
      <c r="K512">
        <v>0</v>
      </c>
      <c r="L512">
        <v>0</v>
      </c>
      <c r="M512">
        <v>0</v>
      </c>
      <c r="N512" s="38">
        <v>18.89</v>
      </c>
      <c r="O512" s="38"/>
      <c r="P512" s="38" t="s">
        <v>148</v>
      </c>
      <c r="Q512" s="38"/>
    </row>
    <row r="513" spans="1:17" x14ac:dyDescent="0.25">
      <c r="A513" s="39">
        <v>45417</v>
      </c>
      <c r="B513" s="38" t="s">
        <v>87</v>
      </c>
      <c r="C513" s="38" t="s">
        <v>6</v>
      </c>
      <c r="D513" s="38"/>
      <c r="E513" s="38"/>
      <c r="F513" s="38"/>
      <c r="G513" s="38" t="s">
        <v>138</v>
      </c>
      <c r="H513" s="9" t="s">
        <v>225</v>
      </c>
      <c r="I513" s="38"/>
      <c r="J513" s="38">
        <v>0</v>
      </c>
      <c r="K513">
        <v>0</v>
      </c>
      <c r="L513">
        <v>0</v>
      </c>
      <c r="M513">
        <v>0</v>
      </c>
      <c r="N513" s="38">
        <v>41146219</v>
      </c>
      <c r="O513" s="38"/>
      <c r="P513" s="38"/>
      <c r="Q513" s="38"/>
    </row>
    <row r="514" spans="1:17" x14ac:dyDescent="0.25">
      <c r="A514" s="39">
        <v>45417</v>
      </c>
      <c r="B514" s="38" t="s">
        <v>42</v>
      </c>
      <c r="C514" s="38" t="s">
        <v>6</v>
      </c>
      <c r="D514" s="38" t="s">
        <v>246</v>
      </c>
      <c r="E514" s="38" t="s">
        <v>81</v>
      </c>
      <c r="F514" s="38" t="s">
        <v>285</v>
      </c>
      <c r="G514" s="38" t="s">
        <v>138</v>
      </c>
      <c r="H514" s="9" t="s">
        <v>226</v>
      </c>
      <c r="I514" s="38" t="s">
        <v>58</v>
      </c>
      <c r="J514" s="38">
        <v>0</v>
      </c>
      <c r="K514">
        <v>0</v>
      </c>
      <c r="L514">
        <v>0</v>
      </c>
      <c r="M514">
        <v>0</v>
      </c>
      <c r="N514" s="38">
        <v>20.7</v>
      </c>
      <c r="O514" s="38"/>
      <c r="P514" s="38" t="s">
        <v>148</v>
      </c>
      <c r="Q514" s="38"/>
    </row>
    <row r="515" spans="1:17" x14ac:dyDescent="0.25">
      <c r="A515" s="39">
        <v>45417</v>
      </c>
      <c r="B515" s="38" t="s">
        <v>86</v>
      </c>
      <c r="C515" s="38" t="s">
        <v>6</v>
      </c>
      <c r="D515" s="38" t="s">
        <v>271</v>
      </c>
      <c r="E515" s="38" t="s">
        <v>275</v>
      </c>
      <c r="F515" s="38" t="s">
        <v>276</v>
      </c>
      <c r="G515" s="38" t="s">
        <v>138</v>
      </c>
      <c r="H515" s="9" t="s">
        <v>227</v>
      </c>
      <c r="I515" s="38" t="s">
        <v>65</v>
      </c>
      <c r="J515" s="38">
        <v>0</v>
      </c>
      <c r="K515">
        <v>0</v>
      </c>
      <c r="L515">
        <v>0</v>
      </c>
      <c r="M515">
        <v>0</v>
      </c>
      <c r="N515" s="38">
        <v>41.64</v>
      </c>
      <c r="O515" s="38"/>
      <c r="P515" s="38" t="s">
        <v>152</v>
      </c>
      <c r="Q515" s="38"/>
    </row>
    <row r="516" spans="1:17" x14ac:dyDescent="0.25">
      <c r="A516" s="39">
        <v>45417</v>
      </c>
      <c r="B516" s="38" t="s">
        <v>38</v>
      </c>
      <c r="C516" s="38" t="s">
        <v>6</v>
      </c>
      <c r="D516" s="38" t="s">
        <v>141</v>
      </c>
      <c r="E516" s="38" t="s">
        <v>81</v>
      </c>
      <c r="F516" s="38" t="s">
        <v>285</v>
      </c>
      <c r="G516" s="38" t="s">
        <v>138</v>
      </c>
      <c r="H516" s="9" t="s">
        <v>85</v>
      </c>
      <c r="I516" s="38" t="s">
        <v>58</v>
      </c>
      <c r="J516" s="38">
        <v>0</v>
      </c>
      <c r="K516">
        <v>0</v>
      </c>
      <c r="L516">
        <v>0</v>
      </c>
      <c r="M516">
        <v>0</v>
      </c>
      <c r="N516" s="38">
        <v>37.5</v>
      </c>
      <c r="O516" s="38"/>
      <c r="P516" s="38" t="s">
        <v>151</v>
      </c>
      <c r="Q516" s="38"/>
    </row>
    <row r="517" spans="1:17" x14ac:dyDescent="0.25">
      <c r="A517" s="39">
        <v>45417</v>
      </c>
      <c r="B517" s="38" t="s">
        <v>83</v>
      </c>
      <c r="C517" s="38" t="s">
        <v>6</v>
      </c>
      <c r="D517" s="38"/>
      <c r="E517" s="38"/>
      <c r="F517" s="38"/>
      <c r="G517" s="38" t="s">
        <v>138</v>
      </c>
      <c r="H517" s="9" t="s">
        <v>84</v>
      </c>
      <c r="I517" s="38"/>
      <c r="J517" s="38">
        <v>0</v>
      </c>
      <c r="K517">
        <v>0</v>
      </c>
      <c r="L517">
        <v>0</v>
      </c>
      <c r="M517">
        <v>0</v>
      </c>
      <c r="N517" s="38">
        <v>41.36</v>
      </c>
      <c r="O517" s="38"/>
      <c r="P517" s="38"/>
      <c r="Q517" s="38"/>
    </row>
    <row r="518" spans="1:17" x14ac:dyDescent="0.25">
      <c r="A518" s="39">
        <v>45417</v>
      </c>
      <c r="B518" s="38" t="s">
        <v>20</v>
      </c>
      <c r="C518" s="38" t="s">
        <v>6</v>
      </c>
      <c r="D518" s="38" t="s">
        <v>351</v>
      </c>
      <c r="E518" s="38" t="s">
        <v>352</v>
      </c>
      <c r="F518" s="38" t="s">
        <v>285</v>
      </c>
      <c r="G518" s="38" t="s">
        <v>138</v>
      </c>
      <c r="H518" s="9" t="s">
        <v>82</v>
      </c>
      <c r="I518" s="38" t="s">
        <v>58</v>
      </c>
      <c r="J518" s="38">
        <v>0</v>
      </c>
      <c r="K518">
        <v>0</v>
      </c>
      <c r="L518">
        <v>0</v>
      </c>
      <c r="M518">
        <v>0</v>
      </c>
      <c r="N518" s="38">
        <v>22.79</v>
      </c>
      <c r="O518" s="38"/>
      <c r="P518" s="38" t="s">
        <v>151</v>
      </c>
      <c r="Q518" s="38"/>
    </row>
    <row r="519" spans="1:17" x14ac:dyDescent="0.25">
      <c r="A519" s="39">
        <v>45417</v>
      </c>
      <c r="B519" s="38" t="s">
        <v>21</v>
      </c>
      <c r="C519" s="38" t="s">
        <v>6</v>
      </c>
      <c r="D519" s="38" t="s">
        <v>291</v>
      </c>
      <c r="E519" s="38" t="s">
        <v>352</v>
      </c>
      <c r="F519" s="38" t="s">
        <v>285</v>
      </c>
      <c r="G519" s="38" t="s">
        <v>138</v>
      </c>
      <c r="H519" s="9" t="s">
        <v>80</v>
      </c>
      <c r="I519" s="38" t="s">
        <v>65</v>
      </c>
      <c r="J519" s="38">
        <v>0</v>
      </c>
      <c r="K519">
        <v>0</v>
      </c>
      <c r="L519">
        <v>0</v>
      </c>
      <c r="M519">
        <v>0</v>
      </c>
      <c r="N519" s="38">
        <v>21.59</v>
      </c>
      <c r="O519" s="38"/>
      <c r="P519" s="38" t="s">
        <v>152</v>
      </c>
      <c r="Q519" s="38"/>
    </row>
    <row r="520" spans="1:17" x14ac:dyDescent="0.25">
      <c r="A520" s="39">
        <v>45417</v>
      </c>
      <c r="B520" s="38" t="s">
        <v>22</v>
      </c>
      <c r="C520" s="38" t="s">
        <v>6</v>
      </c>
      <c r="D520" s="38" t="s">
        <v>353</v>
      </c>
      <c r="E520" s="38" t="s">
        <v>352</v>
      </c>
      <c r="F520" s="38" t="s">
        <v>285</v>
      </c>
      <c r="G520" s="38" t="s">
        <v>138</v>
      </c>
      <c r="H520" s="9" t="s">
        <v>79</v>
      </c>
      <c r="I520" s="38" t="s">
        <v>58</v>
      </c>
      <c r="J520" s="38">
        <v>0</v>
      </c>
      <c r="K520">
        <v>0</v>
      </c>
      <c r="L520">
        <v>0</v>
      </c>
      <c r="M520">
        <v>0</v>
      </c>
      <c r="N520" s="38">
        <v>13.62</v>
      </c>
      <c r="O520" s="38"/>
      <c r="P520" s="38" t="s">
        <v>148</v>
      </c>
      <c r="Q520" s="38"/>
    </row>
    <row r="521" spans="1:17" x14ac:dyDescent="0.25">
      <c r="A521" s="39">
        <v>45417</v>
      </c>
      <c r="B521" s="38" t="s">
        <v>77</v>
      </c>
      <c r="C521" s="38" t="s">
        <v>6</v>
      </c>
      <c r="D521" s="38"/>
      <c r="E521" s="38"/>
      <c r="F521" s="38"/>
      <c r="G521" s="38" t="s">
        <v>138</v>
      </c>
      <c r="H521" s="9" t="s">
        <v>78</v>
      </c>
      <c r="I521" s="38"/>
      <c r="J521" s="38">
        <v>0</v>
      </c>
      <c r="K521">
        <v>0</v>
      </c>
      <c r="L521">
        <v>0</v>
      </c>
      <c r="M521">
        <v>0</v>
      </c>
      <c r="N521" s="38">
        <v>17.88</v>
      </c>
      <c r="O521" s="38"/>
      <c r="P521" s="38"/>
      <c r="Q521" s="38"/>
    </row>
    <row r="522" spans="1:17" x14ac:dyDescent="0.25">
      <c r="A522" s="39">
        <v>45417</v>
      </c>
      <c r="B522" s="38" t="s">
        <v>23</v>
      </c>
      <c r="C522" s="38" t="s">
        <v>6</v>
      </c>
      <c r="D522" s="38" t="s">
        <v>409</v>
      </c>
      <c r="E522" s="38" t="s">
        <v>352</v>
      </c>
      <c r="F522" s="38" t="s">
        <v>285</v>
      </c>
      <c r="G522" s="38" t="s">
        <v>138</v>
      </c>
      <c r="H522" s="9" t="s">
        <v>228</v>
      </c>
      <c r="I522" s="38" t="s">
        <v>58</v>
      </c>
      <c r="J522" s="38">
        <v>0</v>
      </c>
      <c r="K522">
        <v>0</v>
      </c>
      <c r="L522">
        <v>0</v>
      </c>
      <c r="M522">
        <v>0</v>
      </c>
      <c r="N522" s="38">
        <v>23.22</v>
      </c>
      <c r="O522" s="38"/>
      <c r="P522" s="38" t="s">
        <v>148</v>
      </c>
      <c r="Q522" s="38"/>
    </row>
    <row r="523" spans="1:17" x14ac:dyDescent="0.25">
      <c r="A523" s="39">
        <v>45417</v>
      </c>
      <c r="B523" s="38" t="s">
        <v>24</v>
      </c>
      <c r="C523" s="38" t="s">
        <v>6</v>
      </c>
      <c r="D523" s="38" t="s">
        <v>344</v>
      </c>
      <c r="E523" s="38" t="s">
        <v>379</v>
      </c>
      <c r="F523" s="38" t="s">
        <v>253</v>
      </c>
      <c r="G523" s="38" t="s">
        <v>138</v>
      </c>
      <c r="H523" s="9" t="s">
        <v>229</v>
      </c>
      <c r="I523" s="38" t="s">
        <v>65</v>
      </c>
      <c r="J523" s="38">
        <v>0</v>
      </c>
      <c r="K523">
        <v>0</v>
      </c>
      <c r="L523">
        <v>0</v>
      </c>
      <c r="M523">
        <v>0</v>
      </c>
      <c r="N523" s="38">
        <v>18.37</v>
      </c>
      <c r="O523" s="38"/>
      <c r="P523" s="38" t="s">
        <v>152</v>
      </c>
      <c r="Q523" s="38"/>
    </row>
    <row r="524" spans="1:17" x14ac:dyDescent="0.25">
      <c r="A524" s="39">
        <v>45417</v>
      </c>
      <c r="B524" s="38" t="s">
        <v>75</v>
      </c>
      <c r="C524" s="38" t="s">
        <v>6</v>
      </c>
      <c r="D524" s="38" t="s">
        <v>410</v>
      </c>
      <c r="E524" s="38" t="s">
        <v>202</v>
      </c>
      <c r="F524" s="38" t="s">
        <v>346</v>
      </c>
      <c r="G524" s="38" t="s">
        <v>138</v>
      </c>
      <c r="H524" s="9" t="s">
        <v>230</v>
      </c>
      <c r="I524" s="38" t="s">
        <v>58</v>
      </c>
      <c r="J524" s="38">
        <v>0</v>
      </c>
      <c r="K524">
        <v>0</v>
      </c>
      <c r="L524">
        <v>0</v>
      </c>
      <c r="M524">
        <v>0</v>
      </c>
      <c r="N524" s="38">
        <v>12.9</v>
      </c>
      <c r="O524" s="38"/>
      <c r="P524" s="38" t="s">
        <v>303</v>
      </c>
      <c r="Q524" s="38"/>
    </row>
    <row r="525" spans="1:17" x14ac:dyDescent="0.25">
      <c r="A525" s="39">
        <v>45417</v>
      </c>
      <c r="B525" s="38" t="s">
        <v>25</v>
      </c>
      <c r="C525" s="38" t="s">
        <v>6</v>
      </c>
      <c r="D525" s="38" t="s">
        <v>383</v>
      </c>
      <c r="E525" s="38" t="s">
        <v>81</v>
      </c>
      <c r="F525" s="38" t="s">
        <v>285</v>
      </c>
      <c r="G525" s="38" t="s">
        <v>138</v>
      </c>
      <c r="H525" s="9" t="s">
        <v>231</v>
      </c>
      <c r="I525" s="38" t="s">
        <v>65</v>
      </c>
      <c r="J525" s="38">
        <v>0</v>
      </c>
      <c r="K525">
        <v>0</v>
      </c>
      <c r="L525">
        <v>0</v>
      </c>
      <c r="M525">
        <v>0</v>
      </c>
      <c r="N525" s="38">
        <v>12.16</v>
      </c>
      <c r="O525" s="38"/>
      <c r="P525" s="38" t="s">
        <v>148</v>
      </c>
      <c r="Q525" s="38"/>
    </row>
    <row r="526" spans="1:17" x14ac:dyDescent="0.25">
      <c r="A526" s="39">
        <v>45417</v>
      </c>
      <c r="B526" s="38" t="s">
        <v>74</v>
      </c>
      <c r="C526" s="38" t="s">
        <v>6</v>
      </c>
      <c r="D526" s="38" t="s">
        <v>292</v>
      </c>
      <c r="E526" s="38" t="s">
        <v>60</v>
      </c>
      <c r="F526" s="38" t="s">
        <v>346</v>
      </c>
      <c r="G526" s="38" t="s">
        <v>138</v>
      </c>
      <c r="H526" s="9" t="s">
        <v>232</v>
      </c>
      <c r="I526" s="38" t="s">
        <v>58</v>
      </c>
      <c r="J526" s="38">
        <v>0</v>
      </c>
      <c r="K526">
        <v>0</v>
      </c>
      <c r="L526">
        <v>0</v>
      </c>
      <c r="M526">
        <v>0</v>
      </c>
      <c r="N526" s="38">
        <v>15.61</v>
      </c>
      <c r="O526" s="38"/>
      <c r="P526" s="38" t="s">
        <v>293</v>
      </c>
      <c r="Q526" s="38"/>
    </row>
    <row r="527" spans="1:17" x14ac:dyDescent="0.25">
      <c r="A527" s="39">
        <v>45417</v>
      </c>
      <c r="B527" s="38" t="s">
        <v>26</v>
      </c>
      <c r="C527" s="38" t="s">
        <v>6</v>
      </c>
      <c r="D527" s="38" t="s">
        <v>294</v>
      </c>
      <c r="E527" s="38" t="s">
        <v>56</v>
      </c>
      <c r="F527" s="38" t="s">
        <v>184</v>
      </c>
      <c r="G527" s="38" t="s">
        <v>138</v>
      </c>
      <c r="H527" s="9" t="s">
        <v>233</v>
      </c>
      <c r="I527" s="38" t="s">
        <v>65</v>
      </c>
      <c r="J527" s="38">
        <v>0</v>
      </c>
      <c r="K527">
        <v>0</v>
      </c>
      <c r="L527">
        <v>0</v>
      </c>
      <c r="M527">
        <v>0</v>
      </c>
      <c r="N527" s="38">
        <v>13.29</v>
      </c>
      <c r="O527" s="38"/>
      <c r="P527" s="38" t="s">
        <v>155</v>
      </c>
      <c r="Q527" s="38"/>
    </row>
    <row r="528" spans="1:17" x14ac:dyDescent="0.25">
      <c r="A528" s="39">
        <v>45417</v>
      </c>
      <c r="B528" s="38" t="s">
        <v>27</v>
      </c>
      <c r="C528" s="38" t="s">
        <v>6</v>
      </c>
      <c r="D528" s="38" t="s">
        <v>384</v>
      </c>
      <c r="E528" s="38" t="s">
        <v>366</v>
      </c>
      <c r="F528" s="38" t="s">
        <v>346</v>
      </c>
      <c r="G528" s="38" t="s">
        <v>138</v>
      </c>
      <c r="H528" s="9" t="s">
        <v>234</v>
      </c>
      <c r="I528" s="38" t="s">
        <v>58</v>
      </c>
      <c r="J528" s="38">
        <v>0</v>
      </c>
      <c r="K528">
        <v>0</v>
      </c>
      <c r="L528">
        <v>0</v>
      </c>
      <c r="M528">
        <v>0</v>
      </c>
      <c r="N528" s="38">
        <v>13.89</v>
      </c>
      <c r="O528" s="38"/>
      <c r="P528" s="38" t="s">
        <v>269</v>
      </c>
      <c r="Q528" s="38"/>
    </row>
    <row r="529" spans="1:17" x14ac:dyDescent="0.25">
      <c r="A529" s="39">
        <v>45417</v>
      </c>
      <c r="B529" s="38" t="s">
        <v>28</v>
      </c>
      <c r="C529" s="38" t="s">
        <v>6</v>
      </c>
      <c r="D529" s="38" t="s">
        <v>411</v>
      </c>
      <c r="E529" s="38" t="s">
        <v>56</v>
      </c>
      <c r="F529" s="38" t="s">
        <v>338</v>
      </c>
      <c r="G529" s="38" t="s">
        <v>138</v>
      </c>
      <c r="H529" s="9" t="s">
        <v>235</v>
      </c>
      <c r="I529" s="38" t="s">
        <v>65</v>
      </c>
      <c r="J529" s="38">
        <v>0</v>
      </c>
      <c r="K529">
        <v>0</v>
      </c>
      <c r="L529">
        <v>0</v>
      </c>
      <c r="M529">
        <v>0</v>
      </c>
      <c r="N529" s="38">
        <v>13.9</v>
      </c>
      <c r="O529" s="38"/>
      <c r="P529" s="38" t="s">
        <v>155</v>
      </c>
      <c r="Q529" s="38"/>
    </row>
    <row r="530" spans="1:17" x14ac:dyDescent="0.25">
      <c r="A530" s="39">
        <v>45417</v>
      </c>
      <c r="B530" s="38" t="s">
        <v>72</v>
      </c>
      <c r="C530" s="38" t="s">
        <v>6</v>
      </c>
      <c r="D530" s="38" t="s">
        <v>322</v>
      </c>
      <c r="E530" s="38" t="s">
        <v>202</v>
      </c>
      <c r="F530" s="38" t="s">
        <v>346</v>
      </c>
      <c r="G530" s="38" t="s">
        <v>138</v>
      </c>
      <c r="H530" s="9" t="s">
        <v>422</v>
      </c>
      <c r="I530" s="38" t="s">
        <v>58</v>
      </c>
      <c r="J530" s="38">
        <v>0</v>
      </c>
      <c r="K530">
        <v>0</v>
      </c>
      <c r="L530">
        <v>0</v>
      </c>
      <c r="M530">
        <v>0</v>
      </c>
      <c r="N530" s="38">
        <v>15.45</v>
      </c>
      <c r="O530" s="38"/>
      <c r="P530" s="38" t="s">
        <v>157</v>
      </c>
      <c r="Q530" s="38"/>
    </row>
    <row r="531" spans="1:17" x14ac:dyDescent="0.25">
      <c r="A531" s="39">
        <v>45417</v>
      </c>
      <c r="B531" s="38" t="s">
        <v>29</v>
      </c>
      <c r="C531" s="38" t="s">
        <v>6</v>
      </c>
      <c r="D531" s="38" t="s">
        <v>315</v>
      </c>
      <c r="E531" s="38" t="s">
        <v>56</v>
      </c>
      <c r="F531" s="38" t="s">
        <v>338</v>
      </c>
      <c r="G531" s="38" t="s">
        <v>138</v>
      </c>
      <c r="H531" s="9" t="s">
        <v>236</v>
      </c>
      <c r="I531" s="38" t="s">
        <v>65</v>
      </c>
      <c r="J531" s="38">
        <v>0</v>
      </c>
      <c r="K531">
        <v>0</v>
      </c>
      <c r="L531">
        <v>0</v>
      </c>
      <c r="M531">
        <v>0</v>
      </c>
      <c r="N531" s="38">
        <v>13.98</v>
      </c>
      <c r="O531" s="38"/>
      <c r="P531" s="38" t="s">
        <v>156</v>
      </c>
      <c r="Q531" s="38"/>
    </row>
    <row r="532" spans="1:17" x14ac:dyDescent="0.25">
      <c r="A532" s="39">
        <v>45417</v>
      </c>
      <c r="B532" s="38" t="s">
        <v>30</v>
      </c>
      <c r="C532" s="38" t="s">
        <v>6</v>
      </c>
      <c r="D532" s="38" t="s">
        <v>305</v>
      </c>
      <c r="E532" s="38" t="s">
        <v>81</v>
      </c>
      <c r="F532" s="38" t="s">
        <v>90</v>
      </c>
      <c r="G532" s="38" t="s">
        <v>138</v>
      </c>
      <c r="H532" s="9" t="s">
        <v>71</v>
      </c>
      <c r="I532" s="38" t="s">
        <v>58</v>
      </c>
      <c r="J532" s="38">
        <v>0</v>
      </c>
      <c r="K532">
        <v>0</v>
      </c>
      <c r="L532">
        <v>0</v>
      </c>
      <c r="M532">
        <v>0</v>
      </c>
      <c r="N532" s="38">
        <v>10.84</v>
      </c>
      <c r="O532" s="38"/>
      <c r="P532" s="38" t="s">
        <v>150</v>
      </c>
      <c r="Q532" s="38"/>
    </row>
    <row r="533" spans="1:17" x14ac:dyDescent="0.25">
      <c r="A533" s="39">
        <v>45417</v>
      </c>
      <c r="B533" s="38" t="s">
        <v>31</v>
      </c>
      <c r="C533" s="38" t="s">
        <v>6</v>
      </c>
      <c r="D533" s="38"/>
      <c r="E533" s="38" t="s">
        <v>56</v>
      </c>
      <c r="F533" s="38"/>
      <c r="G533" s="38" t="s">
        <v>138</v>
      </c>
      <c r="H533" s="9" t="s">
        <v>70</v>
      </c>
      <c r="I533" s="38" t="s">
        <v>65</v>
      </c>
      <c r="J533" s="38">
        <v>0</v>
      </c>
      <c r="K533">
        <v>0</v>
      </c>
      <c r="L533">
        <v>0</v>
      </c>
      <c r="M533">
        <v>0</v>
      </c>
      <c r="N533" s="38">
        <v>13.5</v>
      </c>
      <c r="O533" s="38"/>
      <c r="P533" s="38" t="s">
        <v>156</v>
      </c>
      <c r="Q533" s="38"/>
    </row>
    <row r="534" spans="1:17" x14ac:dyDescent="0.25">
      <c r="A534" s="39">
        <v>45417</v>
      </c>
      <c r="B534" s="38" t="s">
        <v>32</v>
      </c>
      <c r="C534" s="38" t="s">
        <v>6</v>
      </c>
      <c r="D534" s="38" t="s">
        <v>413</v>
      </c>
      <c r="E534" s="38" t="s">
        <v>202</v>
      </c>
      <c r="F534" s="38" t="s">
        <v>346</v>
      </c>
      <c r="G534" s="38" t="s">
        <v>138</v>
      </c>
      <c r="H534" s="9" t="s">
        <v>69</v>
      </c>
      <c r="I534" s="38" t="s">
        <v>58</v>
      </c>
      <c r="J534" s="38">
        <v>0</v>
      </c>
      <c r="K534">
        <v>0</v>
      </c>
      <c r="L534">
        <v>0</v>
      </c>
      <c r="M534">
        <v>0</v>
      </c>
      <c r="N534" s="38">
        <v>14.39</v>
      </c>
      <c r="O534" s="38"/>
      <c r="P534" s="38" t="s">
        <v>414</v>
      </c>
      <c r="Q534" s="38"/>
    </row>
    <row r="535" spans="1:17" x14ac:dyDescent="0.25">
      <c r="A535" s="39">
        <v>45417</v>
      </c>
      <c r="B535" s="38" t="s">
        <v>67</v>
      </c>
      <c r="C535" s="38" t="s">
        <v>6</v>
      </c>
      <c r="D535" s="38" t="s">
        <v>354</v>
      </c>
      <c r="E535" s="38" t="s">
        <v>56</v>
      </c>
      <c r="F535" s="38" t="s">
        <v>367</v>
      </c>
      <c r="G535" s="38" t="s">
        <v>138</v>
      </c>
      <c r="H535" s="9" t="s">
        <v>68</v>
      </c>
      <c r="I535" s="38" t="s">
        <v>65</v>
      </c>
      <c r="J535" s="38">
        <v>0</v>
      </c>
      <c r="K535">
        <v>0</v>
      </c>
      <c r="L535">
        <v>0</v>
      </c>
      <c r="M535">
        <v>0</v>
      </c>
      <c r="N535" s="38">
        <v>13.8</v>
      </c>
      <c r="O535" s="38"/>
      <c r="P535" s="38" t="s">
        <v>156</v>
      </c>
      <c r="Q535" s="38"/>
    </row>
    <row r="536" spans="1:17" x14ac:dyDescent="0.25">
      <c r="A536" s="39">
        <v>45417</v>
      </c>
      <c r="B536" s="38" t="s">
        <v>33</v>
      </c>
      <c r="C536" s="38" t="s">
        <v>6</v>
      </c>
      <c r="D536" s="38" t="s">
        <v>277</v>
      </c>
      <c r="E536" s="38" t="s">
        <v>73</v>
      </c>
      <c r="F536" s="38" t="s">
        <v>346</v>
      </c>
      <c r="G536" s="38" t="s">
        <v>138</v>
      </c>
      <c r="H536" s="9" t="s">
        <v>66</v>
      </c>
      <c r="I536" s="38" t="s">
        <v>58</v>
      </c>
      <c r="J536" s="38">
        <v>0</v>
      </c>
      <c r="K536">
        <v>0</v>
      </c>
      <c r="L536">
        <v>0</v>
      </c>
      <c r="M536">
        <v>0</v>
      </c>
      <c r="N536" s="38">
        <v>14.19</v>
      </c>
      <c r="O536" s="38"/>
      <c r="P536" s="38" t="s">
        <v>201</v>
      </c>
      <c r="Q536" s="38"/>
    </row>
    <row r="537" spans="1:17" x14ac:dyDescent="0.25">
      <c r="A537" s="39">
        <v>45417</v>
      </c>
      <c r="B537" s="38" t="s">
        <v>34</v>
      </c>
      <c r="C537" s="38" t="s">
        <v>6</v>
      </c>
      <c r="D537" s="38" t="s">
        <v>415</v>
      </c>
      <c r="E537" s="38" t="s">
        <v>56</v>
      </c>
      <c r="F537" s="38" t="s">
        <v>346</v>
      </c>
      <c r="G537" s="38" t="s">
        <v>138</v>
      </c>
      <c r="H537" s="9" t="s">
        <v>64</v>
      </c>
      <c r="I537" s="38" t="s">
        <v>65</v>
      </c>
      <c r="J537" s="38">
        <v>0</v>
      </c>
      <c r="K537">
        <v>0</v>
      </c>
      <c r="L537">
        <v>0</v>
      </c>
      <c r="M537">
        <v>0</v>
      </c>
      <c r="N537" s="38">
        <v>15.6</v>
      </c>
      <c r="O537" s="38"/>
      <c r="P537" s="38" t="s">
        <v>416</v>
      </c>
      <c r="Q537" s="38"/>
    </row>
    <row r="538" spans="1:17" x14ac:dyDescent="0.25">
      <c r="A538" s="39">
        <v>45417</v>
      </c>
      <c r="B538" s="38" t="s">
        <v>35</v>
      </c>
      <c r="C538" s="38" t="s">
        <v>6</v>
      </c>
      <c r="D538" s="38" t="s">
        <v>331</v>
      </c>
      <c r="E538" s="38" t="s">
        <v>60</v>
      </c>
      <c r="F538" s="38" t="s">
        <v>346</v>
      </c>
      <c r="G538" s="38" t="s">
        <v>138</v>
      </c>
      <c r="H538" s="9" t="s">
        <v>237</v>
      </c>
      <c r="I538" s="38" t="s">
        <v>58</v>
      </c>
      <c r="J538" s="38">
        <v>0</v>
      </c>
      <c r="K538">
        <v>0</v>
      </c>
      <c r="L538">
        <v>0</v>
      </c>
      <c r="M538">
        <v>0</v>
      </c>
      <c r="N538" s="38">
        <v>14.64</v>
      </c>
      <c r="O538" s="38"/>
      <c r="P538" s="38" t="s">
        <v>158</v>
      </c>
      <c r="Q538" s="38"/>
    </row>
    <row r="539" spans="1:17" x14ac:dyDescent="0.25">
      <c r="A539" s="39">
        <v>45417</v>
      </c>
      <c r="B539" s="38" t="s">
        <v>418</v>
      </c>
      <c r="C539" s="38" t="s">
        <v>6</v>
      </c>
      <c r="D539" s="38"/>
      <c r="E539" s="38"/>
      <c r="F539" s="38"/>
      <c r="G539" s="38" t="s">
        <v>138</v>
      </c>
      <c r="H539" s="9" t="s">
        <v>240</v>
      </c>
      <c r="I539" s="38" t="s">
        <v>262</v>
      </c>
      <c r="J539" s="38">
        <v>0</v>
      </c>
      <c r="K539">
        <v>0</v>
      </c>
      <c r="L539">
        <v>0</v>
      </c>
      <c r="M539">
        <v>0</v>
      </c>
      <c r="N539" s="38">
        <v>17.670000000000002</v>
      </c>
      <c r="O539" s="38"/>
      <c r="P539" s="38"/>
      <c r="Q539" s="38"/>
    </row>
    <row r="540" spans="1:17" x14ac:dyDescent="0.25">
      <c r="A540" s="39">
        <v>45417</v>
      </c>
      <c r="B540" s="38" t="s">
        <v>419</v>
      </c>
      <c r="C540" s="38" t="s">
        <v>6</v>
      </c>
      <c r="D540" s="38"/>
      <c r="E540" s="38"/>
      <c r="F540" s="38"/>
      <c r="G540" s="38" t="s">
        <v>138</v>
      </c>
      <c r="H540" s="9" t="s">
        <v>240</v>
      </c>
      <c r="I540" s="38" t="s">
        <v>262</v>
      </c>
      <c r="J540" s="38">
        <v>0</v>
      </c>
      <c r="K540">
        <v>0</v>
      </c>
      <c r="L540">
        <v>0</v>
      </c>
      <c r="M540">
        <v>0</v>
      </c>
      <c r="N540" s="38">
        <v>13.49</v>
      </c>
      <c r="O540" s="38"/>
      <c r="P540" s="38"/>
      <c r="Q540" s="38"/>
    </row>
    <row r="541" spans="1:17" x14ac:dyDescent="0.25">
      <c r="A541" s="39">
        <v>45417</v>
      </c>
      <c r="B541" s="38" t="s">
        <v>36</v>
      </c>
      <c r="C541" s="38" t="s">
        <v>6</v>
      </c>
      <c r="D541" s="38" t="s">
        <v>295</v>
      </c>
      <c r="E541" s="38" t="s">
        <v>81</v>
      </c>
      <c r="F541" s="38" t="s">
        <v>369</v>
      </c>
      <c r="G541" s="38" t="s">
        <v>138</v>
      </c>
      <c r="H541" s="9" t="s">
        <v>423</v>
      </c>
      <c r="I541" s="38" t="s">
        <v>58</v>
      </c>
      <c r="J541" s="38">
        <v>0</v>
      </c>
      <c r="K541">
        <v>0</v>
      </c>
      <c r="L541">
        <v>0</v>
      </c>
      <c r="M541">
        <v>0</v>
      </c>
      <c r="N541" s="38">
        <v>38472557</v>
      </c>
      <c r="O541" s="38"/>
      <c r="P541" s="38" t="s">
        <v>156</v>
      </c>
      <c r="Q541" s="38"/>
    </row>
    <row r="542" spans="1:17" x14ac:dyDescent="0.25">
      <c r="A542" s="39">
        <v>45417</v>
      </c>
      <c r="B542" s="38" t="s">
        <v>256</v>
      </c>
      <c r="C542" s="38" t="s">
        <v>6</v>
      </c>
      <c r="D542" s="38" t="s">
        <v>392</v>
      </c>
      <c r="E542" s="38" t="s">
        <v>417</v>
      </c>
      <c r="F542" s="38" t="s">
        <v>192</v>
      </c>
      <c r="G542" s="38" t="s">
        <v>138</v>
      </c>
      <c r="H542" s="9"/>
      <c r="I542" s="38" t="s">
        <v>262</v>
      </c>
      <c r="J542" s="38">
        <v>0</v>
      </c>
      <c r="K542">
        <v>0</v>
      </c>
      <c r="L542">
        <v>0</v>
      </c>
      <c r="M542">
        <v>0</v>
      </c>
      <c r="N542" s="38">
        <v>0</v>
      </c>
      <c r="O542" s="38"/>
      <c r="P542" s="38" t="s">
        <v>149</v>
      </c>
      <c r="Q542" s="38"/>
    </row>
    <row r="543" spans="1:17" x14ac:dyDescent="0.25">
      <c r="A543" s="39">
        <v>45417</v>
      </c>
      <c r="B543" s="38" t="s">
        <v>257</v>
      </c>
      <c r="C543" s="38" t="s">
        <v>6</v>
      </c>
      <c r="D543" s="38" t="s">
        <v>392</v>
      </c>
      <c r="E543" s="38" t="s">
        <v>417</v>
      </c>
      <c r="F543" s="38" t="s">
        <v>192</v>
      </c>
      <c r="G543" s="38" t="s">
        <v>138</v>
      </c>
      <c r="H543" s="9"/>
      <c r="I543" s="38" t="s">
        <v>58</v>
      </c>
      <c r="J543" s="38">
        <v>0</v>
      </c>
      <c r="K543">
        <v>0</v>
      </c>
      <c r="L543">
        <v>0</v>
      </c>
      <c r="M543">
        <v>0</v>
      </c>
      <c r="N543" s="38">
        <v>38.46</v>
      </c>
      <c r="O543" s="38"/>
      <c r="P543" s="38" t="s">
        <v>149</v>
      </c>
      <c r="Q543" s="38"/>
    </row>
    <row r="544" spans="1:17" x14ac:dyDescent="0.25">
      <c r="A544" s="39">
        <v>45417</v>
      </c>
      <c r="B544" s="38" t="s">
        <v>37</v>
      </c>
      <c r="C544" s="38" t="s">
        <v>6</v>
      </c>
      <c r="D544" s="38" t="s">
        <v>347</v>
      </c>
      <c r="E544" s="38" t="s">
        <v>348</v>
      </c>
      <c r="F544" s="38" t="s">
        <v>346</v>
      </c>
      <c r="G544" s="38" t="s">
        <v>138</v>
      </c>
      <c r="H544" s="9" t="s">
        <v>425</v>
      </c>
      <c r="I544" s="38" t="s">
        <v>58</v>
      </c>
      <c r="J544" s="38">
        <v>0</v>
      </c>
      <c r="K544">
        <v>0</v>
      </c>
      <c r="L544">
        <v>0</v>
      </c>
      <c r="M544">
        <v>0</v>
      </c>
      <c r="N544" s="38">
        <v>13.5</v>
      </c>
      <c r="O544" s="38"/>
      <c r="P544" s="38" t="s">
        <v>270</v>
      </c>
      <c r="Q544" s="38"/>
    </row>
    <row r="545" spans="1:17" x14ac:dyDescent="0.25">
      <c r="A545" s="39">
        <v>45417</v>
      </c>
      <c r="B545" s="38" t="s">
        <v>258</v>
      </c>
      <c r="C545" s="38" t="s">
        <v>6</v>
      </c>
      <c r="D545" s="38"/>
      <c r="E545" s="38"/>
      <c r="F545" s="38"/>
      <c r="G545" s="38" t="s">
        <v>138</v>
      </c>
      <c r="H545" s="9" t="s">
        <v>426</v>
      </c>
      <c r="I545" s="38" t="s">
        <v>262</v>
      </c>
      <c r="J545" s="38">
        <v>0</v>
      </c>
      <c r="K545">
        <v>0</v>
      </c>
      <c r="L545">
        <v>0</v>
      </c>
      <c r="M545">
        <v>0</v>
      </c>
      <c r="N545" s="38">
        <v>13.5</v>
      </c>
      <c r="O545" s="38"/>
      <c r="P545" s="38" t="s">
        <v>148</v>
      </c>
      <c r="Q545" s="38"/>
    </row>
    <row r="546" spans="1:17" x14ac:dyDescent="0.25">
      <c r="A546" s="39">
        <v>45417</v>
      </c>
      <c r="B546" s="38" t="s">
        <v>259</v>
      </c>
      <c r="C546" s="38" t="s">
        <v>6</v>
      </c>
      <c r="D546" s="38"/>
      <c r="E546" s="38"/>
      <c r="F546" s="38"/>
      <c r="G546" s="38" t="s">
        <v>138</v>
      </c>
      <c r="H546" s="9" t="s">
        <v>426</v>
      </c>
      <c r="I546" s="38" t="s">
        <v>262</v>
      </c>
      <c r="J546" s="38">
        <v>0</v>
      </c>
      <c r="K546">
        <v>0</v>
      </c>
      <c r="L546">
        <v>0</v>
      </c>
      <c r="M546">
        <v>0</v>
      </c>
      <c r="N546" s="38">
        <v>41.06</v>
      </c>
      <c r="O546" s="38"/>
      <c r="P546" s="38" t="s">
        <v>148</v>
      </c>
      <c r="Q546" s="38"/>
    </row>
    <row r="547" spans="1:17" x14ac:dyDescent="0.25">
      <c r="A547" s="39">
        <v>45417</v>
      </c>
      <c r="B547" s="38" t="s">
        <v>54</v>
      </c>
      <c r="C547" s="38" t="s">
        <v>6</v>
      </c>
      <c r="D547" s="38" t="s">
        <v>55</v>
      </c>
      <c r="E547" s="38" t="s">
        <v>56</v>
      </c>
      <c r="F547" s="38" t="s">
        <v>57</v>
      </c>
      <c r="G547" s="38" t="s">
        <v>138</v>
      </c>
      <c r="H547" s="9" t="s">
        <v>427</v>
      </c>
      <c r="I547" s="38" t="s">
        <v>58</v>
      </c>
      <c r="J547" s="38">
        <v>0</v>
      </c>
      <c r="K547">
        <v>0</v>
      </c>
      <c r="L547">
        <v>0</v>
      </c>
      <c r="M547">
        <v>0</v>
      </c>
      <c r="N547" s="38">
        <v>41.06</v>
      </c>
      <c r="O547" s="38"/>
      <c r="P547" s="38" t="s">
        <v>159</v>
      </c>
      <c r="Q547" s="38"/>
    </row>
    <row r="548" spans="1:17" x14ac:dyDescent="0.25">
      <c r="A548" s="39">
        <v>45417</v>
      </c>
      <c r="B548" s="38" t="s">
        <v>136</v>
      </c>
      <c r="C548" s="38" t="s">
        <v>7</v>
      </c>
      <c r="D548" s="38" t="s">
        <v>174</v>
      </c>
      <c r="E548" s="38" t="s">
        <v>81</v>
      </c>
      <c r="F548" s="38" t="s">
        <v>90</v>
      </c>
      <c r="G548" s="38" t="s">
        <v>138</v>
      </c>
      <c r="H548" s="9" t="s">
        <v>160</v>
      </c>
      <c r="I548" s="38" t="s">
        <v>58</v>
      </c>
      <c r="J548" s="38">
        <v>0</v>
      </c>
      <c r="K548">
        <v>0</v>
      </c>
      <c r="L548">
        <v>0</v>
      </c>
      <c r="M548">
        <v>0</v>
      </c>
      <c r="N548" s="38">
        <v>42144554</v>
      </c>
      <c r="O548" s="38"/>
      <c r="P548" s="38" t="s">
        <v>153</v>
      </c>
      <c r="Q548" s="38"/>
    </row>
    <row r="549" spans="1:17" x14ac:dyDescent="0.25">
      <c r="A549" s="39">
        <v>45417</v>
      </c>
      <c r="B549" s="38" t="s">
        <v>135</v>
      </c>
      <c r="C549" s="38" t="s">
        <v>7</v>
      </c>
      <c r="D549" s="38" t="s">
        <v>332</v>
      </c>
      <c r="E549" s="38" t="s">
        <v>81</v>
      </c>
      <c r="F549" s="38" t="s">
        <v>90</v>
      </c>
      <c r="G549" s="38" t="s">
        <v>138</v>
      </c>
      <c r="H549" s="9" t="s">
        <v>161</v>
      </c>
      <c r="I549" s="38" t="s">
        <v>58</v>
      </c>
      <c r="J549" s="38">
        <v>0</v>
      </c>
      <c r="K549">
        <v>0</v>
      </c>
      <c r="L549">
        <v>0</v>
      </c>
      <c r="M549">
        <v>0</v>
      </c>
      <c r="N549" s="38">
        <v>24.09</v>
      </c>
      <c r="O549" s="38"/>
      <c r="P549" s="38" t="s">
        <v>148</v>
      </c>
      <c r="Q549" s="38"/>
    </row>
    <row r="550" spans="1:17" x14ac:dyDescent="0.25">
      <c r="A550" s="39">
        <v>45417</v>
      </c>
      <c r="B550" s="38" t="s">
        <v>134</v>
      </c>
      <c r="C550" s="38" t="s">
        <v>7</v>
      </c>
      <c r="D550" s="38" t="s">
        <v>175</v>
      </c>
      <c r="E550" s="38" t="s">
        <v>81</v>
      </c>
      <c r="F550" s="38" t="s">
        <v>90</v>
      </c>
      <c r="G550" s="38" t="s">
        <v>138</v>
      </c>
      <c r="H550" s="9" t="s">
        <v>206</v>
      </c>
      <c r="I550" s="38" t="s">
        <v>58</v>
      </c>
      <c r="J550" s="38">
        <v>0</v>
      </c>
      <c r="K550">
        <v>0</v>
      </c>
      <c r="L550">
        <v>0</v>
      </c>
      <c r="M550">
        <v>0</v>
      </c>
      <c r="N550" s="38">
        <v>0</v>
      </c>
      <c r="O550" s="38"/>
      <c r="P550" s="38" t="s">
        <v>148</v>
      </c>
      <c r="Q550" s="38"/>
    </row>
    <row r="551" spans="1:17" x14ac:dyDescent="0.25">
      <c r="A551" s="39">
        <v>45417</v>
      </c>
      <c r="B551" s="38" t="s">
        <v>132</v>
      </c>
      <c r="C551" s="38" t="s">
        <v>7</v>
      </c>
      <c r="D551" s="38" t="s">
        <v>133</v>
      </c>
      <c r="E551" s="38" t="s">
        <v>126</v>
      </c>
      <c r="F551" s="38" t="s">
        <v>199</v>
      </c>
      <c r="G551" s="38" t="s">
        <v>138</v>
      </c>
      <c r="H551" s="9" t="s">
        <v>162</v>
      </c>
      <c r="I551" s="38" t="s">
        <v>58</v>
      </c>
      <c r="J551" s="38">
        <v>0</v>
      </c>
      <c r="K551">
        <v>0</v>
      </c>
      <c r="L551">
        <v>0</v>
      </c>
      <c r="M551">
        <v>0</v>
      </c>
      <c r="N551" s="38">
        <v>38.369999999999997</v>
      </c>
      <c r="O551" s="38"/>
      <c r="P551" s="38" t="s">
        <v>149</v>
      </c>
      <c r="Q551" s="38"/>
    </row>
    <row r="552" spans="1:17" x14ac:dyDescent="0.25">
      <c r="A552" s="39">
        <v>45417</v>
      </c>
      <c r="B552" s="38" t="s">
        <v>131</v>
      </c>
      <c r="C552" s="38" t="s">
        <v>7</v>
      </c>
      <c r="D552" s="38" t="s">
        <v>396</v>
      </c>
      <c r="E552" s="38" t="s">
        <v>60</v>
      </c>
      <c r="F552" s="38" t="s">
        <v>90</v>
      </c>
      <c r="G552" s="38" t="s">
        <v>138</v>
      </c>
      <c r="H552" s="9" t="s">
        <v>163</v>
      </c>
      <c r="I552" s="38" t="s">
        <v>58</v>
      </c>
      <c r="J552" s="38">
        <v>0</v>
      </c>
      <c r="K552">
        <v>0</v>
      </c>
      <c r="L552">
        <v>0</v>
      </c>
      <c r="M552">
        <v>0</v>
      </c>
      <c r="N552" s="38">
        <v>23.93</v>
      </c>
      <c r="O552" s="38"/>
      <c r="P552" s="38" t="s">
        <v>154</v>
      </c>
      <c r="Q552" s="38"/>
    </row>
    <row r="553" spans="1:17" x14ac:dyDescent="0.25">
      <c r="A553" s="39">
        <v>45417</v>
      </c>
      <c r="B553" s="38" t="s">
        <v>130</v>
      </c>
      <c r="C553" s="38" t="s">
        <v>7</v>
      </c>
      <c r="D553" s="38" t="s">
        <v>191</v>
      </c>
      <c r="E553" s="38" t="s">
        <v>81</v>
      </c>
      <c r="F553" s="38" t="s">
        <v>285</v>
      </c>
      <c r="G553" s="38" t="s">
        <v>138</v>
      </c>
      <c r="H553" s="9" t="s">
        <v>420</v>
      </c>
      <c r="I553" s="38" t="s">
        <v>58</v>
      </c>
      <c r="J553" s="38">
        <v>0</v>
      </c>
      <c r="K553">
        <v>0</v>
      </c>
      <c r="L553">
        <v>0</v>
      </c>
      <c r="M553">
        <v>0</v>
      </c>
      <c r="N553" s="38">
        <v>14.99</v>
      </c>
      <c r="O553" s="38"/>
      <c r="P553" s="38" t="s">
        <v>148</v>
      </c>
      <c r="Q553" s="38"/>
    </row>
    <row r="554" spans="1:17" x14ac:dyDescent="0.25">
      <c r="A554" s="39">
        <v>45417</v>
      </c>
      <c r="B554" s="38" t="s">
        <v>128</v>
      </c>
      <c r="C554" s="38" t="s">
        <v>7</v>
      </c>
      <c r="D554" s="38" t="s">
        <v>129</v>
      </c>
      <c r="E554" s="38" t="s">
        <v>126</v>
      </c>
      <c r="F554" s="38" t="s">
        <v>199</v>
      </c>
      <c r="G554" s="38" t="s">
        <v>138</v>
      </c>
      <c r="H554" s="9" t="s">
        <v>164</v>
      </c>
      <c r="I554" s="38" t="s">
        <v>58</v>
      </c>
      <c r="J554" s="38">
        <v>0</v>
      </c>
      <c r="K554">
        <v>0</v>
      </c>
      <c r="L554">
        <v>0</v>
      </c>
      <c r="M554">
        <v>0</v>
      </c>
      <c r="N554" s="38">
        <v>41.06</v>
      </c>
      <c r="O554" s="38"/>
      <c r="P554" s="38" t="s">
        <v>149</v>
      </c>
      <c r="Q554" s="38"/>
    </row>
    <row r="555" spans="1:17" x14ac:dyDescent="0.25">
      <c r="A555" s="39">
        <v>45417</v>
      </c>
      <c r="B555" s="38" t="s">
        <v>40</v>
      </c>
      <c r="C555" s="38" t="s">
        <v>7</v>
      </c>
      <c r="D555" s="38" t="s">
        <v>397</v>
      </c>
      <c r="E555" s="38" t="s">
        <v>60</v>
      </c>
      <c r="F555" s="38" t="s">
        <v>200</v>
      </c>
      <c r="G555" s="38" t="s">
        <v>138</v>
      </c>
      <c r="H555" s="9" t="s">
        <v>165</v>
      </c>
      <c r="I555" s="38" t="s">
        <v>58</v>
      </c>
      <c r="J555" s="38">
        <v>0</v>
      </c>
      <c r="K555">
        <v>0</v>
      </c>
      <c r="L555">
        <v>0</v>
      </c>
      <c r="M555">
        <v>0</v>
      </c>
      <c r="N555" s="38">
        <v>14.92</v>
      </c>
      <c r="O555" s="38"/>
      <c r="P555" s="38" t="s">
        <v>153</v>
      </c>
      <c r="Q555" s="38"/>
    </row>
    <row r="556" spans="1:17" x14ac:dyDescent="0.25">
      <c r="A556" s="39">
        <v>45417</v>
      </c>
      <c r="B556" s="38" t="s">
        <v>127</v>
      </c>
      <c r="C556" s="38" t="s">
        <v>7</v>
      </c>
      <c r="D556" s="38" t="s">
        <v>203</v>
      </c>
      <c r="E556" s="38" t="s">
        <v>81</v>
      </c>
      <c r="F556" s="38" t="s">
        <v>285</v>
      </c>
      <c r="G556" s="38" t="s">
        <v>138</v>
      </c>
      <c r="H556" s="9" t="s">
        <v>207</v>
      </c>
      <c r="I556" s="38" t="s">
        <v>58</v>
      </c>
      <c r="J556" s="38">
        <v>0</v>
      </c>
      <c r="K556">
        <v>0</v>
      </c>
      <c r="L556">
        <v>0</v>
      </c>
      <c r="M556">
        <v>0</v>
      </c>
      <c r="N556" s="38">
        <v>20.85</v>
      </c>
      <c r="O556" s="38"/>
      <c r="P556" s="38" t="s">
        <v>151</v>
      </c>
      <c r="Q556" s="38"/>
    </row>
    <row r="557" spans="1:17" x14ac:dyDescent="0.25">
      <c r="A557" s="39">
        <v>45417</v>
      </c>
      <c r="B557" s="38" t="s">
        <v>124</v>
      </c>
      <c r="C557" s="38" t="s">
        <v>7</v>
      </c>
      <c r="D557" s="38" t="s">
        <v>340</v>
      </c>
      <c r="E557" s="38" t="s">
        <v>126</v>
      </c>
      <c r="F557" s="38" t="s">
        <v>199</v>
      </c>
      <c r="G557" s="38" t="s">
        <v>138</v>
      </c>
      <c r="H557" s="9" t="s">
        <v>166</v>
      </c>
      <c r="I557" s="38" t="s">
        <v>58</v>
      </c>
      <c r="J557" s="38">
        <v>0</v>
      </c>
      <c r="K557">
        <v>0</v>
      </c>
      <c r="L557">
        <v>0</v>
      </c>
      <c r="M557">
        <v>0</v>
      </c>
      <c r="N557" s="38">
        <v>39863813</v>
      </c>
      <c r="O557" s="38"/>
      <c r="P557" s="38" t="s">
        <v>149</v>
      </c>
      <c r="Q557" s="38"/>
    </row>
    <row r="558" spans="1:17" x14ac:dyDescent="0.25">
      <c r="A558" s="39">
        <v>45417</v>
      </c>
      <c r="B558" s="38" t="s">
        <v>122</v>
      </c>
      <c r="C558" s="38" t="s">
        <v>7</v>
      </c>
      <c r="D558" s="38" t="s">
        <v>356</v>
      </c>
      <c r="E558" s="38" t="s">
        <v>81</v>
      </c>
      <c r="F558" s="38" t="s">
        <v>90</v>
      </c>
      <c r="G558" s="38" t="s">
        <v>138</v>
      </c>
      <c r="H558" s="9" t="s">
        <v>167</v>
      </c>
      <c r="I558" s="38" t="s">
        <v>58</v>
      </c>
      <c r="J558" s="38">
        <v>0</v>
      </c>
      <c r="K558">
        <v>0</v>
      </c>
      <c r="L558">
        <v>0</v>
      </c>
      <c r="M558">
        <v>0</v>
      </c>
      <c r="N558" s="38">
        <v>20.9</v>
      </c>
      <c r="O558" s="38"/>
      <c r="P558" s="38" t="s">
        <v>148</v>
      </c>
      <c r="Q558" s="38"/>
    </row>
    <row r="559" spans="1:17" x14ac:dyDescent="0.25">
      <c r="A559" s="39">
        <v>45417</v>
      </c>
      <c r="B559" s="38" t="s">
        <v>120</v>
      </c>
      <c r="C559" s="38" t="s">
        <v>7</v>
      </c>
      <c r="D559" s="38" t="s">
        <v>333</v>
      </c>
      <c r="E559" s="38" t="s">
        <v>375</v>
      </c>
      <c r="F559" s="38" t="s">
        <v>285</v>
      </c>
      <c r="G559" s="38" t="s">
        <v>138</v>
      </c>
      <c r="H559" s="9" t="s">
        <v>121</v>
      </c>
      <c r="I559" s="38" t="s">
        <v>58</v>
      </c>
      <c r="J559" s="38">
        <v>0</v>
      </c>
      <c r="K559">
        <v>0</v>
      </c>
      <c r="L559">
        <v>0</v>
      </c>
      <c r="M559">
        <v>0</v>
      </c>
      <c r="N559" s="38">
        <v>41.69</v>
      </c>
      <c r="O559" s="38"/>
      <c r="P559" s="38" t="s">
        <v>151</v>
      </c>
      <c r="Q559" s="38"/>
    </row>
    <row r="560" spans="1:17" x14ac:dyDescent="0.25">
      <c r="A560" s="39">
        <v>45417</v>
      </c>
      <c r="B560" s="38" t="s">
        <v>119</v>
      </c>
      <c r="C560" s="38" t="s">
        <v>7</v>
      </c>
      <c r="D560" s="38" t="s">
        <v>178</v>
      </c>
      <c r="E560" s="38" t="s">
        <v>399</v>
      </c>
      <c r="F560" s="38" t="s">
        <v>192</v>
      </c>
      <c r="G560" s="38" t="s">
        <v>138</v>
      </c>
      <c r="H560" s="9" t="s">
        <v>168</v>
      </c>
      <c r="I560" s="38" t="s">
        <v>58</v>
      </c>
      <c r="J560" s="38">
        <v>0</v>
      </c>
      <c r="K560">
        <v>0</v>
      </c>
      <c r="L560">
        <v>0</v>
      </c>
      <c r="M560">
        <v>0</v>
      </c>
      <c r="N560" s="38">
        <v>41.62</v>
      </c>
      <c r="O560" s="38"/>
      <c r="P560" s="38" t="s">
        <v>149</v>
      </c>
      <c r="Q560" s="38"/>
    </row>
    <row r="561" spans="1:17" x14ac:dyDescent="0.25">
      <c r="A561" s="39">
        <v>45417</v>
      </c>
      <c r="B561" s="38" t="s">
        <v>117</v>
      </c>
      <c r="C561" s="38" t="s">
        <v>7</v>
      </c>
      <c r="D561" s="38" t="s">
        <v>349</v>
      </c>
      <c r="E561" s="38" t="s">
        <v>398</v>
      </c>
      <c r="F561" s="38" t="s">
        <v>90</v>
      </c>
      <c r="G561" s="38" t="s">
        <v>138</v>
      </c>
      <c r="H561" s="9" t="s">
        <v>118</v>
      </c>
      <c r="I561" s="38" t="s">
        <v>58</v>
      </c>
      <c r="J561" s="38">
        <v>0</v>
      </c>
      <c r="K561">
        <v>0</v>
      </c>
      <c r="L561">
        <v>0</v>
      </c>
      <c r="M561">
        <v>0</v>
      </c>
      <c r="N561" s="38">
        <v>34.69</v>
      </c>
      <c r="O561" s="38"/>
      <c r="P561" s="38" t="s">
        <v>151</v>
      </c>
      <c r="Q561" s="38"/>
    </row>
    <row r="562" spans="1:17" x14ac:dyDescent="0.25">
      <c r="A562" s="39">
        <v>45417</v>
      </c>
      <c r="B562" s="38" t="s">
        <v>39</v>
      </c>
      <c r="C562" s="38" t="s">
        <v>7</v>
      </c>
      <c r="D562" s="38" t="s">
        <v>177</v>
      </c>
      <c r="E562" s="38" t="s">
        <v>377</v>
      </c>
      <c r="F562" s="38" t="s">
        <v>90</v>
      </c>
      <c r="G562" s="38" t="s">
        <v>138</v>
      </c>
      <c r="H562" s="9" t="s">
        <v>116</v>
      </c>
      <c r="I562" s="38" t="s">
        <v>58</v>
      </c>
      <c r="J562" s="38">
        <v>0</v>
      </c>
      <c r="K562">
        <v>0</v>
      </c>
      <c r="L562">
        <v>0</v>
      </c>
      <c r="M562">
        <v>0</v>
      </c>
      <c r="N562" s="38">
        <v>41.24</v>
      </c>
      <c r="O562" s="38"/>
      <c r="P562" s="38" t="s">
        <v>151</v>
      </c>
      <c r="Q562" s="38"/>
    </row>
    <row r="563" spans="1:17" x14ac:dyDescent="0.25">
      <c r="A563" s="39">
        <v>45417</v>
      </c>
      <c r="B563" s="38" t="s">
        <v>113</v>
      </c>
      <c r="C563" s="38" t="s">
        <v>7</v>
      </c>
      <c r="D563" s="38" t="s">
        <v>188</v>
      </c>
      <c r="E563" s="38" t="s">
        <v>126</v>
      </c>
      <c r="F563" s="38" t="s">
        <v>199</v>
      </c>
      <c r="G563" s="38" t="s">
        <v>138</v>
      </c>
      <c r="H563" s="9" t="s">
        <v>114</v>
      </c>
      <c r="I563" s="38" t="s">
        <v>58</v>
      </c>
      <c r="J563" s="38">
        <v>0</v>
      </c>
      <c r="K563">
        <v>0</v>
      </c>
      <c r="L563">
        <v>0</v>
      </c>
      <c r="M563">
        <v>0</v>
      </c>
      <c r="N563" s="38">
        <v>41.35</v>
      </c>
      <c r="O563" s="38"/>
      <c r="P563" s="38" t="s">
        <v>149</v>
      </c>
      <c r="Q563" s="38"/>
    </row>
    <row r="564" spans="1:17" x14ac:dyDescent="0.25">
      <c r="A564" s="39">
        <v>45417</v>
      </c>
      <c r="B564" s="38" t="s">
        <v>111</v>
      </c>
      <c r="C564" s="38" t="s">
        <v>7</v>
      </c>
      <c r="D564" s="38" t="s">
        <v>189</v>
      </c>
      <c r="E564" s="38" t="s">
        <v>81</v>
      </c>
      <c r="F564" s="38" t="s">
        <v>285</v>
      </c>
      <c r="G564" s="38" t="s">
        <v>138</v>
      </c>
      <c r="H564" s="9" t="s">
        <v>112</v>
      </c>
      <c r="I564" s="38" t="s">
        <v>58</v>
      </c>
      <c r="J564" s="38">
        <v>0</v>
      </c>
      <c r="K564">
        <v>0</v>
      </c>
      <c r="L564">
        <v>0</v>
      </c>
      <c r="M564">
        <v>0</v>
      </c>
      <c r="N564" s="38">
        <v>20.48</v>
      </c>
      <c r="O564" s="38"/>
      <c r="P564" s="38" t="s">
        <v>153</v>
      </c>
      <c r="Q564" s="38"/>
    </row>
    <row r="565" spans="1:17" x14ac:dyDescent="0.25">
      <c r="A565" s="39">
        <v>45417</v>
      </c>
      <c r="B565" s="38" t="s">
        <v>109</v>
      </c>
      <c r="C565" s="38" t="s">
        <v>7</v>
      </c>
      <c r="D565" s="38" t="s">
        <v>142</v>
      </c>
      <c r="E565" s="38" t="s">
        <v>56</v>
      </c>
      <c r="F565" s="38" t="s">
        <v>199</v>
      </c>
      <c r="G565" s="38" t="s">
        <v>138</v>
      </c>
      <c r="H565" s="9" t="s">
        <v>110</v>
      </c>
      <c r="I565" s="38" t="s">
        <v>58</v>
      </c>
      <c r="J565" s="38">
        <v>0</v>
      </c>
      <c r="K565">
        <v>0</v>
      </c>
      <c r="L565">
        <v>0</v>
      </c>
      <c r="M565">
        <v>0</v>
      </c>
      <c r="N565" s="38">
        <v>41.05</v>
      </c>
      <c r="O565" s="38"/>
      <c r="P565" s="38" t="s">
        <v>149</v>
      </c>
      <c r="Q565" s="38"/>
    </row>
    <row r="566" spans="1:17" x14ac:dyDescent="0.25">
      <c r="A566" s="39">
        <v>45417</v>
      </c>
      <c r="B566" s="38" t="s">
        <v>107</v>
      </c>
      <c r="C566" s="38" t="s">
        <v>7</v>
      </c>
      <c r="D566" s="38" t="s">
        <v>401</v>
      </c>
      <c r="E566" s="38" t="s">
        <v>56</v>
      </c>
      <c r="F566" s="38" t="s">
        <v>93</v>
      </c>
      <c r="G566" s="38" t="s">
        <v>138</v>
      </c>
      <c r="H566" s="9" t="s">
        <v>108</v>
      </c>
      <c r="I566" s="38" t="s">
        <v>58</v>
      </c>
      <c r="J566" s="38">
        <v>0</v>
      </c>
      <c r="K566">
        <v>0</v>
      </c>
      <c r="L566">
        <v>0</v>
      </c>
      <c r="M566">
        <v>0</v>
      </c>
      <c r="N566" s="38">
        <v>12.09</v>
      </c>
      <c r="O566" s="38"/>
      <c r="P566" s="38" t="s">
        <v>403</v>
      </c>
      <c r="Q566" s="38"/>
    </row>
    <row r="567" spans="1:17" x14ac:dyDescent="0.25">
      <c r="A567" s="39">
        <v>45417</v>
      </c>
      <c r="B567" s="38" t="s">
        <v>41</v>
      </c>
      <c r="C567" s="38" t="s">
        <v>7</v>
      </c>
      <c r="D567" s="38" t="s">
        <v>123</v>
      </c>
      <c r="E567" s="38" t="s">
        <v>81</v>
      </c>
      <c r="F567" s="38" t="s">
        <v>285</v>
      </c>
      <c r="G567" s="38" t="s">
        <v>138</v>
      </c>
      <c r="H567" s="9" t="s">
        <v>106</v>
      </c>
      <c r="I567" s="38" t="s">
        <v>58</v>
      </c>
      <c r="J567" s="38">
        <v>0</v>
      </c>
      <c r="K567">
        <v>0</v>
      </c>
      <c r="L567">
        <v>0</v>
      </c>
      <c r="M567">
        <v>0</v>
      </c>
      <c r="N567" s="38">
        <v>17.88</v>
      </c>
      <c r="O567" s="38"/>
      <c r="P567" s="38" t="s">
        <v>152</v>
      </c>
      <c r="Q567" s="38"/>
    </row>
    <row r="568" spans="1:17" x14ac:dyDescent="0.25">
      <c r="A568" s="39">
        <v>45417</v>
      </c>
      <c r="B568" s="38" t="s">
        <v>43</v>
      </c>
      <c r="C568" s="38" t="s">
        <v>7</v>
      </c>
      <c r="D568" s="38" t="s">
        <v>282</v>
      </c>
      <c r="E568" s="38" t="s">
        <v>275</v>
      </c>
      <c r="F568" s="38" t="s">
        <v>276</v>
      </c>
      <c r="G568" s="38" t="s">
        <v>138</v>
      </c>
      <c r="H568" s="9" t="s">
        <v>208</v>
      </c>
      <c r="I568" s="38" t="s">
        <v>58</v>
      </c>
      <c r="J568" s="38">
        <v>0</v>
      </c>
      <c r="K568">
        <v>0</v>
      </c>
      <c r="L568">
        <v>0</v>
      </c>
      <c r="M568">
        <v>0</v>
      </c>
      <c r="N568" s="38">
        <v>17.25</v>
      </c>
      <c r="O568" s="38"/>
      <c r="P568" s="38" t="s">
        <v>154</v>
      </c>
      <c r="Q568" s="38"/>
    </row>
    <row r="569" spans="1:17" x14ac:dyDescent="0.25">
      <c r="A569" s="39">
        <v>45417</v>
      </c>
      <c r="B569" s="38" t="s">
        <v>5</v>
      </c>
      <c r="C569" s="38" t="s">
        <v>7</v>
      </c>
      <c r="D569" s="38" t="s">
        <v>283</v>
      </c>
      <c r="E569" s="38" t="s">
        <v>60</v>
      </c>
      <c r="F569" s="38" t="s">
        <v>285</v>
      </c>
      <c r="G569" s="38" t="s">
        <v>138</v>
      </c>
      <c r="H569" s="9" t="s">
        <v>209</v>
      </c>
      <c r="I569" s="38" t="s">
        <v>58</v>
      </c>
      <c r="J569" s="38">
        <v>0</v>
      </c>
      <c r="K569">
        <v>0</v>
      </c>
      <c r="L569">
        <v>0</v>
      </c>
      <c r="M569">
        <v>0</v>
      </c>
      <c r="N569" s="38">
        <v>16.46</v>
      </c>
      <c r="O569" s="38"/>
      <c r="P569" s="38" t="s">
        <v>153</v>
      </c>
      <c r="Q569" s="38"/>
    </row>
    <row r="570" spans="1:17" x14ac:dyDescent="0.25">
      <c r="A570" s="39">
        <v>45417</v>
      </c>
      <c r="B570" s="38" t="s">
        <v>9</v>
      </c>
      <c r="C570" s="38" t="s">
        <v>7</v>
      </c>
      <c r="D570" s="38" t="s">
        <v>189</v>
      </c>
      <c r="E570" s="38" t="s">
        <v>360</v>
      </c>
      <c r="F570" s="38" t="s">
        <v>276</v>
      </c>
      <c r="G570" s="38" t="s">
        <v>138</v>
      </c>
      <c r="H570" s="9" t="s">
        <v>210</v>
      </c>
      <c r="I570" s="38" t="s">
        <v>58</v>
      </c>
      <c r="J570" s="38">
        <v>0</v>
      </c>
      <c r="K570">
        <v>0</v>
      </c>
      <c r="L570">
        <v>0</v>
      </c>
      <c r="M570">
        <v>0</v>
      </c>
      <c r="N570" s="38">
        <v>23.18</v>
      </c>
      <c r="O570" s="38"/>
      <c r="P570" s="38" t="s">
        <v>153</v>
      </c>
      <c r="Q570" s="38"/>
    </row>
    <row r="571" spans="1:17" x14ac:dyDescent="0.25">
      <c r="A571" s="39">
        <v>45417</v>
      </c>
      <c r="B571" s="38" t="s">
        <v>10</v>
      </c>
      <c r="C571" s="38" t="s">
        <v>7</v>
      </c>
      <c r="D571" s="38" t="s">
        <v>263</v>
      </c>
      <c r="E571" s="38" t="s">
        <v>342</v>
      </c>
      <c r="F571" s="38" t="s">
        <v>90</v>
      </c>
      <c r="G571" s="38" t="s">
        <v>138</v>
      </c>
      <c r="H571" s="9" t="s">
        <v>211</v>
      </c>
      <c r="I571" s="38" t="s">
        <v>58</v>
      </c>
      <c r="J571" s="38">
        <v>0</v>
      </c>
      <c r="K571">
        <v>0</v>
      </c>
      <c r="L571">
        <v>0</v>
      </c>
      <c r="M571">
        <v>0</v>
      </c>
      <c r="N571" s="38">
        <v>74.34</v>
      </c>
      <c r="O571" s="38"/>
      <c r="P571" s="38" t="s">
        <v>151</v>
      </c>
      <c r="Q571" s="38"/>
    </row>
    <row r="572" spans="1:17" x14ac:dyDescent="0.25">
      <c r="A572" s="39">
        <v>45417</v>
      </c>
      <c r="B572" s="38" t="s">
        <v>11</v>
      </c>
      <c r="C572" s="38" t="s">
        <v>7</v>
      </c>
      <c r="D572" s="38" t="s">
        <v>205</v>
      </c>
      <c r="E572" s="38" t="s">
        <v>60</v>
      </c>
      <c r="F572" s="38" t="s">
        <v>93</v>
      </c>
      <c r="G572" s="38" t="s">
        <v>138</v>
      </c>
      <c r="H572" s="9" t="s">
        <v>212</v>
      </c>
      <c r="I572" s="38" t="s">
        <v>58</v>
      </c>
      <c r="J572" s="38">
        <v>0</v>
      </c>
      <c r="K572">
        <v>0</v>
      </c>
      <c r="L572">
        <v>0</v>
      </c>
      <c r="M572">
        <v>0</v>
      </c>
      <c r="N572" s="38">
        <v>11.39</v>
      </c>
      <c r="O572" s="38"/>
      <c r="P572" s="38" t="s">
        <v>147</v>
      </c>
      <c r="Q572" s="38"/>
    </row>
    <row r="573" spans="1:17" x14ac:dyDescent="0.25">
      <c r="A573" s="39">
        <v>45417</v>
      </c>
      <c r="B573" s="38" t="s">
        <v>12</v>
      </c>
      <c r="C573" s="38" t="s">
        <v>7</v>
      </c>
      <c r="D573" s="38" t="s">
        <v>286</v>
      </c>
      <c r="E573" s="38" t="s">
        <v>60</v>
      </c>
      <c r="F573" s="38" t="s">
        <v>285</v>
      </c>
      <c r="G573" s="38" t="s">
        <v>138</v>
      </c>
      <c r="H573" s="9" t="s">
        <v>213</v>
      </c>
      <c r="I573" s="38" t="s">
        <v>58</v>
      </c>
      <c r="J573" s="38">
        <v>0</v>
      </c>
      <c r="K573">
        <v>0</v>
      </c>
      <c r="L573">
        <v>0</v>
      </c>
      <c r="M573">
        <v>0</v>
      </c>
      <c r="N573" s="38">
        <v>11.98</v>
      </c>
      <c r="O573" s="38"/>
      <c r="P573" s="38" t="s">
        <v>154</v>
      </c>
      <c r="Q573" s="38"/>
    </row>
    <row r="574" spans="1:17" x14ac:dyDescent="0.25">
      <c r="A574" s="39">
        <v>45417</v>
      </c>
      <c r="B574" s="38" t="s">
        <v>105</v>
      </c>
      <c r="C574" s="38" t="s">
        <v>7</v>
      </c>
      <c r="D574" s="38" t="s">
        <v>267</v>
      </c>
      <c r="E574" s="38" t="s">
        <v>60</v>
      </c>
      <c r="F574" s="38" t="s">
        <v>93</v>
      </c>
      <c r="G574" s="38" t="s">
        <v>138</v>
      </c>
      <c r="H574" s="9" t="s">
        <v>214</v>
      </c>
      <c r="I574" s="38" t="s">
        <v>58</v>
      </c>
      <c r="J574" s="38">
        <v>0</v>
      </c>
      <c r="K574">
        <v>0</v>
      </c>
      <c r="L574">
        <v>0</v>
      </c>
      <c r="M574">
        <v>0</v>
      </c>
      <c r="N574" s="38">
        <v>12.39</v>
      </c>
      <c r="O574" s="38"/>
      <c r="P574" s="38" t="s">
        <v>147</v>
      </c>
      <c r="Q574" s="38"/>
    </row>
    <row r="575" spans="1:17" x14ac:dyDescent="0.25">
      <c r="A575" s="39">
        <v>45417</v>
      </c>
      <c r="B575" s="38" t="s">
        <v>104</v>
      </c>
      <c r="C575" s="38" t="s">
        <v>7</v>
      </c>
      <c r="D575" s="38" t="s">
        <v>143</v>
      </c>
      <c r="E575" s="38" t="s">
        <v>60</v>
      </c>
      <c r="F575" s="38" t="s">
        <v>285</v>
      </c>
      <c r="G575" s="38" t="s">
        <v>138</v>
      </c>
      <c r="H575" s="9" t="s">
        <v>215</v>
      </c>
      <c r="I575" s="38" t="s">
        <v>58</v>
      </c>
      <c r="J575" s="38">
        <v>0</v>
      </c>
      <c r="K575">
        <v>0</v>
      </c>
      <c r="L575">
        <v>0</v>
      </c>
      <c r="M575">
        <v>0</v>
      </c>
      <c r="N575" s="38">
        <v>13.96</v>
      </c>
      <c r="O575" s="38"/>
      <c r="P575" s="38" t="s">
        <v>154</v>
      </c>
      <c r="Q575" s="38"/>
    </row>
    <row r="576" spans="1:17" x14ac:dyDescent="0.25">
      <c r="A576" s="39">
        <v>45417</v>
      </c>
      <c r="B576" s="38" t="s">
        <v>13</v>
      </c>
      <c r="C576" s="38" t="s">
        <v>7</v>
      </c>
      <c r="D576" s="38" t="s">
        <v>350</v>
      </c>
      <c r="E576" s="38" t="s">
        <v>60</v>
      </c>
      <c r="F576" s="38" t="s">
        <v>93</v>
      </c>
      <c r="G576" s="38" t="s">
        <v>138</v>
      </c>
      <c r="H576" s="9" t="s">
        <v>216</v>
      </c>
      <c r="I576" s="38" t="s">
        <v>58</v>
      </c>
      <c r="J576" s="38">
        <v>0</v>
      </c>
      <c r="K576">
        <v>0</v>
      </c>
      <c r="L576">
        <v>0</v>
      </c>
      <c r="M576">
        <v>0</v>
      </c>
      <c r="N576" s="38">
        <v>12.4</v>
      </c>
      <c r="O576" s="38"/>
      <c r="P576" s="38" t="s">
        <v>147</v>
      </c>
      <c r="Q576" s="38"/>
    </row>
    <row r="577" spans="1:17" x14ac:dyDescent="0.25">
      <c r="A577" s="39">
        <v>45417</v>
      </c>
      <c r="B577" s="38" t="s">
        <v>103</v>
      </c>
      <c r="C577" s="38" t="s">
        <v>7</v>
      </c>
      <c r="D577" s="38" t="s">
        <v>179</v>
      </c>
      <c r="E577" s="38" t="s">
        <v>81</v>
      </c>
      <c r="F577" s="38" t="s">
        <v>90</v>
      </c>
      <c r="G577" s="38" t="s">
        <v>138</v>
      </c>
      <c r="H577" s="9" t="s">
        <v>217</v>
      </c>
      <c r="I577" s="38" t="s">
        <v>65</v>
      </c>
      <c r="J577" s="38">
        <v>0</v>
      </c>
      <c r="K577">
        <v>0</v>
      </c>
      <c r="L577">
        <v>0</v>
      </c>
      <c r="M577">
        <v>0</v>
      </c>
      <c r="N577" s="38">
        <v>41.9</v>
      </c>
      <c r="O577" s="38"/>
      <c r="P577" s="38" t="s">
        <v>187</v>
      </c>
      <c r="Q577" s="38"/>
    </row>
    <row r="578" spans="1:17" x14ac:dyDescent="0.25">
      <c r="A578" s="39">
        <v>45417</v>
      </c>
      <c r="B578" s="38" t="s">
        <v>101</v>
      </c>
      <c r="C578" s="38" t="s">
        <v>7</v>
      </c>
      <c r="D578" s="38" t="s">
        <v>405</v>
      </c>
      <c r="E578" s="38" t="s">
        <v>81</v>
      </c>
      <c r="F578" s="38" t="s">
        <v>285</v>
      </c>
      <c r="G578" s="38" t="s">
        <v>138</v>
      </c>
      <c r="H578" s="9" t="s">
        <v>102</v>
      </c>
      <c r="I578" s="38" t="s">
        <v>58</v>
      </c>
      <c r="J578" s="38">
        <v>0</v>
      </c>
      <c r="K578">
        <v>0</v>
      </c>
      <c r="L578">
        <v>0</v>
      </c>
      <c r="M578">
        <v>0</v>
      </c>
      <c r="N578" s="38">
        <v>19.600000000000001</v>
      </c>
      <c r="O578" s="38"/>
      <c r="P578" s="38" t="s">
        <v>151</v>
      </c>
      <c r="Q578" s="38"/>
    </row>
    <row r="579" spans="1:17" x14ac:dyDescent="0.25">
      <c r="A579" s="39">
        <v>45417</v>
      </c>
      <c r="B579" s="38" t="s">
        <v>99</v>
      </c>
      <c r="C579" s="38" t="s">
        <v>7</v>
      </c>
      <c r="D579" s="38" t="s">
        <v>249</v>
      </c>
      <c r="E579" s="38" t="s">
        <v>81</v>
      </c>
      <c r="F579" s="38" t="s">
        <v>90</v>
      </c>
      <c r="G579" s="38" t="s">
        <v>138</v>
      </c>
      <c r="H579" s="9" t="s">
        <v>100</v>
      </c>
      <c r="I579" s="38"/>
      <c r="J579" s="38">
        <v>0</v>
      </c>
      <c r="K579">
        <v>0</v>
      </c>
      <c r="L579">
        <v>0</v>
      </c>
      <c r="M579">
        <v>0</v>
      </c>
      <c r="N579" s="38">
        <v>41.83</v>
      </c>
      <c r="O579" s="38"/>
      <c r="P579" s="38" t="s">
        <v>152</v>
      </c>
      <c r="Q579" s="38"/>
    </row>
    <row r="580" spans="1:17" x14ac:dyDescent="0.25">
      <c r="A580" s="39">
        <v>45417</v>
      </c>
      <c r="B580" s="38" t="s">
        <v>97</v>
      </c>
      <c r="C580" s="38" t="s">
        <v>7</v>
      </c>
      <c r="D580" s="38" t="s">
        <v>288</v>
      </c>
      <c r="E580" s="38" t="s">
        <v>352</v>
      </c>
      <c r="F580" s="38" t="s">
        <v>285</v>
      </c>
      <c r="G580" s="38" t="s">
        <v>138</v>
      </c>
      <c r="H580" s="9" t="s">
        <v>98</v>
      </c>
      <c r="I580" s="38" t="s">
        <v>58</v>
      </c>
      <c r="J580" s="38">
        <v>0</v>
      </c>
      <c r="K580">
        <v>0</v>
      </c>
      <c r="L580">
        <v>0</v>
      </c>
      <c r="M580">
        <v>0</v>
      </c>
      <c r="N580" s="38">
        <v>22.49</v>
      </c>
      <c r="O580" s="38"/>
      <c r="P580" s="38" t="s">
        <v>148</v>
      </c>
      <c r="Q580" s="38"/>
    </row>
    <row r="581" spans="1:17" x14ac:dyDescent="0.25">
      <c r="A581" s="39">
        <v>45417</v>
      </c>
      <c r="B581" s="38" t="s">
        <v>95</v>
      </c>
      <c r="C581" s="38" t="s">
        <v>7</v>
      </c>
      <c r="D581" s="38" t="s">
        <v>181</v>
      </c>
      <c r="E581" s="38" t="s">
        <v>81</v>
      </c>
      <c r="F581" s="38" t="s">
        <v>90</v>
      </c>
      <c r="G581" s="38" t="s">
        <v>138</v>
      </c>
      <c r="H581" s="9" t="s">
        <v>96</v>
      </c>
      <c r="I581" s="38" t="s">
        <v>65</v>
      </c>
      <c r="J581" s="38">
        <v>0</v>
      </c>
      <c r="K581">
        <v>0</v>
      </c>
      <c r="L581">
        <v>0</v>
      </c>
      <c r="M581">
        <v>0</v>
      </c>
      <c r="N581" s="38">
        <v>20.38</v>
      </c>
      <c r="O581" s="38"/>
      <c r="P581" s="38" t="s">
        <v>152</v>
      </c>
      <c r="Q581" s="38"/>
    </row>
    <row r="582" spans="1:17" x14ac:dyDescent="0.25">
      <c r="A582" s="39">
        <v>45417</v>
      </c>
      <c r="B582" s="38" t="s">
        <v>14</v>
      </c>
      <c r="C582" s="38" t="s">
        <v>7</v>
      </c>
      <c r="D582" s="38" t="s">
        <v>289</v>
      </c>
      <c r="E582" s="38" t="s">
        <v>352</v>
      </c>
      <c r="F582" s="38" t="s">
        <v>285</v>
      </c>
      <c r="G582" s="38" t="s">
        <v>138</v>
      </c>
      <c r="H582" s="9" t="s">
        <v>94</v>
      </c>
      <c r="I582" s="38" t="s">
        <v>58</v>
      </c>
      <c r="J582" s="38">
        <v>0</v>
      </c>
      <c r="K582">
        <v>0</v>
      </c>
      <c r="L582">
        <v>0</v>
      </c>
      <c r="M582">
        <v>0</v>
      </c>
      <c r="N582" s="38">
        <v>25.88</v>
      </c>
      <c r="O582" s="38"/>
      <c r="P582" s="38" t="s">
        <v>151</v>
      </c>
      <c r="Q582" s="38"/>
    </row>
    <row r="583" spans="1:17" x14ac:dyDescent="0.25">
      <c r="A583" s="39">
        <v>45417</v>
      </c>
      <c r="B583" s="38" t="s">
        <v>91</v>
      </c>
      <c r="C583" s="38" t="s">
        <v>7</v>
      </c>
      <c r="D583" s="38" t="s">
        <v>180</v>
      </c>
      <c r="E583" s="38" t="s">
        <v>81</v>
      </c>
      <c r="F583" s="38" t="s">
        <v>90</v>
      </c>
      <c r="G583" s="38" t="s">
        <v>138</v>
      </c>
      <c r="H583" s="9" t="s">
        <v>92</v>
      </c>
      <c r="I583" s="38"/>
      <c r="J583" s="38">
        <v>0</v>
      </c>
      <c r="K583">
        <v>0</v>
      </c>
      <c r="L583">
        <v>0</v>
      </c>
      <c r="M583">
        <v>0</v>
      </c>
      <c r="N583" s="38">
        <v>16.73</v>
      </c>
      <c r="O583" s="38"/>
      <c r="P583" s="38" t="s">
        <v>148</v>
      </c>
      <c r="Q583" s="38"/>
    </row>
    <row r="584" spans="1:17" x14ac:dyDescent="0.25">
      <c r="A584" s="39">
        <v>45417</v>
      </c>
      <c r="B584" s="38" t="s">
        <v>15</v>
      </c>
      <c r="C584" s="38" t="s">
        <v>7</v>
      </c>
      <c r="D584" s="38" t="s">
        <v>140</v>
      </c>
      <c r="E584" s="38" t="s">
        <v>81</v>
      </c>
      <c r="F584" s="38" t="s">
        <v>285</v>
      </c>
      <c r="G584" s="38" t="s">
        <v>138</v>
      </c>
      <c r="H584" s="9" t="s">
        <v>218</v>
      </c>
      <c r="I584" s="38" t="s">
        <v>58</v>
      </c>
      <c r="J584" s="38">
        <v>0</v>
      </c>
      <c r="K584">
        <v>0</v>
      </c>
      <c r="L584">
        <v>0</v>
      </c>
      <c r="M584">
        <v>0</v>
      </c>
      <c r="N584" s="38">
        <v>20.190000000000001</v>
      </c>
      <c r="O584" s="38"/>
      <c r="P584" s="38" t="s">
        <v>148</v>
      </c>
      <c r="Q584" s="38"/>
    </row>
    <row r="585" spans="1:17" x14ac:dyDescent="0.25">
      <c r="A585" s="39">
        <v>45417</v>
      </c>
      <c r="B585" s="38" t="s">
        <v>89</v>
      </c>
      <c r="C585" s="38" t="s">
        <v>7</v>
      </c>
      <c r="D585" s="38" t="s">
        <v>176</v>
      </c>
      <c r="E585" s="38" t="s">
        <v>398</v>
      </c>
      <c r="F585" s="38" t="s">
        <v>90</v>
      </c>
      <c r="G585" s="38" t="s">
        <v>138</v>
      </c>
      <c r="H585" s="9" t="s">
        <v>219</v>
      </c>
      <c r="I585" s="38" t="s">
        <v>65</v>
      </c>
      <c r="J585" s="38">
        <v>0</v>
      </c>
      <c r="K585">
        <v>0</v>
      </c>
      <c r="L585">
        <v>0</v>
      </c>
      <c r="M585">
        <v>0</v>
      </c>
      <c r="N585" s="38">
        <v>17.670000000000002</v>
      </c>
      <c r="O585" s="38"/>
      <c r="P585" s="38" t="s">
        <v>186</v>
      </c>
      <c r="Q585" s="38"/>
    </row>
    <row r="586" spans="1:17" x14ac:dyDescent="0.25">
      <c r="A586" s="39">
        <v>45417</v>
      </c>
      <c r="B586" s="38" t="s">
        <v>16</v>
      </c>
      <c r="C586" s="38" t="s">
        <v>7</v>
      </c>
      <c r="D586" s="38" t="s">
        <v>407</v>
      </c>
      <c r="E586" s="38" t="s">
        <v>360</v>
      </c>
      <c r="F586" s="38" t="s">
        <v>253</v>
      </c>
      <c r="G586" s="38" t="s">
        <v>138</v>
      </c>
      <c r="H586" s="9" t="s">
        <v>220</v>
      </c>
      <c r="I586" s="38" t="s">
        <v>58</v>
      </c>
      <c r="J586" s="38">
        <v>0</v>
      </c>
      <c r="K586">
        <v>0</v>
      </c>
      <c r="L586">
        <v>0</v>
      </c>
      <c r="M586">
        <v>0</v>
      </c>
      <c r="N586" s="38">
        <v>21.19</v>
      </c>
      <c r="O586" s="38"/>
      <c r="P586" s="38" t="s">
        <v>151</v>
      </c>
      <c r="Q586" s="38"/>
    </row>
    <row r="587" spans="1:17" x14ac:dyDescent="0.25">
      <c r="A587" s="39">
        <v>45417</v>
      </c>
      <c r="B587" s="38" t="s">
        <v>88</v>
      </c>
      <c r="C587" s="38" t="s">
        <v>7</v>
      </c>
      <c r="D587" s="38" t="s">
        <v>311</v>
      </c>
      <c r="E587" s="38" t="s">
        <v>60</v>
      </c>
      <c r="F587" s="38" t="s">
        <v>253</v>
      </c>
      <c r="G587" s="38" t="s">
        <v>138</v>
      </c>
      <c r="H587" s="9" t="s">
        <v>221</v>
      </c>
      <c r="I587" s="38"/>
      <c r="J587" s="38">
        <v>0</v>
      </c>
      <c r="K587">
        <v>0</v>
      </c>
      <c r="L587">
        <v>0</v>
      </c>
      <c r="M587">
        <v>0</v>
      </c>
      <c r="N587" s="38">
        <v>38.44</v>
      </c>
      <c r="O587" s="38"/>
      <c r="P587" s="38" t="s">
        <v>154</v>
      </c>
      <c r="Q587" s="38"/>
    </row>
    <row r="588" spans="1:17" x14ac:dyDescent="0.25">
      <c r="A588" s="39">
        <v>45417</v>
      </c>
      <c r="B588" s="38" t="s">
        <v>17</v>
      </c>
      <c r="C588" s="38" t="s">
        <v>7</v>
      </c>
      <c r="D588" s="38" t="s">
        <v>272</v>
      </c>
      <c r="E588" s="38" t="s">
        <v>275</v>
      </c>
      <c r="F588" s="38" t="s">
        <v>276</v>
      </c>
      <c r="G588" s="38" t="s">
        <v>138</v>
      </c>
      <c r="H588" s="9" t="s">
        <v>222</v>
      </c>
      <c r="I588" s="38" t="s">
        <v>58</v>
      </c>
      <c r="J588" s="38">
        <v>0</v>
      </c>
      <c r="K588">
        <v>0</v>
      </c>
      <c r="L588">
        <v>0</v>
      </c>
      <c r="M588">
        <v>0</v>
      </c>
      <c r="N588" s="38">
        <v>20.56</v>
      </c>
      <c r="O588" s="38"/>
      <c r="P588" s="38" t="s">
        <v>151</v>
      </c>
      <c r="Q588" s="38"/>
    </row>
    <row r="589" spans="1:17" x14ac:dyDescent="0.25">
      <c r="A589" s="39">
        <v>45417</v>
      </c>
      <c r="B589" s="38" t="s">
        <v>19</v>
      </c>
      <c r="C589" s="38" t="s">
        <v>7</v>
      </c>
      <c r="D589" s="38" t="s">
        <v>343</v>
      </c>
      <c r="E589" s="38" t="s">
        <v>81</v>
      </c>
      <c r="F589" s="38" t="s">
        <v>253</v>
      </c>
      <c r="G589" s="38" t="s">
        <v>138</v>
      </c>
      <c r="H589" s="9" t="s">
        <v>223</v>
      </c>
      <c r="I589" s="38" t="s">
        <v>65</v>
      </c>
      <c r="J589" s="38">
        <v>0</v>
      </c>
      <c r="K589">
        <v>0</v>
      </c>
      <c r="L589">
        <v>0</v>
      </c>
      <c r="M589">
        <v>0</v>
      </c>
      <c r="N589" s="38">
        <v>41.06</v>
      </c>
      <c r="O589" s="38"/>
      <c r="P589" s="38" t="s">
        <v>151</v>
      </c>
      <c r="Q589" s="38"/>
    </row>
    <row r="590" spans="1:17" x14ac:dyDescent="0.25">
      <c r="A590" s="39">
        <v>45417</v>
      </c>
      <c r="B590" s="38" t="s">
        <v>18</v>
      </c>
      <c r="C590" s="38" t="s">
        <v>7</v>
      </c>
      <c r="D590" s="38" t="s">
        <v>268</v>
      </c>
      <c r="E590" s="38" t="s">
        <v>408</v>
      </c>
      <c r="F590" s="38" t="s">
        <v>253</v>
      </c>
      <c r="G590" s="38" t="s">
        <v>138</v>
      </c>
      <c r="H590" s="9" t="s">
        <v>224</v>
      </c>
      <c r="I590" s="38" t="s">
        <v>58</v>
      </c>
      <c r="J590" s="38">
        <v>0</v>
      </c>
      <c r="K590">
        <v>0</v>
      </c>
      <c r="L590">
        <v>0</v>
      </c>
      <c r="M590">
        <v>0</v>
      </c>
      <c r="N590" s="38">
        <v>18.89</v>
      </c>
      <c r="O590" s="38"/>
      <c r="P590" s="38" t="s">
        <v>148</v>
      </c>
      <c r="Q590" s="38"/>
    </row>
    <row r="591" spans="1:17" x14ac:dyDescent="0.25">
      <c r="A591" s="39">
        <v>45417</v>
      </c>
      <c r="B591" s="38" t="s">
        <v>87</v>
      </c>
      <c r="C591" s="38" t="s">
        <v>7</v>
      </c>
      <c r="D591" s="38"/>
      <c r="E591" s="38"/>
      <c r="F591" s="38"/>
      <c r="G591" s="38" t="s">
        <v>138</v>
      </c>
      <c r="H591" s="9" t="s">
        <v>225</v>
      </c>
      <c r="I591" s="38"/>
      <c r="J591" s="38">
        <v>0</v>
      </c>
      <c r="K591">
        <v>0</v>
      </c>
      <c r="L591">
        <v>0</v>
      </c>
      <c r="M591">
        <v>0</v>
      </c>
      <c r="N591" s="38">
        <v>41146219</v>
      </c>
      <c r="O591" s="38"/>
      <c r="P591" s="38"/>
      <c r="Q591" s="38"/>
    </row>
    <row r="592" spans="1:17" x14ac:dyDescent="0.25">
      <c r="A592" s="39">
        <v>45417</v>
      </c>
      <c r="B592" s="38" t="s">
        <v>42</v>
      </c>
      <c r="C592" s="38" t="s">
        <v>7</v>
      </c>
      <c r="D592" s="38" t="s">
        <v>246</v>
      </c>
      <c r="E592" s="38" t="s">
        <v>81</v>
      </c>
      <c r="F592" s="38" t="s">
        <v>285</v>
      </c>
      <c r="G592" s="38" t="s">
        <v>138</v>
      </c>
      <c r="H592" s="9" t="s">
        <v>226</v>
      </c>
      <c r="I592" s="38" t="s">
        <v>58</v>
      </c>
      <c r="J592" s="38">
        <v>0</v>
      </c>
      <c r="K592">
        <v>0</v>
      </c>
      <c r="L592">
        <v>0</v>
      </c>
      <c r="M592">
        <v>0</v>
      </c>
      <c r="N592" s="38">
        <v>20.7</v>
      </c>
      <c r="O592" s="38"/>
      <c r="P592" s="38" t="s">
        <v>148</v>
      </c>
      <c r="Q592" s="38"/>
    </row>
    <row r="593" spans="1:17" x14ac:dyDescent="0.25">
      <c r="A593" s="39">
        <v>45417</v>
      </c>
      <c r="B593" s="38" t="s">
        <v>86</v>
      </c>
      <c r="C593" s="38" t="s">
        <v>7</v>
      </c>
      <c r="D593" s="38" t="s">
        <v>271</v>
      </c>
      <c r="E593" s="38" t="s">
        <v>275</v>
      </c>
      <c r="F593" s="38" t="s">
        <v>276</v>
      </c>
      <c r="G593" s="38" t="s">
        <v>138</v>
      </c>
      <c r="H593" s="9" t="s">
        <v>227</v>
      </c>
      <c r="I593" s="38" t="s">
        <v>65</v>
      </c>
      <c r="J593" s="38">
        <v>0</v>
      </c>
      <c r="K593">
        <v>0</v>
      </c>
      <c r="L593">
        <v>0</v>
      </c>
      <c r="M593">
        <v>0</v>
      </c>
      <c r="N593" s="38">
        <v>41.64</v>
      </c>
      <c r="O593" s="38"/>
      <c r="P593" s="38" t="s">
        <v>152</v>
      </c>
      <c r="Q593" s="38"/>
    </row>
    <row r="594" spans="1:17" x14ac:dyDescent="0.25">
      <c r="A594" s="39">
        <v>45417</v>
      </c>
      <c r="B594" s="38" t="s">
        <v>38</v>
      </c>
      <c r="C594" s="38" t="s">
        <v>7</v>
      </c>
      <c r="D594" s="38" t="s">
        <v>141</v>
      </c>
      <c r="E594" s="38" t="s">
        <v>81</v>
      </c>
      <c r="F594" s="38" t="s">
        <v>285</v>
      </c>
      <c r="G594" s="38" t="s">
        <v>138</v>
      </c>
      <c r="H594" s="9" t="s">
        <v>85</v>
      </c>
      <c r="I594" s="38" t="s">
        <v>58</v>
      </c>
      <c r="J594" s="38">
        <v>0</v>
      </c>
      <c r="K594">
        <v>0</v>
      </c>
      <c r="L594">
        <v>0</v>
      </c>
      <c r="M594">
        <v>0</v>
      </c>
      <c r="N594" s="38">
        <v>37.5</v>
      </c>
      <c r="O594" s="38"/>
      <c r="P594" s="38" t="s">
        <v>151</v>
      </c>
      <c r="Q594" s="38"/>
    </row>
    <row r="595" spans="1:17" x14ac:dyDescent="0.25">
      <c r="A595" s="39">
        <v>45417</v>
      </c>
      <c r="B595" s="38" t="s">
        <v>83</v>
      </c>
      <c r="C595" s="38" t="s">
        <v>7</v>
      </c>
      <c r="D595" s="38"/>
      <c r="E595" s="38"/>
      <c r="F595" s="38"/>
      <c r="G595" s="38" t="s">
        <v>138</v>
      </c>
      <c r="H595" s="9" t="s">
        <v>84</v>
      </c>
      <c r="I595" s="38"/>
      <c r="J595" s="38">
        <v>0</v>
      </c>
      <c r="K595">
        <v>0</v>
      </c>
      <c r="L595">
        <v>0</v>
      </c>
      <c r="M595">
        <v>0</v>
      </c>
      <c r="N595" s="38">
        <v>41.36</v>
      </c>
      <c r="O595" s="38"/>
      <c r="P595" s="38"/>
      <c r="Q595" s="38"/>
    </row>
    <row r="596" spans="1:17" x14ac:dyDescent="0.25">
      <c r="A596" s="39">
        <v>45417</v>
      </c>
      <c r="B596" s="38" t="s">
        <v>20</v>
      </c>
      <c r="C596" s="38" t="s">
        <v>7</v>
      </c>
      <c r="D596" s="38" t="s">
        <v>351</v>
      </c>
      <c r="E596" s="38" t="s">
        <v>352</v>
      </c>
      <c r="F596" s="38" t="s">
        <v>285</v>
      </c>
      <c r="G596" s="38" t="s">
        <v>138</v>
      </c>
      <c r="H596" s="9" t="s">
        <v>82</v>
      </c>
      <c r="I596" s="38" t="s">
        <v>58</v>
      </c>
      <c r="J596" s="38">
        <v>0</v>
      </c>
      <c r="K596">
        <v>0</v>
      </c>
      <c r="L596">
        <v>0</v>
      </c>
      <c r="M596">
        <v>0</v>
      </c>
      <c r="N596" s="38">
        <v>22.79</v>
      </c>
      <c r="O596" s="38"/>
      <c r="P596" s="38" t="s">
        <v>151</v>
      </c>
      <c r="Q596" s="38"/>
    </row>
    <row r="597" spans="1:17" x14ac:dyDescent="0.25">
      <c r="A597" s="39">
        <v>45417</v>
      </c>
      <c r="B597" s="38" t="s">
        <v>21</v>
      </c>
      <c r="C597" s="38" t="s">
        <v>7</v>
      </c>
      <c r="D597" s="38" t="s">
        <v>291</v>
      </c>
      <c r="E597" s="38" t="s">
        <v>352</v>
      </c>
      <c r="F597" s="38" t="s">
        <v>285</v>
      </c>
      <c r="G597" s="38" t="s">
        <v>138</v>
      </c>
      <c r="H597" s="9" t="s">
        <v>80</v>
      </c>
      <c r="I597" s="38" t="s">
        <v>65</v>
      </c>
      <c r="J597" s="38">
        <v>0</v>
      </c>
      <c r="K597">
        <v>0</v>
      </c>
      <c r="L597">
        <v>0</v>
      </c>
      <c r="M597">
        <v>0</v>
      </c>
      <c r="N597" s="38">
        <v>21.59</v>
      </c>
      <c r="O597" s="38"/>
      <c r="P597" s="38" t="s">
        <v>152</v>
      </c>
      <c r="Q597" s="38"/>
    </row>
    <row r="598" spans="1:17" x14ac:dyDescent="0.25">
      <c r="A598" s="39">
        <v>45417</v>
      </c>
      <c r="B598" s="38" t="s">
        <v>22</v>
      </c>
      <c r="C598" s="38" t="s">
        <v>7</v>
      </c>
      <c r="D598" s="38" t="s">
        <v>353</v>
      </c>
      <c r="E598" s="38" t="s">
        <v>352</v>
      </c>
      <c r="F598" s="38" t="s">
        <v>285</v>
      </c>
      <c r="G598" s="38" t="s">
        <v>138</v>
      </c>
      <c r="H598" s="9" t="s">
        <v>79</v>
      </c>
      <c r="I598" s="38" t="s">
        <v>58</v>
      </c>
      <c r="J598" s="38">
        <v>0</v>
      </c>
      <c r="K598">
        <v>0</v>
      </c>
      <c r="L598">
        <v>0</v>
      </c>
      <c r="M598">
        <v>0</v>
      </c>
      <c r="N598" s="38">
        <v>13.62</v>
      </c>
      <c r="O598" s="38"/>
      <c r="P598" s="38" t="s">
        <v>148</v>
      </c>
      <c r="Q598" s="38"/>
    </row>
    <row r="599" spans="1:17" x14ac:dyDescent="0.25">
      <c r="A599" s="39">
        <v>45417</v>
      </c>
      <c r="B599" s="38" t="s">
        <v>77</v>
      </c>
      <c r="C599" s="38" t="s">
        <v>7</v>
      </c>
      <c r="D599" s="38"/>
      <c r="E599" s="38"/>
      <c r="F599" s="38"/>
      <c r="G599" s="38" t="s">
        <v>138</v>
      </c>
      <c r="H599" s="9" t="s">
        <v>78</v>
      </c>
      <c r="I599" s="38"/>
      <c r="J599" s="38">
        <v>0</v>
      </c>
      <c r="K599">
        <v>0</v>
      </c>
      <c r="L599">
        <v>0</v>
      </c>
      <c r="M599">
        <v>0</v>
      </c>
      <c r="N599" s="38">
        <v>17.88</v>
      </c>
      <c r="O599" s="38"/>
      <c r="P599" s="38"/>
      <c r="Q599" s="38"/>
    </row>
    <row r="600" spans="1:17" x14ac:dyDescent="0.25">
      <c r="A600" s="39">
        <v>45417</v>
      </c>
      <c r="B600" s="38" t="s">
        <v>23</v>
      </c>
      <c r="C600" s="38" t="s">
        <v>7</v>
      </c>
      <c r="D600" s="38" t="s">
        <v>409</v>
      </c>
      <c r="E600" s="38" t="s">
        <v>352</v>
      </c>
      <c r="F600" s="38" t="s">
        <v>285</v>
      </c>
      <c r="G600" s="38" t="s">
        <v>138</v>
      </c>
      <c r="H600" s="9" t="s">
        <v>228</v>
      </c>
      <c r="I600" s="38" t="s">
        <v>58</v>
      </c>
      <c r="J600" s="38">
        <v>0</v>
      </c>
      <c r="K600">
        <v>0</v>
      </c>
      <c r="L600">
        <v>0</v>
      </c>
      <c r="M600">
        <v>0</v>
      </c>
      <c r="N600" s="38">
        <v>23.22</v>
      </c>
      <c r="O600" s="38"/>
      <c r="P600" s="38" t="s">
        <v>148</v>
      </c>
      <c r="Q600" s="38"/>
    </row>
    <row r="601" spans="1:17" x14ac:dyDescent="0.25">
      <c r="A601" s="39">
        <v>45417</v>
      </c>
      <c r="B601" s="38" t="s">
        <v>24</v>
      </c>
      <c r="C601" s="38" t="s">
        <v>7</v>
      </c>
      <c r="D601" s="38" t="s">
        <v>344</v>
      </c>
      <c r="E601" s="38" t="s">
        <v>379</v>
      </c>
      <c r="F601" s="38" t="s">
        <v>253</v>
      </c>
      <c r="G601" s="38" t="s">
        <v>138</v>
      </c>
      <c r="H601" s="9" t="s">
        <v>229</v>
      </c>
      <c r="I601" s="38" t="s">
        <v>65</v>
      </c>
      <c r="J601" s="38">
        <v>0</v>
      </c>
      <c r="K601">
        <v>0</v>
      </c>
      <c r="L601">
        <v>0</v>
      </c>
      <c r="M601">
        <v>0</v>
      </c>
      <c r="N601" s="38">
        <v>18.37</v>
      </c>
      <c r="O601" s="38"/>
      <c r="P601" s="38" t="s">
        <v>152</v>
      </c>
      <c r="Q601" s="38"/>
    </row>
    <row r="602" spans="1:17" x14ac:dyDescent="0.25">
      <c r="A602" s="39">
        <v>45417</v>
      </c>
      <c r="B602" s="38" t="s">
        <v>75</v>
      </c>
      <c r="C602" s="38" t="s">
        <v>7</v>
      </c>
      <c r="D602" s="38" t="s">
        <v>410</v>
      </c>
      <c r="E602" s="38" t="s">
        <v>202</v>
      </c>
      <c r="F602" s="38" t="s">
        <v>346</v>
      </c>
      <c r="G602" s="38" t="s">
        <v>138</v>
      </c>
      <c r="H602" s="9" t="s">
        <v>230</v>
      </c>
      <c r="I602" s="38" t="s">
        <v>58</v>
      </c>
      <c r="J602" s="38">
        <v>0</v>
      </c>
      <c r="K602">
        <v>0</v>
      </c>
      <c r="L602">
        <v>0</v>
      </c>
      <c r="M602">
        <v>0</v>
      </c>
      <c r="N602" s="38">
        <v>12.9</v>
      </c>
      <c r="O602" s="38"/>
      <c r="P602" s="38" t="s">
        <v>303</v>
      </c>
      <c r="Q602" s="38"/>
    </row>
    <row r="603" spans="1:17" x14ac:dyDescent="0.25">
      <c r="A603" s="39">
        <v>45417</v>
      </c>
      <c r="B603" s="38" t="s">
        <v>25</v>
      </c>
      <c r="C603" s="38" t="s">
        <v>7</v>
      </c>
      <c r="D603" s="38" t="s">
        <v>383</v>
      </c>
      <c r="E603" s="38" t="s">
        <v>81</v>
      </c>
      <c r="F603" s="38" t="s">
        <v>285</v>
      </c>
      <c r="G603" s="38" t="s">
        <v>138</v>
      </c>
      <c r="H603" s="9" t="s">
        <v>231</v>
      </c>
      <c r="I603" s="38" t="s">
        <v>65</v>
      </c>
      <c r="J603" s="38">
        <v>0</v>
      </c>
      <c r="K603">
        <v>0</v>
      </c>
      <c r="L603">
        <v>0</v>
      </c>
      <c r="M603">
        <v>0</v>
      </c>
      <c r="N603" s="38">
        <v>12.16</v>
      </c>
      <c r="O603" s="38"/>
      <c r="P603" s="38" t="s">
        <v>148</v>
      </c>
      <c r="Q603" s="38"/>
    </row>
    <row r="604" spans="1:17" x14ac:dyDescent="0.25">
      <c r="A604" s="39">
        <v>45417</v>
      </c>
      <c r="B604" s="38" t="s">
        <v>74</v>
      </c>
      <c r="C604" s="38" t="s">
        <v>7</v>
      </c>
      <c r="D604" s="38" t="s">
        <v>292</v>
      </c>
      <c r="E604" s="38" t="s">
        <v>60</v>
      </c>
      <c r="F604" s="38" t="s">
        <v>346</v>
      </c>
      <c r="G604" s="38" t="s">
        <v>138</v>
      </c>
      <c r="H604" s="9" t="s">
        <v>232</v>
      </c>
      <c r="I604" s="38" t="s">
        <v>58</v>
      </c>
      <c r="J604" s="38">
        <v>0</v>
      </c>
      <c r="K604">
        <v>0</v>
      </c>
      <c r="L604">
        <v>0</v>
      </c>
      <c r="M604">
        <v>0</v>
      </c>
      <c r="N604" s="38">
        <v>15.61</v>
      </c>
      <c r="O604" s="38"/>
      <c r="P604" s="38" t="s">
        <v>293</v>
      </c>
      <c r="Q604" s="38"/>
    </row>
    <row r="605" spans="1:17" x14ac:dyDescent="0.25">
      <c r="A605" s="39">
        <v>45417</v>
      </c>
      <c r="B605" s="38" t="s">
        <v>26</v>
      </c>
      <c r="C605" s="38" t="s">
        <v>7</v>
      </c>
      <c r="D605" s="38" t="s">
        <v>294</v>
      </c>
      <c r="E605" s="38" t="s">
        <v>56</v>
      </c>
      <c r="F605" s="38" t="s">
        <v>184</v>
      </c>
      <c r="G605" s="38" t="s">
        <v>138</v>
      </c>
      <c r="H605" s="9" t="s">
        <v>233</v>
      </c>
      <c r="I605" s="38" t="s">
        <v>65</v>
      </c>
      <c r="J605" s="38">
        <v>0</v>
      </c>
      <c r="K605">
        <v>0</v>
      </c>
      <c r="L605">
        <v>0</v>
      </c>
      <c r="M605">
        <v>0</v>
      </c>
      <c r="N605" s="38">
        <v>13.29</v>
      </c>
      <c r="O605" s="38"/>
      <c r="P605" s="38" t="s">
        <v>155</v>
      </c>
      <c r="Q605" s="38"/>
    </row>
    <row r="606" spans="1:17" x14ac:dyDescent="0.25">
      <c r="A606" s="39">
        <v>45417</v>
      </c>
      <c r="B606" s="38" t="s">
        <v>27</v>
      </c>
      <c r="C606" s="38" t="s">
        <v>7</v>
      </c>
      <c r="D606" s="38" t="s">
        <v>384</v>
      </c>
      <c r="E606" s="38" t="s">
        <v>366</v>
      </c>
      <c r="F606" s="38" t="s">
        <v>346</v>
      </c>
      <c r="G606" s="38" t="s">
        <v>138</v>
      </c>
      <c r="H606" s="9" t="s">
        <v>234</v>
      </c>
      <c r="I606" s="38" t="s">
        <v>58</v>
      </c>
      <c r="J606" s="38">
        <v>0</v>
      </c>
      <c r="K606">
        <v>0</v>
      </c>
      <c r="L606">
        <v>0</v>
      </c>
      <c r="M606">
        <v>0</v>
      </c>
      <c r="N606" s="38">
        <v>13.89</v>
      </c>
      <c r="O606" s="38"/>
      <c r="P606" s="38" t="s">
        <v>269</v>
      </c>
      <c r="Q606" s="38"/>
    </row>
    <row r="607" spans="1:17" x14ac:dyDescent="0.25">
      <c r="A607" s="39">
        <v>45417</v>
      </c>
      <c r="B607" s="38" t="s">
        <v>28</v>
      </c>
      <c r="C607" s="38" t="s">
        <v>7</v>
      </c>
      <c r="D607" s="38" t="s">
        <v>411</v>
      </c>
      <c r="E607" s="38" t="s">
        <v>56</v>
      </c>
      <c r="F607" s="38" t="s">
        <v>338</v>
      </c>
      <c r="G607" s="38" t="s">
        <v>138</v>
      </c>
      <c r="H607" s="9" t="s">
        <v>235</v>
      </c>
      <c r="I607" s="38" t="s">
        <v>65</v>
      </c>
      <c r="J607" s="38">
        <v>0</v>
      </c>
      <c r="K607">
        <v>0</v>
      </c>
      <c r="L607">
        <v>0</v>
      </c>
      <c r="M607">
        <v>0</v>
      </c>
      <c r="N607" s="38">
        <v>13.9</v>
      </c>
      <c r="O607" s="38"/>
      <c r="P607" s="38" t="s">
        <v>155</v>
      </c>
      <c r="Q607" s="38"/>
    </row>
    <row r="608" spans="1:17" x14ac:dyDescent="0.25">
      <c r="A608" s="39">
        <v>45417</v>
      </c>
      <c r="B608" s="38" t="s">
        <v>72</v>
      </c>
      <c r="C608" s="38" t="s">
        <v>7</v>
      </c>
      <c r="D608" s="38" t="s">
        <v>322</v>
      </c>
      <c r="E608" s="38" t="s">
        <v>202</v>
      </c>
      <c r="F608" s="38" t="s">
        <v>346</v>
      </c>
      <c r="G608" s="38" t="s">
        <v>138</v>
      </c>
      <c r="H608" s="9" t="s">
        <v>422</v>
      </c>
      <c r="I608" s="38" t="s">
        <v>58</v>
      </c>
      <c r="J608" s="38">
        <v>0</v>
      </c>
      <c r="K608">
        <v>0</v>
      </c>
      <c r="L608">
        <v>0</v>
      </c>
      <c r="M608">
        <v>0</v>
      </c>
      <c r="N608" s="38">
        <v>15.45</v>
      </c>
      <c r="O608" s="38"/>
      <c r="P608" s="38" t="s">
        <v>157</v>
      </c>
      <c r="Q608" s="38"/>
    </row>
    <row r="609" spans="1:17" x14ac:dyDescent="0.25">
      <c r="A609" s="39">
        <v>45417</v>
      </c>
      <c r="B609" s="38" t="s">
        <v>29</v>
      </c>
      <c r="C609" s="38" t="s">
        <v>7</v>
      </c>
      <c r="D609" s="38" t="s">
        <v>315</v>
      </c>
      <c r="E609" s="38" t="s">
        <v>56</v>
      </c>
      <c r="F609" s="38" t="s">
        <v>338</v>
      </c>
      <c r="G609" s="38" t="s">
        <v>138</v>
      </c>
      <c r="H609" s="9" t="s">
        <v>236</v>
      </c>
      <c r="I609" s="38" t="s">
        <v>65</v>
      </c>
      <c r="J609" s="38">
        <v>0</v>
      </c>
      <c r="K609">
        <v>0</v>
      </c>
      <c r="L609">
        <v>0</v>
      </c>
      <c r="M609">
        <v>0</v>
      </c>
      <c r="N609" s="38">
        <v>13.98</v>
      </c>
      <c r="O609" s="38"/>
      <c r="P609" s="38" t="s">
        <v>156</v>
      </c>
      <c r="Q609" s="38"/>
    </row>
    <row r="610" spans="1:17" x14ac:dyDescent="0.25">
      <c r="A610" s="39">
        <v>45417</v>
      </c>
      <c r="B610" s="38" t="s">
        <v>30</v>
      </c>
      <c r="C610" s="38" t="s">
        <v>7</v>
      </c>
      <c r="D610" s="38" t="s">
        <v>305</v>
      </c>
      <c r="E610" s="38" t="s">
        <v>81</v>
      </c>
      <c r="F610" s="38" t="s">
        <v>90</v>
      </c>
      <c r="G610" s="38" t="s">
        <v>138</v>
      </c>
      <c r="H610" s="9" t="s">
        <v>71</v>
      </c>
      <c r="I610" s="38" t="s">
        <v>58</v>
      </c>
      <c r="J610" s="38">
        <v>0</v>
      </c>
      <c r="K610">
        <v>0</v>
      </c>
      <c r="L610">
        <v>0</v>
      </c>
      <c r="M610">
        <v>0</v>
      </c>
      <c r="N610" s="38">
        <v>10.84</v>
      </c>
      <c r="O610" s="38"/>
      <c r="P610" s="38" t="s">
        <v>150</v>
      </c>
      <c r="Q610" s="38"/>
    </row>
    <row r="611" spans="1:17" x14ac:dyDescent="0.25">
      <c r="A611" s="39">
        <v>45417</v>
      </c>
      <c r="B611" s="38" t="s">
        <v>31</v>
      </c>
      <c r="C611" s="38" t="s">
        <v>7</v>
      </c>
      <c r="D611" s="38"/>
      <c r="E611" s="38" t="s">
        <v>56</v>
      </c>
      <c r="F611" s="38"/>
      <c r="G611" s="38" t="s">
        <v>138</v>
      </c>
      <c r="H611" s="9" t="s">
        <v>70</v>
      </c>
      <c r="I611" s="38" t="s">
        <v>65</v>
      </c>
      <c r="J611" s="38">
        <v>0</v>
      </c>
      <c r="K611">
        <v>0</v>
      </c>
      <c r="L611">
        <v>0</v>
      </c>
      <c r="M611">
        <v>0</v>
      </c>
      <c r="N611" s="38">
        <v>13.5</v>
      </c>
      <c r="O611" s="38"/>
      <c r="P611" s="38" t="s">
        <v>156</v>
      </c>
      <c r="Q611" s="38"/>
    </row>
    <row r="612" spans="1:17" x14ac:dyDescent="0.25">
      <c r="A612" s="39">
        <v>45417</v>
      </c>
      <c r="B612" s="38" t="s">
        <v>32</v>
      </c>
      <c r="C612" s="38" t="s">
        <v>7</v>
      </c>
      <c r="D612" s="38" t="s">
        <v>413</v>
      </c>
      <c r="E612" s="38" t="s">
        <v>202</v>
      </c>
      <c r="F612" s="38" t="s">
        <v>346</v>
      </c>
      <c r="G612" s="38" t="s">
        <v>138</v>
      </c>
      <c r="H612" s="9" t="s">
        <v>69</v>
      </c>
      <c r="I612" s="38" t="s">
        <v>58</v>
      </c>
      <c r="J612" s="38">
        <v>0</v>
      </c>
      <c r="K612">
        <v>0</v>
      </c>
      <c r="L612">
        <v>0</v>
      </c>
      <c r="M612">
        <v>0</v>
      </c>
      <c r="N612" s="38">
        <v>14.39</v>
      </c>
      <c r="O612" s="38"/>
      <c r="P612" s="38" t="s">
        <v>414</v>
      </c>
      <c r="Q612" s="38"/>
    </row>
    <row r="613" spans="1:17" x14ac:dyDescent="0.25">
      <c r="A613" s="39">
        <v>45417</v>
      </c>
      <c r="B613" s="38" t="s">
        <v>67</v>
      </c>
      <c r="C613" s="38" t="s">
        <v>7</v>
      </c>
      <c r="D613" s="38" t="s">
        <v>354</v>
      </c>
      <c r="E613" s="38" t="s">
        <v>56</v>
      </c>
      <c r="F613" s="38" t="s">
        <v>367</v>
      </c>
      <c r="G613" s="38" t="s">
        <v>138</v>
      </c>
      <c r="H613" s="9" t="s">
        <v>68</v>
      </c>
      <c r="I613" s="38" t="s">
        <v>65</v>
      </c>
      <c r="J613" s="38">
        <v>0</v>
      </c>
      <c r="K613">
        <v>0</v>
      </c>
      <c r="L613">
        <v>0</v>
      </c>
      <c r="M613">
        <v>0</v>
      </c>
      <c r="N613" s="38">
        <v>13.8</v>
      </c>
      <c r="O613" s="38"/>
      <c r="P613" s="38" t="s">
        <v>156</v>
      </c>
      <c r="Q613" s="38"/>
    </row>
    <row r="614" spans="1:17" x14ac:dyDescent="0.25">
      <c r="A614" s="39">
        <v>45417</v>
      </c>
      <c r="B614" s="38" t="s">
        <v>33</v>
      </c>
      <c r="C614" s="38" t="s">
        <v>7</v>
      </c>
      <c r="D614" s="38" t="s">
        <v>277</v>
      </c>
      <c r="E614" s="38" t="s">
        <v>73</v>
      </c>
      <c r="F614" s="38" t="s">
        <v>346</v>
      </c>
      <c r="G614" s="38" t="s">
        <v>138</v>
      </c>
      <c r="H614" s="9" t="s">
        <v>66</v>
      </c>
      <c r="I614" s="38" t="s">
        <v>58</v>
      </c>
      <c r="J614" s="38">
        <v>0</v>
      </c>
      <c r="K614">
        <v>0</v>
      </c>
      <c r="L614">
        <v>0</v>
      </c>
      <c r="M614">
        <v>0</v>
      </c>
      <c r="N614" s="38">
        <v>14.19</v>
      </c>
      <c r="O614" s="38"/>
      <c r="P614" s="38" t="s">
        <v>201</v>
      </c>
      <c r="Q614" s="38"/>
    </row>
    <row r="615" spans="1:17" x14ac:dyDescent="0.25">
      <c r="A615" s="39">
        <v>45417</v>
      </c>
      <c r="B615" s="38" t="s">
        <v>34</v>
      </c>
      <c r="C615" s="38" t="s">
        <v>7</v>
      </c>
      <c r="D615" s="38" t="s">
        <v>415</v>
      </c>
      <c r="E615" s="38" t="s">
        <v>56</v>
      </c>
      <c r="F615" s="38" t="s">
        <v>346</v>
      </c>
      <c r="G615" s="38" t="s">
        <v>138</v>
      </c>
      <c r="H615" s="9" t="s">
        <v>64</v>
      </c>
      <c r="I615" s="38" t="s">
        <v>65</v>
      </c>
      <c r="J615" s="38">
        <v>0</v>
      </c>
      <c r="K615">
        <v>0</v>
      </c>
      <c r="L615">
        <v>0</v>
      </c>
      <c r="M615">
        <v>0</v>
      </c>
      <c r="N615" s="38">
        <v>15.6</v>
      </c>
      <c r="O615" s="38"/>
      <c r="P615" s="38" t="s">
        <v>416</v>
      </c>
      <c r="Q615" s="38"/>
    </row>
    <row r="616" spans="1:17" x14ac:dyDescent="0.25">
      <c r="A616" s="39">
        <v>45417</v>
      </c>
      <c r="B616" s="38" t="s">
        <v>35</v>
      </c>
      <c r="C616" s="38" t="s">
        <v>7</v>
      </c>
      <c r="D616" s="38" t="s">
        <v>331</v>
      </c>
      <c r="E616" s="38" t="s">
        <v>60</v>
      </c>
      <c r="F616" s="38" t="s">
        <v>346</v>
      </c>
      <c r="G616" s="38" t="s">
        <v>138</v>
      </c>
      <c r="H616" s="9" t="s">
        <v>237</v>
      </c>
      <c r="I616" s="38" t="s">
        <v>58</v>
      </c>
      <c r="J616" s="38">
        <v>0</v>
      </c>
      <c r="K616">
        <v>0</v>
      </c>
      <c r="L616">
        <v>0</v>
      </c>
      <c r="M616">
        <v>0</v>
      </c>
      <c r="N616" s="38">
        <v>14.64</v>
      </c>
      <c r="O616" s="38"/>
      <c r="P616" s="38" t="s">
        <v>158</v>
      </c>
      <c r="Q616" s="38"/>
    </row>
    <row r="617" spans="1:17" x14ac:dyDescent="0.25">
      <c r="A617" s="39">
        <v>45417</v>
      </c>
      <c r="B617" s="38" t="s">
        <v>418</v>
      </c>
      <c r="C617" s="38" t="s">
        <v>7</v>
      </c>
      <c r="D617" s="38"/>
      <c r="E617" s="38"/>
      <c r="F617" s="38"/>
      <c r="G617" s="38" t="s">
        <v>138</v>
      </c>
      <c r="H617" s="9" t="s">
        <v>240</v>
      </c>
      <c r="I617" s="38" t="s">
        <v>262</v>
      </c>
      <c r="J617" s="38">
        <v>0</v>
      </c>
      <c r="K617">
        <v>0</v>
      </c>
      <c r="L617">
        <v>0</v>
      </c>
      <c r="M617">
        <v>0</v>
      </c>
      <c r="N617" s="38">
        <v>17.670000000000002</v>
      </c>
      <c r="O617" s="38"/>
      <c r="P617" s="38"/>
      <c r="Q617" s="38"/>
    </row>
    <row r="618" spans="1:17" x14ac:dyDescent="0.25">
      <c r="A618" s="39">
        <v>45417</v>
      </c>
      <c r="B618" s="38" t="s">
        <v>419</v>
      </c>
      <c r="C618" s="38" t="s">
        <v>7</v>
      </c>
      <c r="D618" s="38"/>
      <c r="E618" s="38"/>
      <c r="F618" s="38"/>
      <c r="G618" s="38" t="s">
        <v>138</v>
      </c>
      <c r="H618" s="9" t="s">
        <v>240</v>
      </c>
      <c r="I618" s="38" t="s">
        <v>262</v>
      </c>
      <c r="J618" s="38">
        <v>0</v>
      </c>
      <c r="K618">
        <v>0</v>
      </c>
      <c r="L618">
        <v>0</v>
      </c>
      <c r="M618">
        <v>0</v>
      </c>
      <c r="N618" s="38">
        <v>13.49</v>
      </c>
      <c r="O618" s="38"/>
      <c r="P618" s="38"/>
      <c r="Q618" s="38"/>
    </row>
    <row r="619" spans="1:17" x14ac:dyDescent="0.25">
      <c r="A619" s="39">
        <v>45417</v>
      </c>
      <c r="B619" s="38" t="s">
        <v>36</v>
      </c>
      <c r="C619" s="38" t="s">
        <v>7</v>
      </c>
      <c r="D619" s="38" t="s">
        <v>295</v>
      </c>
      <c r="E619" s="38" t="s">
        <v>81</v>
      </c>
      <c r="F619" s="38" t="s">
        <v>369</v>
      </c>
      <c r="G619" s="38" t="s">
        <v>138</v>
      </c>
      <c r="H619" s="9" t="s">
        <v>423</v>
      </c>
      <c r="I619" s="38" t="s">
        <v>58</v>
      </c>
      <c r="J619" s="38">
        <v>0</v>
      </c>
      <c r="K619">
        <v>0</v>
      </c>
      <c r="L619">
        <v>0</v>
      </c>
      <c r="M619">
        <v>0</v>
      </c>
      <c r="N619" s="38">
        <v>38472557</v>
      </c>
      <c r="O619" s="38"/>
      <c r="P619" s="38" t="s">
        <v>156</v>
      </c>
      <c r="Q619" s="38"/>
    </row>
    <row r="620" spans="1:17" x14ac:dyDescent="0.25">
      <c r="A620" s="39">
        <v>45417</v>
      </c>
      <c r="B620" s="38" t="s">
        <v>256</v>
      </c>
      <c r="C620" s="38" t="s">
        <v>7</v>
      </c>
      <c r="D620" s="38" t="s">
        <v>392</v>
      </c>
      <c r="E620" s="38" t="s">
        <v>417</v>
      </c>
      <c r="F620" s="38" t="s">
        <v>192</v>
      </c>
      <c r="G620" s="38" t="s">
        <v>138</v>
      </c>
      <c r="H620" s="9"/>
      <c r="I620" s="38" t="s">
        <v>262</v>
      </c>
      <c r="J620" s="38">
        <v>0</v>
      </c>
      <c r="K620">
        <v>0</v>
      </c>
      <c r="L620">
        <v>0</v>
      </c>
      <c r="M620">
        <v>0</v>
      </c>
      <c r="N620" s="38">
        <v>0</v>
      </c>
      <c r="O620" s="38"/>
      <c r="P620" s="38" t="s">
        <v>149</v>
      </c>
      <c r="Q620" s="38"/>
    </row>
    <row r="621" spans="1:17" x14ac:dyDescent="0.25">
      <c r="A621" s="39">
        <v>45417</v>
      </c>
      <c r="B621" s="38" t="s">
        <v>257</v>
      </c>
      <c r="C621" s="38" t="s">
        <v>7</v>
      </c>
      <c r="D621" s="38" t="s">
        <v>392</v>
      </c>
      <c r="E621" s="38" t="s">
        <v>417</v>
      </c>
      <c r="F621" s="38" t="s">
        <v>192</v>
      </c>
      <c r="G621" s="38" t="s">
        <v>138</v>
      </c>
      <c r="H621" s="9"/>
      <c r="I621" s="38" t="s">
        <v>58</v>
      </c>
      <c r="J621" s="38">
        <v>0</v>
      </c>
      <c r="K621">
        <v>0</v>
      </c>
      <c r="L621">
        <v>0</v>
      </c>
      <c r="M621">
        <v>0</v>
      </c>
      <c r="N621" s="38">
        <v>38.46</v>
      </c>
      <c r="O621" s="38"/>
      <c r="P621" s="38" t="s">
        <v>149</v>
      </c>
      <c r="Q621" s="38"/>
    </row>
    <row r="622" spans="1:17" x14ac:dyDescent="0.25">
      <c r="A622" s="39">
        <v>45417</v>
      </c>
      <c r="B622" s="38" t="s">
        <v>37</v>
      </c>
      <c r="C622" s="38" t="s">
        <v>7</v>
      </c>
      <c r="D622" s="38" t="s">
        <v>347</v>
      </c>
      <c r="E622" s="38" t="s">
        <v>348</v>
      </c>
      <c r="F622" s="38" t="s">
        <v>346</v>
      </c>
      <c r="G622" s="38" t="s">
        <v>138</v>
      </c>
      <c r="H622" s="9" t="s">
        <v>425</v>
      </c>
      <c r="I622" s="38" t="s">
        <v>58</v>
      </c>
      <c r="J622" s="38">
        <v>0</v>
      </c>
      <c r="K622">
        <v>0</v>
      </c>
      <c r="L622">
        <v>0</v>
      </c>
      <c r="M622">
        <v>0</v>
      </c>
      <c r="N622" s="38">
        <v>13.5</v>
      </c>
      <c r="O622" s="38"/>
      <c r="P622" s="38" t="s">
        <v>270</v>
      </c>
      <c r="Q622" s="38"/>
    </row>
    <row r="623" spans="1:17" x14ac:dyDescent="0.25">
      <c r="A623" s="39">
        <v>45417</v>
      </c>
      <c r="B623" s="38" t="s">
        <v>258</v>
      </c>
      <c r="C623" s="38" t="s">
        <v>7</v>
      </c>
      <c r="D623" s="38"/>
      <c r="E623" s="38"/>
      <c r="F623" s="38"/>
      <c r="G623" s="38" t="s">
        <v>138</v>
      </c>
      <c r="H623" s="9" t="s">
        <v>426</v>
      </c>
      <c r="I623" s="38" t="s">
        <v>262</v>
      </c>
      <c r="J623" s="38">
        <v>0</v>
      </c>
      <c r="K623">
        <v>0</v>
      </c>
      <c r="L623">
        <v>0</v>
      </c>
      <c r="M623">
        <v>0</v>
      </c>
      <c r="N623" s="38">
        <v>13.5</v>
      </c>
      <c r="O623" s="38"/>
      <c r="P623" s="38" t="s">
        <v>148</v>
      </c>
      <c r="Q623" s="38"/>
    </row>
    <row r="624" spans="1:17" x14ac:dyDescent="0.25">
      <c r="A624" s="39">
        <v>45417</v>
      </c>
      <c r="B624" s="38" t="s">
        <v>259</v>
      </c>
      <c r="C624" s="38" t="s">
        <v>7</v>
      </c>
      <c r="D624" s="38"/>
      <c r="E624" s="38"/>
      <c r="F624" s="38"/>
      <c r="G624" s="38" t="s">
        <v>138</v>
      </c>
      <c r="H624" s="9" t="s">
        <v>426</v>
      </c>
      <c r="I624" s="38" t="s">
        <v>262</v>
      </c>
      <c r="J624" s="38">
        <v>0</v>
      </c>
      <c r="K624">
        <v>0</v>
      </c>
      <c r="L624">
        <v>0</v>
      </c>
      <c r="M624">
        <v>0</v>
      </c>
      <c r="N624" s="38">
        <v>41.06</v>
      </c>
      <c r="O624" s="38"/>
      <c r="P624" s="38" t="s">
        <v>148</v>
      </c>
      <c r="Q624" s="38"/>
    </row>
    <row r="625" spans="1:17" x14ac:dyDescent="0.25">
      <c r="A625" s="39">
        <v>45417</v>
      </c>
      <c r="B625" s="38" t="s">
        <v>54</v>
      </c>
      <c r="C625" s="38" t="s">
        <v>7</v>
      </c>
      <c r="D625" s="38" t="s">
        <v>55</v>
      </c>
      <c r="E625" s="38" t="s">
        <v>56</v>
      </c>
      <c r="F625" s="38" t="s">
        <v>57</v>
      </c>
      <c r="G625" s="38" t="s">
        <v>138</v>
      </c>
      <c r="H625" s="9" t="s">
        <v>427</v>
      </c>
      <c r="I625" s="38" t="s">
        <v>58</v>
      </c>
      <c r="J625" s="38">
        <v>0</v>
      </c>
      <c r="K625">
        <v>0</v>
      </c>
      <c r="L625">
        <v>0</v>
      </c>
      <c r="M625">
        <v>0</v>
      </c>
      <c r="N625" s="38">
        <v>41.06</v>
      </c>
      <c r="O625" s="38"/>
      <c r="P625" s="38" t="s">
        <v>159</v>
      </c>
      <c r="Q625" s="38"/>
    </row>
    <row r="626" spans="1:17" x14ac:dyDescent="0.25">
      <c r="A626" s="39">
        <v>45417</v>
      </c>
      <c r="B626" s="38" t="s">
        <v>136</v>
      </c>
      <c r="C626" s="38" t="s">
        <v>8</v>
      </c>
      <c r="D626" s="38" t="s">
        <v>174</v>
      </c>
      <c r="E626" s="38" t="s">
        <v>81</v>
      </c>
      <c r="F626" s="38" t="s">
        <v>90</v>
      </c>
      <c r="G626" s="38" t="s">
        <v>138</v>
      </c>
      <c r="H626" s="9" t="s">
        <v>160</v>
      </c>
      <c r="I626" s="38" t="s">
        <v>58</v>
      </c>
      <c r="J626" s="38">
        <v>0</v>
      </c>
      <c r="K626">
        <v>0</v>
      </c>
      <c r="L626">
        <v>0</v>
      </c>
      <c r="M626">
        <v>0</v>
      </c>
      <c r="N626" s="38">
        <v>42144554</v>
      </c>
      <c r="O626" s="38"/>
      <c r="P626" s="38" t="s">
        <v>153</v>
      </c>
      <c r="Q626" s="38"/>
    </row>
    <row r="627" spans="1:17" x14ac:dyDescent="0.25">
      <c r="A627" s="39">
        <v>45417</v>
      </c>
      <c r="B627" t="s">
        <v>135</v>
      </c>
      <c r="C627" s="38" t="s">
        <v>8</v>
      </c>
      <c r="D627" t="s">
        <v>332</v>
      </c>
      <c r="E627" t="s">
        <v>81</v>
      </c>
      <c r="F627" t="s">
        <v>90</v>
      </c>
      <c r="G627" t="s">
        <v>138</v>
      </c>
      <c r="H627" s="9" t="s">
        <v>161</v>
      </c>
      <c r="I627" t="s">
        <v>58</v>
      </c>
      <c r="J627">
        <v>0</v>
      </c>
      <c r="K627">
        <v>0</v>
      </c>
      <c r="L627">
        <v>0</v>
      </c>
      <c r="M627">
        <v>0</v>
      </c>
      <c r="N627">
        <v>24.09</v>
      </c>
      <c r="P627" t="s">
        <v>148</v>
      </c>
      <c r="Q627" s="38"/>
    </row>
    <row r="628" spans="1:17" x14ac:dyDescent="0.25">
      <c r="A628" s="39">
        <v>45417</v>
      </c>
      <c r="B628" t="s">
        <v>134</v>
      </c>
      <c r="C628" s="38" t="s">
        <v>8</v>
      </c>
      <c r="D628" t="s">
        <v>175</v>
      </c>
      <c r="E628" t="s">
        <v>81</v>
      </c>
      <c r="F628" t="s">
        <v>90</v>
      </c>
      <c r="G628" t="s">
        <v>138</v>
      </c>
      <c r="H628" s="9" t="s">
        <v>206</v>
      </c>
      <c r="I628" t="s">
        <v>58</v>
      </c>
      <c r="J628">
        <v>0</v>
      </c>
      <c r="K628">
        <v>0</v>
      </c>
      <c r="L628">
        <v>0</v>
      </c>
      <c r="M628">
        <v>0</v>
      </c>
      <c r="N628">
        <v>0</v>
      </c>
      <c r="P628" t="s">
        <v>148</v>
      </c>
      <c r="Q628" s="38"/>
    </row>
    <row r="629" spans="1:17" x14ac:dyDescent="0.25">
      <c r="A629" s="39">
        <v>45417</v>
      </c>
      <c r="B629" t="s">
        <v>132</v>
      </c>
      <c r="C629" s="38" t="s">
        <v>8</v>
      </c>
      <c r="D629" t="s">
        <v>133</v>
      </c>
      <c r="E629" t="s">
        <v>126</v>
      </c>
      <c r="F629" t="s">
        <v>199</v>
      </c>
      <c r="G629" t="s">
        <v>138</v>
      </c>
      <c r="H629" s="9" t="s">
        <v>162</v>
      </c>
      <c r="I629" t="s">
        <v>58</v>
      </c>
      <c r="J629">
        <v>0</v>
      </c>
      <c r="K629">
        <v>0</v>
      </c>
      <c r="L629">
        <v>0</v>
      </c>
      <c r="M629">
        <v>0</v>
      </c>
      <c r="N629">
        <v>38.369999999999997</v>
      </c>
      <c r="P629" t="s">
        <v>149</v>
      </c>
      <c r="Q629" s="38"/>
    </row>
    <row r="630" spans="1:17" x14ac:dyDescent="0.25">
      <c r="A630" s="39">
        <v>45417</v>
      </c>
      <c r="B630" t="s">
        <v>131</v>
      </c>
      <c r="C630" s="38" t="s">
        <v>8</v>
      </c>
      <c r="D630" t="s">
        <v>396</v>
      </c>
      <c r="E630" t="s">
        <v>60</v>
      </c>
      <c r="F630" t="s">
        <v>90</v>
      </c>
      <c r="G630" t="s">
        <v>138</v>
      </c>
      <c r="H630" s="9" t="s">
        <v>163</v>
      </c>
      <c r="I630" t="s">
        <v>58</v>
      </c>
      <c r="J630">
        <v>0</v>
      </c>
      <c r="K630">
        <v>0</v>
      </c>
      <c r="L630">
        <v>0</v>
      </c>
      <c r="M630">
        <v>0</v>
      </c>
      <c r="N630">
        <v>23.93</v>
      </c>
      <c r="P630" t="s">
        <v>154</v>
      </c>
      <c r="Q630" s="38"/>
    </row>
    <row r="631" spans="1:17" x14ac:dyDescent="0.25">
      <c r="A631" s="39">
        <v>45417</v>
      </c>
      <c r="B631" t="s">
        <v>130</v>
      </c>
      <c r="C631" s="38" t="s">
        <v>8</v>
      </c>
      <c r="D631" t="s">
        <v>191</v>
      </c>
      <c r="E631" t="s">
        <v>81</v>
      </c>
      <c r="F631" t="s">
        <v>285</v>
      </c>
      <c r="G631" t="s">
        <v>138</v>
      </c>
      <c r="H631" s="9" t="s">
        <v>420</v>
      </c>
      <c r="I631" t="s">
        <v>58</v>
      </c>
      <c r="J631">
        <v>0</v>
      </c>
      <c r="K631">
        <v>0</v>
      </c>
      <c r="L631">
        <v>0</v>
      </c>
      <c r="M631">
        <v>0</v>
      </c>
      <c r="N631">
        <v>14.99</v>
      </c>
      <c r="P631" t="s">
        <v>148</v>
      </c>
      <c r="Q631" s="38"/>
    </row>
    <row r="632" spans="1:17" x14ac:dyDescent="0.25">
      <c r="A632" s="39">
        <v>45417</v>
      </c>
      <c r="B632" t="s">
        <v>128</v>
      </c>
      <c r="C632" s="38" t="s">
        <v>8</v>
      </c>
      <c r="D632" t="s">
        <v>129</v>
      </c>
      <c r="E632" t="s">
        <v>126</v>
      </c>
      <c r="F632" t="s">
        <v>199</v>
      </c>
      <c r="G632" t="s">
        <v>138</v>
      </c>
      <c r="H632" s="9" t="s">
        <v>164</v>
      </c>
      <c r="I632" t="s">
        <v>58</v>
      </c>
      <c r="J632">
        <v>0</v>
      </c>
      <c r="K632">
        <v>0</v>
      </c>
      <c r="L632">
        <v>0</v>
      </c>
      <c r="M632">
        <v>0</v>
      </c>
      <c r="N632">
        <v>41.06</v>
      </c>
      <c r="P632" t="s">
        <v>149</v>
      </c>
      <c r="Q632" s="38"/>
    </row>
    <row r="633" spans="1:17" x14ac:dyDescent="0.25">
      <c r="A633" s="39">
        <v>45417</v>
      </c>
      <c r="B633" t="s">
        <v>40</v>
      </c>
      <c r="C633" s="38" t="s">
        <v>8</v>
      </c>
      <c r="D633" t="s">
        <v>397</v>
      </c>
      <c r="E633" t="s">
        <v>60</v>
      </c>
      <c r="F633" t="s">
        <v>200</v>
      </c>
      <c r="G633" t="s">
        <v>138</v>
      </c>
      <c r="H633" s="9" t="s">
        <v>165</v>
      </c>
      <c r="I633" t="s">
        <v>58</v>
      </c>
      <c r="J633">
        <v>0</v>
      </c>
      <c r="K633">
        <v>0</v>
      </c>
      <c r="L633">
        <v>0</v>
      </c>
      <c r="M633">
        <v>0</v>
      </c>
      <c r="N633">
        <v>14.92</v>
      </c>
      <c r="P633" t="s">
        <v>153</v>
      </c>
      <c r="Q633" s="38"/>
    </row>
    <row r="634" spans="1:17" x14ac:dyDescent="0.25">
      <c r="A634" s="39">
        <v>45417</v>
      </c>
      <c r="B634" t="s">
        <v>127</v>
      </c>
      <c r="C634" s="38" t="s">
        <v>8</v>
      </c>
      <c r="D634" t="s">
        <v>203</v>
      </c>
      <c r="E634" t="s">
        <v>81</v>
      </c>
      <c r="F634" t="s">
        <v>285</v>
      </c>
      <c r="G634" t="s">
        <v>138</v>
      </c>
      <c r="H634" s="9" t="s">
        <v>207</v>
      </c>
      <c r="I634" t="s">
        <v>58</v>
      </c>
      <c r="J634">
        <v>0</v>
      </c>
      <c r="K634">
        <v>0</v>
      </c>
      <c r="L634">
        <v>0</v>
      </c>
      <c r="M634">
        <v>0</v>
      </c>
      <c r="N634">
        <v>20.85</v>
      </c>
      <c r="P634" t="s">
        <v>151</v>
      </c>
      <c r="Q634" s="38"/>
    </row>
    <row r="635" spans="1:17" x14ac:dyDescent="0.25">
      <c r="A635" s="39">
        <v>45417</v>
      </c>
      <c r="B635" t="s">
        <v>124</v>
      </c>
      <c r="C635" s="38" t="s">
        <v>8</v>
      </c>
      <c r="D635" t="s">
        <v>340</v>
      </c>
      <c r="E635" t="s">
        <v>126</v>
      </c>
      <c r="F635" t="s">
        <v>199</v>
      </c>
      <c r="G635" t="s">
        <v>138</v>
      </c>
      <c r="H635" s="9" t="s">
        <v>166</v>
      </c>
      <c r="I635" t="s">
        <v>58</v>
      </c>
      <c r="J635">
        <v>0</v>
      </c>
      <c r="K635">
        <v>0</v>
      </c>
      <c r="L635">
        <v>0</v>
      </c>
      <c r="M635">
        <v>0</v>
      </c>
      <c r="N635">
        <v>39863813</v>
      </c>
      <c r="P635" t="s">
        <v>149</v>
      </c>
      <c r="Q635" s="38"/>
    </row>
    <row r="636" spans="1:17" x14ac:dyDescent="0.25">
      <c r="A636" s="39">
        <v>45417</v>
      </c>
      <c r="B636" t="s">
        <v>122</v>
      </c>
      <c r="C636" s="38" t="s">
        <v>8</v>
      </c>
      <c r="D636" t="s">
        <v>356</v>
      </c>
      <c r="E636" t="s">
        <v>81</v>
      </c>
      <c r="F636" t="s">
        <v>90</v>
      </c>
      <c r="G636" t="s">
        <v>138</v>
      </c>
      <c r="H636" s="9" t="s">
        <v>167</v>
      </c>
      <c r="I636" t="s">
        <v>58</v>
      </c>
      <c r="J636">
        <v>0</v>
      </c>
      <c r="K636">
        <v>0</v>
      </c>
      <c r="L636">
        <v>0</v>
      </c>
      <c r="M636">
        <v>0</v>
      </c>
      <c r="N636">
        <v>20.9</v>
      </c>
      <c r="P636" t="s">
        <v>148</v>
      </c>
      <c r="Q636" s="38"/>
    </row>
    <row r="637" spans="1:17" x14ac:dyDescent="0.25">
      <c r="A637" s="39">
        <v>45417</v>
      </c>
      <c r="B637" t="s">
        <v>120</v>
      </c>
      <c r="C637" s="38" t="s">
        <v>8</v>
      </c>
      <c r="D637" t="s">
        <v>333</v>
      </c>
      <c r="E637" t="s">
        <v>375</v>
      </c>
      <c r="F637" t="s">
        <v>285</v>
      </c>
      <c r="G637" t="s">
        <v>138</v>
      </c>
      <c r="H637" s="9" t="s">
        <v>121</v>
      </c>
      <c r="I637" t="s">
        <v>58</v>
      </c>
      <c r="J637">
        <v>0</v>
      </c>
      <c r="K637">
        <v>0</v>
      </c>
      <c r="L637">
        <v>0</v>
      </c>
      <c r="M637">
        <v>0</v>
      </c>
      <c r="N637">
        <v>41.69</v>
      </c>
      <c r="P637" t="s">
        <v>151</v>
      </c>
      <c r="Q637" s="38"/>
    </row>
    <row r="638" spans="1:17" x14ac:dyDescent="0.25">
      <c r="A638" s="39">
        <v>45417</v>
      </c>
      <c r="B638" t="s">
        <v>119</v>
      </c>
      <c r="C638" s="38" t="s">
        <v>8</v>
      </c>
      <c r="D638" t="s">
        <v>178</v>
      </c>
      <c r="E638" t="s">
        <v>399</v>
      </c>
      <c r="F638" t="s">
        <v>192</v>
      </c>
      <c r="G638" t="s">
        <v>138</v>
      </c>
      <c r="H638" s="9" t="s">
        <v>168</v>
      </c>
      <c r="I638" t="s">
        <v>58</v>
      </c>
      <c r="J638">
        <v>0</v>
      </c>
      <c r="K638">
        <v>0</v>
      </c>
      <c r="L638">
        <v>0</v>
      </c>
      <c r="M638">
        <v>0</v>
      </c>
      <c r="N638">
        <v>41.62</v>
      </c>
      <c r="P638" t="s">
        <v>149</v>
      </c>
      <c r="Q638" s="38"/>
    </row>
    <row r="639" spans="1:17" x14ac:dyDescent="0.25">
      <c r="A639" s="39">
        <v>45417</v>
      </c>
      <c r="B639" t="s">
        <v>117</v>
      </c>
      <c r="C639" s="38" t="s">
        <v>8</v>
      </c>
      <c r="D639" t="s">
        <v>349</v>
      </c>
      <c r="E639" t="s">
        <v>398</v>
      </c>
      <c r="F639" t="s">
        <v>90</v>
      </c>
      <c r="G639" t="s">
        <v>138</v>
      </c>
      <c r="H639" s="9" t="s">
        <v>118</v>
      </c>
      <c r="I639" t="s">
        <v>58</v>
      </c>
      <c r="J639">
        <v>0</v>
      </c>
      <c r="K639">
        <v>0</v>
      </c>
      <c r="L639">
        <v>0</v>
      </c>
      <c r="M639">
        <v>0</v>
      </c>
      <c r="N639">
        <v>34.69</v>
      </c>
      <c r="P639" t="s">
        <v>151</v>
      </c>
      <c r="Q639" s="38"/>
    </row>
    <row r="640" spans="1:17" x14ac:dyDescent="0.25">
      <c r="A640" s="39">
        <v>45417</v>
      </c>
      <c r="B640" t="s">
        <v>39</v>
      </c>
      <c r="C640" s="38" t="s">
        <v>8</v>
      </c>
      <c r="D640" t="s">
        <v>177</v>
      </c>
      <c r="E640" t="s">
        <v>377</v>
      </c>
      <c r="F640" t="s">
        <v>90</v>
      </c>
      <c r="G640" t="s">
        <v>138</v>
      </c>
      <c r="H640" s="9" t="s">
        <v>116</v>
      </c>
      <c r="I640" t="s">
        <v>58</v>
      </c>
      <c r="J640">
        <v>0</v>
      </c>
      <c r="K640">
        <v>0</v>
      </c>
      <c r="L640">
        <v>0</v>
      </c>
      <c r="M640">
        <v>0</v>
      </c>
      <c r="N640">
        <v>41.24</v>
      </c>
      <c r="P640" t="s">
        <v>151</v>
      </c>
      <c r="Q640" s="38"/>
    </row>
    <row r="641" spans="1:17" x14ac:dyDescent="0.25">
      <c r="A641" s="39">
        <v>45417</v>
      </c>
      <c r="B641" t="s">
        <v>113</v>
      </c>
      <c r="C641" s="38" t="s">
        <v>8</v>
      </c>
      <c r="D641" t="s">
        <v>188</v>
      </c>
      <c r="E641" t="s">
        <v>126</v>
      </c>
      <c r="F641" t="s">
        <v>199</v>
      </c>
      <c r="G641" t="s">
        <v>138</v>
      </c>
      <c r="H641" s="9" t="s">
        <v>114</v>
      </c>
      <c r="I641" t="s">
        <v>58</v>
      </c>
      <c r="J641">
        <v>0</v>
      </c>
      <c r="K641">
        <v>0</v>
      </c>
      <c r="L641">
        <v>0</v>
      </c>
      <c r="M641">
        <v>0</v>
      </c>
      <c r="N641">
        <v>41.35</v>
      </c>
      <c r="P641" t="s">
        <v>149</v>
      </c>
      <c r="Q641" s="38"/>
    </row>
    <row r="642" spans="1:17" x14ac:dyDescent="0.25">
      <c r="A642" s="39">
        <v>45417</v>
      </c>
      <c r="B642" t="s">
        <v>111</v>
      </c>
      <c r="C642" s="38" t="s">
        <v>8</v>
      </c>
      <c r="D642" t="s">
        <v>189</v>
      </c>
      <c r="E642" t="s">
        <v>81</v>
      </c>
      <c r="F642" t="s">
        <v>285</v>
      </c>
      <c r="G642" t="s">
        <v>138</v>
      </c>
      <c r="H642" s="9" t="s">
        <v>112</v>
      </c>
      <c r="I642" t="s">
        <v>58</v>
      </c>
      <c r="J642">
        <v>0</v>
      </c>
      <c r="K642">
        <v>0</v>
      </c>
      <c r="L642">
        <v>0</v>
      </c>
      <c r="M642">
        <v>0</v>
      </c>
      <c r="N642">
        <v>20.48</v>
      </c>
      <c r="P642" t="s">
        <v>153</v>
      </c>
      <c r="Q642" s="38"/>
    </row>
    <row r="643" spans="1:17" x14ac:dyDescent="0.25">
      <c r="A643" s="39">
        <v>45417</v>
      </c>
      <c r="B643" t="s">
        <v>109</v>
      </c>
      <c r="C643" s="38" t="s">
        <v>8</v>
      </c>
      <c r="D643" t="s">
        <v>142</v>
      </c>
      <c r="E643" t="s">
        <v>56</v>
      </c>
      <c r="F643" t="s">
        <v>199</v>
      </c>
      <c r="G643" t="s">
        <v>138</v>
      </c>
      <c r="H643" s="9" t="s">
        <v>110</v>
      </c>
      <c r="I643" t="s">
        <v>58</v>
      </c>
      <c r="J643">
        <v>0</v>
      </c>
      <c r="K643">
        <v>0</v>
      </c>
      <c r="L643">
        <v>0</v>
      </c>
      <c r="M643">
        <v>0</v>
      </c>
      <c r="N643">
        <v>41.05</v>
      </c>
      <c r="P643" t="s">
        <v>149</v>
      </c>
      <c r="Q643" s="38"/>
    </row>
    <row r="644" spans="1:17" x14ac:dyDescent="0.25">
      <c r="A644" s="39">
        <v>45417</v>
      </c>
      <c r="B644" t="s">
        <v>107</v>
      </c>
      <c r="C644" s="38" t="s">
        <v>8</v>
      </c>
      <c r="D644" t="s">
        <v>401</v>
      </c>
      <c r="E644" t="s">
        <v>56</v>
      </c>
      <c r="F644" t="s">
        <v>93</v>
      </c>
      <c r="G644" t="s">
        <v>138</v>
      </c>
      <c r="H644" s="9" t="s">
        <v>108</v>
      </c>
      <c r="I644" t="s">
        <v>58</v>
      </c>
      <c r="J644">
        <v>0</v>
      </c>
      <c r="K644">
        <v>0</v>
      </c>
      <c r="L644">
        <v>0</v>
      </c>
      <c r="M644">
        <v>0</v>
      </c>
      <c r="N644">
        <v>12.09</v>
      </c>
      <c r="P644" t="s">
        <v>403</v>
      </c>
      <c r="Q644" s="38"/>
    </row>
    <row r="645" spans="1:17" x14ac:dyDescent="0.25">
      <c r="A645" s="39">
        <v>45417</v>
      </c>
      <c r="B645" t="s">
        <v>41</v>
      </c>
      <c r="C645" s="38" t="s">
        <v>8</v>
      </c>
      <c r="D645" t="s">
        <v>123</v>
      </c>
      <c r="E645" t="s">
        <v>81</v>
      </c>
      <c r="F645" t="s">
        <v>285</v>
      </c>
      <c r="G645" t="s">
        <v>138</v>
      </c>
      <c r="H645" s="9" t="s">
        <v>106</v>
      </c>
      <c r="I645" t="s">
        <v>58</v>
      </c>
      <c r="J645">
        <v>0</v>
      </c>
      <c r="K645">
        <v>0</v>
      </c>
      <c r="L645">
        <v>0</v>
      </c>
      <c r="M645">
        <v>0</v>
      </c>
      <c r="N645">
        <v>17.88</v>
      </c>
      <c r="P645" t="s">
        <v>152</v>
      </c>
      <c r="Q645" s="38"/>
    </row>
    <row r="646" spans="1:17" x14ac:dyDescent="0.25">
      <c r="A646" s="39">
        <v>45417</v>
      </c>
      <c r="B646" t="s">
        <v>43</v>
      </c>
      <c r="C646" s="38" t="s">
        <v>8</v>
      </c>
      <c r="D646" t="s">
        <v>282</v>
      </c>
      <c r="E646" t="s">
        <v>275</v>
      </c>
      <c r="F646" t="s">
        <v>276</v>
      </c>
      <c r="G646" t="s">
        <v>138</v>
      </c>
      <c r="H646" s="9" t="s">
        <v>208</v>
      </c>
      <c r="I646" t="s">
        <v>58</v>
      </c>
      <c r="J646">
        <v>0</v>
      </c>
      <c r="K646">
        <v>0</v>
      </c>
      <c r="L646">
        <v>0</v>
      </c>
      <c r="M646">
        <v>0</v>
      </c>
      <c r="N646">
        <v>17.25</v>
      </c>
      <c r="P646" t="s">
        <v>154</v>
      </c>
      <c r="Q646" s="38"/>
    </row>
    <row r="647" spans="1:17" x14ac:dyDescent="0.25">
      <c r="A647" s="39">
        <v>45417</v>
      </c>
      <c r="B647" t="s">
        <v>5</v>
      </c>
      <c r="C647" s="38" t="s">
        <v>8</v>
      </c>
      <c r="D647" t="s">
        <v>283</v>
      </c>
      <c r="E647" t="s">
        <v>60</v>
      </c>
      <c r="F647" t="s">
        <v>285</v>
      </c>
      <c r="G647" t="s">
        <v>138</v>
      </c>
      <c r="H647" s="9" t="s">
        <v>209</v>
      </c>
      <c r="I647" t="s">
        <v>58</v>
      </c>
      <c r="J647">
        <v>0</v>
      </c>
      <c r="K647">
        <v>0</v>
      </c>
      <c r="L647">
        <v>0</v>
      </c>
      <c r="M647">
        <v>0</v>
      </c>
      <c r="N647">
        <v>16.46</v>
      </c>
      <c r="P647" t="s">
        <v>153</v>
      </c>
      <c r="Q647" s="38"/>
    </row>
    <row r="648" spans="1:17" x14ac:dyDescent="0.25">
      <c r="A648" s="39">
        <v>45417</v>
      </c>
      <c r="B648" t="s">
        <v>9</v>
      </c>
      <c r="C648" s="38" t="s">
        <v>8</v>
      </c>
      <c r="D648" t="s">
        <v>189</v>
      </c>
      <c r="E648" t="s">
        <v>360</v>
      </c>
      <c r="F648" t="s">
        <v>276</v>
      </c>
      <c r="G648" t="s">
        <v>138</v>
      </c>
      <c r="H648" s="9" t="s">
        <v>210</v>
      </c>
      <c r="I648" t="s">
        <v>58</v>
      </c>
      <c r="J648">
        <v>0</v>
      </c>
      <c r="K648">
        <v>0</v>
      </c>
      <c r="L648">
        <v>0</v>
      </c>
      <c r="M648">
        <v>0</v>
      </c>
      <c r="N648">
        <v>23.18</v>
      </c>
      <c r="P648" t="s">
        <v>153</v>
      </c>
      <c r="Q648" s="38"/>
    </row>
    <row r="649" spans="1:17" x14ac:dyDescent="0.25">
      <c r="A649" s="39">
        <v>45417</v>
      </c>
      <c r="B649" t="s">
        <v>10</v>
      </c>
      <c r="C649" s="38" t="s">
        <v>8</v>
      </c>
      <c r="D649" t="s">
        <v>263</v>
      </c>
      <c r="E649" t="s">
        <v>342</v>
      </c>
      <c r="F649" t="s">
        <v>90</v>
      </c>
      <c r="G649" t="s">
        <v>138</v>
      </c>
      <c r="H649" s="9" t="s">
        <v>211</v>
      </c>
      <c r="I649" t="s">
        <v>58</v>
      </c>
      <c r="J649">
        <v>0</v>
      </c>
      <c r="K649">
        <v>0</v>
      </c>
      <c r="L649">
        <v>0</v>
      </c>
      <c r="M649">
        <v>0</v>
      </c>
      <c r="N649">
        <v>74.34</v>
      </c>
      <c r="P649" t="s">
        <v>151</v>
      </c>
      <c r="Q649" s="38"/>
    </row>
    <row r="650" spans="1:17" x14ac:dyDescent="0.25">
      <c r="A650" s="39">
        <v>45417</v>
      </c>
      <c r="B650" t="s">
        <v>11</v>
      </c>
      <c r="C650" s="38" t="s">
        <v>8</v>
      </c>
      <c r="D650" t="s">
        <v>205</v>
      </c>
      <c r="E650" t="s">
        <v>60</v>
      </c>
      <c r="F650" t="s">
        <v>93</v>
      </c>
      <c r="G650" t="s">
        <v>138</v>
      </c>
      <c r="H650" s="9" t="s">
        <v>212</v>
      </c>
      <c r="I650" t="s">
        <v>58</v>
      </c>
      <c r="J650">
        <v>0</v>
      </c>
      <c r="K650">
        <v>0</v>
      </c>
      <c r="L650">
        <v>0</v>
      </c>
      <c r="M650">
        <v>0</v>
      </c>
      <c r="N650">
        <v>11.39</v>
      </c>
      <c r="P650" t="s">
        <v>147</v>
      </c>
      <c r="Q650" s="38"/>
    </row>
    <row r="651" spans="1:17" x14ac:dyDescent="0.25">
      <c r="A651" s="39">
        <v>45417</v>
      </c>
      <c r="B651" t="s">
        <v>12</v>
      </c>
      <c r="C651" s="38" t="s">
        <v>8</v>
      </c>
      <c r="D651" t="s">
        <v>286</v>
      </c>
      <c r="E651" t="s">
        <v>60</v>
      </c>
      <c r="F651" t="s">
        <v>285</v>
      </c>
      <c r="G651" t="s">
        <v>138</v>
      </c>
      <c r="H651" s="9" t="s">
        <v>213</v>
      </c>
      <c r="I651" t="s">
        <v>58</v>
      </c>
      <c r="J651">
        <v>0</v>
      </c>
      <c r="K651">
        <v>0</v>
      </c>
      <c r="L651">
        <v>0</v>
      </c>
      <c r="M651">
        <v>0</v>
      </c>
      <c r="N651">
        <v>11.98</v>
      </c>
      <c r="P651" t="s">
        <v>154</v>
      </c>
      <c r="Q651" s="38"/>
    </row>
    <row r="652" spans="1:17" x14ac:dyDescent="0.25">
      <c r="A652" s="39">
        <v>45417</v>
      </c>
      <c r="B652" t="s">
        <v>105</v>
      </c>
      <c r="C652" s="38" t="s">
        <v>8</v>
      </c>
      <c r="D652" t="s">
        <v>267</v>
      </c>
      <c r="E652" t="s">
        <v>60</v>
      </c>
      <c r="F652" t="s">
        <v>93</v>
      </c>
      <c r="G652" t="s">
        <v>138</v>
      </c>
      <c r="H652" s="9" t="s">
        <v>214</v>
      </c>
      <c r="I652" t="s">
        <v>58</v>
      </c>
      <c r="J652">
        <v>0</v>
      </c>
      <c r="K652">
        <v>0</v>
      </c>
      <c r="L652">
        <v>0</v>
      </c>
      <c r="M652">
        <v>0</v>
      </c>
      <c r="N652">
        <v>12.39</v>
      </c>
      <c r="P652" t="s">
        <v>147</v>
      </c>
      <c r="Q652" s="38"/>
    </row>
    <row r="653" spans="1:17" x14ac:dyDescent="0.25">
      <c r="A653" s="39">
        <v>45417</v>
      </c>
      <c r="B653" t="s">
        <v>104</v>
      </c>
      <c r="C653" s="38" t="s">
        <v>8</v>
      </c>
      <c r="D653" t="s">
        <v>143</v>
      </c>
      <c r="E653" t="s">
        <v>60</v>
      </c>
      <c r="F653" t="s">
        <v>285</v>
      </c>
      <c r="G653" t="s">
        <v>138</v>
      </c>
      <c r="H653" s="9" t="s">
        <v>215</v>
      </c>
      <c r="I653" t="s">
        <v>58</v>
      </c>
      <c r="J653">
        <v>0</v>
      </c>
      <c r="K653">
        <v>0</v>
      </c>
      <c r="L653">
        <v>0</v>
      </c>
      <c r="M653">
        <v>0</v>
      </c>
      <c r="N653">
        <v>13.96</v>
      </c>
      <c r="P653" t="s">
        <v>154</v>
      </c>
      <c r="Q653" s="38"/>
    </row>
    <row r="654" spans="1:17" x14ac:dyDescent="0.25">
      <c r="A654" s="39">
        <v>45417</v>
      </c>
      <c r="B654" t="s">
        <v>13</v>
      </c>
      <c r="C654" s="38" t="s">
        <v>8</v>
      </c>
      <c r="D654" t="s">
        <v>350</v>
      </c>
      <c r="E654" t="s">
        <v>60</v>
      </c>
      <c r="F654" t="s">
        <v>93</v>
      </c>
      <c r="G654" t="s">
        <v>138</v>
      </c>
      <c r="H654" s="9" t="s">
        <v>216</v>
      </c>
      <c r="I654" t="s">
        <v>58</v>
      </c>
      <c r="J654">
        <v>0</v>
      </c>
      <c r="K654">
        <v>0</v>
      </c>
      <c r="L654">
        <v>0</v>
      </c>
      <c r="M654">
        <v>0</v>
      </c>
      <c r="N654">
        <v>12.4</v>
      </c>
      <c r="P654" t="s">
        <v>147</v>
      </c>
      <c r="Q654" s="38"/>
    </row>
    <row r="655" spans="1:17" x14ac:dyDescent="0.25">
      <c r="A655" s="39">
        <v>45417</v>
      </c>
      <c r="B655" t="s">
        <v>103</v>
      </c>
      <c r="C655" s="38" t="s">
        <v>8</v>
      </c>
      <c r="D655" t="s">
        <v>179</v>
      </c>
      <c r="E655" t="s">
        <v>81</v>
      </c>
      <c r="F655" t="s">
        <v>90</v>
      </c>
      <c r="G655" t="s">
        <v>138</v>
      </c>
      <c r="H655" s="9" t="s">
        <v>217</v>
      </c>
      <c r="I655" t="s">
        <v>65</v>
      </c>
      <c r="J655">
        <v>0</v>
      </c>
      <c r="K655">
        <v>0</v>
      </c>
      <c r="L655">
        <v>0</v>
      </c>
      <c r="M655">
        <v>0</v>
      </c>
      <c r="N655">
        <v>41.9</v>
      </c>
      <c r="P655" t="s">
        <v>187</v>
      </c>
      <c r="Q655" s="38"/>
    </row>
    <row r="656" spans="1:17" x14ac:dyDescent="0.25">
      <c r="A656" s="39">
        <v>45417</v>
      </c>
      <c r="B656" t="s">
        <v>101</v>
      </c>
      <c r="C656" s="38" t="s">
        <v>8</v>
      </c>
      <c r="D656" t="s">
        <v>405</v>
      </c>
      <c r="E656" t="s">
        <v>81</v>
      </c>
      <c r="F656" t="s">
        <v>285</v>
      </c>
      <c r="G656" t="s">
        <v>138</v>
      </c>
      <c r="H656" s="9" t="s">
        <v>102</v>
      </c>
      <c r="I656" t="s">
        <v>58</v>
      </c>
      <c r="J656">
        <v>0</v>
      </c>
      <c r="K656">
        <v>0</v>
      </c>
      <c r="L656">
        <v>0</v>
      </c>
      <c r="M656">
        <v>0</v>
      </c>
      <c r="N656">
        <v>19.600000000000001</v>
      </c>
      <c r="P656" t="s">
        <v>151</v>
      </c>
      <c r="Q656" s="38"/>
    </row>
    <row r="657" spans="1:17" x14ac:dyDescent="0.25">
      <c r="A657" s="39">
        <v>45417</v>
      </c>
      <c r="B657" t="s">
        <v>99</v>
      </c>
      <c r="C657" s="38" t="s">
        <v>8</v>
      </c>
      <c r="D657" t="s">
        <v>249</v>
      </c>
      <c r="E657" t="s">
        <v>81</v>
      </c>
      <c r="F657" t="s">
        <v>90</v>
      </c>
      <c r="G657" t="s">
        <v>138</v>
      </c>
      <c r="H657" s="9" t="s">
        <v>100</v>
      </c>
      <c r="J657">
        <v>0</v>
      </c>
      <c r="K657">
        <v>0</v>
      </c>
      <c r="L657">
        <v>0</v>
      </c>
      <c r="M657">
        <v>0</v>
      </c>
      <c r="N657">
        <v>41.83</v>
      </c>
      <c r="P657" t="s">
        <v>152</v>
      </c>
      <c r="Q657" s="38"/>
    </row>
    <row r="658" spans="1:17" x14ac:dyDescent="0.25">
      <c r="A658" s="39">
        <v>45417</v>
      </c>
      <c r="B658" t="s">
        <v>97</v>
      </c>
      <c r="C658" s="38" t="s">
        <v>8</v>
      </c>
      <c r="D658" t="s">
        <v>288</v>
      </c>
      <c r="E658" t="s">
        <v>352</v>
      </c>
      <c r="F658" t="s">
        <v>285</v>
      </c>
      <c r="G658" t="s">
        <v>138</v>
      </c>
      <c r="H658" s="9" t="s">
        <v>98</v>
      </c>
      <c r="I658" t="s">
        <v>58</v>
      </c>
      <c r="J658">
        <v>0</v>
      </c>
      <c r="K658">
        <v>0</v>
      </c>
      <c r="L658">
        <v>0</v>
      </c>
      <c r="M658">
        <v>0</v>
      </c>
      <c r="N658">
        <v>22.49</v>
      </c>
      <c r="P658" t="s">
        <v>148</v>
      </c>
      <c r="Q658" s="38"/>
    </row>
    <row r="659" spans="1:17" x14ac:dyDescent="0.25">
      <c r="A659" s="39">
        <v>45417</v>
      </c>
      <c r="B659" t="s">
        <v>95</v>
      </c>
      <c r="C659" s="38" t="s">
        <v>8</v>
      </c>
      <c r="D659" t="s">
        <v>181</v>
      </c>
      <c r="E659" t="s">
        <v>81</v>
      </c>
      <c r="F659" t="s">
        <v>90</v>
      </c>
      <c r="G659" t="s">
        <v>138</v>
      </c>
      <c r="H659" s="9" t="s">
        <v>96</v>
      </c>
      <c r="I659" t="s">
        <v>65</v>
      </c>
      <c r="J659">
        <v>0</v>
      </c>
      <c r="K659">
        <v>0</v>
      </c>
      <c r="L659">
        <v>0</v>
      </c>
      <c r="M659">
        <v>0</v>
      </c>
      <c r="N659">
        <v>20.38</v>
      </c>
      <c r="P659" t="s">
        <v>152</v>
      </c>
      <c r="Q659" s="38"/>
    </row>
    <row r="660" spans="1:17" x14ac:dyDescent="0.25">
      <c r="A660" s="39">
        <v>45417</v>
      </c>
      <c r="B660" t="s">
        <v>14</v>
      </c>
      <c r="C660" s="38" t="s">
        <v>8</v>
      </c>
      <c r="D660" t="s">
        <v>289</v>
      </c>
      <c r="E660" t="s">
        <v>352</v>
      </c>
      <c r="F660" t="s">
        <v>285</v>
      </c>
      <c r="G660" t="s">
        <v>138</v>
      </c>
      <c r="H660" s="9" t="s">
        <v>94</v>
      </c>
      <c r="I660" t="s">
        <v>58</v>
      </c>
      <c r="J660">
        <v>0</v>
      </c>
      <c r="K660">
        <v>0</v>
      </c>
      <c r="L660">
        <v>0</v>
      </c>
      <c r="M660">
        <v>0</v>
      </c>
      <c r="N660">
        <v>25.88</v>
      </c>
      <c r="P660" t="s">
        <v>151</v>
      </c>
      <c r="Q660" s="38"/>
    </row>
    <row r="661" spans="1:17" x14ac:dyDescent="0.25">
      <c r="A661" s="39">
        <v>45417</v>
      </c>
      <c r="B661" t="s">
        <v>91</v>
      </c>
      <c r="C661" s="38" t="s">
        <v>8</v>
      </c>
      <c r="D661" t="s">
        <v>180</v>
      </c>
      <c r="E661" t="s">
        <v>81</v>
      </c>
      <c r="F661" t="s">
        <v>90</v>
      </c>
      <c r="G661" t="s">
        <v>138</v>
      </c>
      <c r="H661" s="9" t="s">
        <v>92</v>
      </c>
      <c r="J661">
        <v>0</v>
      </c>
      <c r="K661">
        <v>0</v>
      </c>
      <c r="L661">
        <v>0</v>
      </c>
      <c r="M661">
        <v>0</v>
      </c>
      <c r="N661">
        <v>16.73</v>
      </c>
      <c r="P661" t="s">
        <v>148</v>
      </c>
      <c r="Q661" s="38"/>
    </row>
    <row r="662" spans="1:17" x14ac:dyDescent="0.25">
      <c r="A662" s="39">
        <v>45417</v>
      </c>
      <c r="B662" t="s">
        <v>15</v>
      </c>
      <c r="C662" s="38" t="s">
        <v>8</v>
      </c>
      <c r="D662" t="s">
        <v>140</v>
      </c>
      <c r="E662" t="s">
        <v>81</v>
      </c>
      <c r="F662" t="s">
        <v>285</v>
      </c>
      <c r="G662" t="s">
        <v>138</v>
      </c>
      <c r="H662" s="9" t="s">
        <v>218</v>
      </c>
      <c r="I662" t="s">
        <v>58</v>
      </c>
      <c r="J662">
        <v>0</v>
      </c>
      <c r="K662">
        <v>0</v>
      </c>
      <c r="L662">
        <v>0</v>
      </c>
      <c r="M662">
        <v>0</v>
      </c>
      <c r="N662">
        <v>20.190000000000001</v>
      </c>
      <c r="P662" t="s">
        <v>148</v>
      </c>
      <c r="Q662" s="38"/>
    </row>
    <row r="663" spans="1:17" x14ac:dyDescent="0.25">
      <c r="A663" s="39">
        <v>45417</v>
      </c>
      <c r="B663" t="s">
        <v>89</v>
      </c>
      <c r="C663" s="38" t="s">
        <v>8</v>
      </c>
      <c r="D663" t="s">
        <v>176</v>
      </c>
      <c r="E663" t="s">
        <v>398</v>
      </c>
      <c r="F663" t="s">
        <v>90</v>
      </c>
      <c r="G663" t="s">
        <v>138</v>
      </c>
      <c r="H663" s="9" t="s">
        <v>219</v>
      </c>
      <c r="I663" t="s">
        <v>65</v>
      </c>
      <c r="J663">
        <v>0</v>
      </c>
      <c r="K663">
        <v>0</v>
      </c>
      <c r="L663">
        <v>0</v>
      </c>
      <c r="M663">
        <v>0</v>
      </c>
      <c r="N663">
        <v>17.670000000000002</v>
      </c>
      <c r="P663" t="s">
        <v>186</v>
      </c>
      <c r="Q663" s="38"/>
    </row>
    <row r="664" spans="1:17" x14ac:dyDescent="0.25">
      <c r="A664" s="39">
        <v>45417</v>
      </c>
      <c r="B664" t="s">
        <v>16</v>
      </c>
      <c r="C664" s="38" t="s">
        <v>8</v>
      </c>
      <c r="D664" t="s">
        <v>407</v>
      </c>
      <c r="E664" t="s">
        <v>360</v>
      </c>
      <c r="F664" t="s">
        <v>253</v>
      </c>
      <c r="G664" t="s">
        <v>138</v>
      </c>
      <c r="H664" s="9" t="s">
        <v>220</v>
      </c>
      <c r="I664" t="s">
        <v>58</v>
      </c>
      <c r="J664">
        <v>0</v>
      </c>
      <c r="K664">
        <v>0</v>
      </c>
      <c r="L664">
        <v>0</v>
      </c>
      <c r="M664">
        <v>0</v>
      </c>
      <c r="N664">
        <v>21.19</v>
      </c>
      <c r="P664" t="s">
        <v>151</v>
      </c>
      <c r="Q664" s="38"/>
    </row>
    <row r="665" spans="1:17" x14ac:dyDescent="0.25">
      <c r="A665" s="39">
        <v>45417</v>
      </c>
      <c r="B665" t="s">
        <v>88</v>
      </c>
      <c r="C665" s="38" t="s">
        <v>8</v>
      </c>
      <c r="D665" t="s">
        <v>311</v>
      </c>
      <c r="E665" t="s">
        <v>60</v>
      </c>
      <c r="F665" t="s">
        <v>253</v>
      </c>
      <c r="G665" t="s">
        <v>138</v>
      </c>
      <c r="H665" s="9" t="s">
        <v>221</v>
      </c>
      <c r="J665">
        <v>0</v>
      </c>
      <c r="K665">
        <v>0</v>
      </c>
      <c r="L665">
        <v>0</v>
      </c>
      <c r="M665">
        <v>0</v>
      </c>
      <c r="N665">
        <v>38.44</v>
      </c>
      <c r="P665" t="s">
        <v>154</v>
      </c>
      <c r="Q665" s="38"/>
    </row>
    <row r="666" spans="1:17" x14ac:dyDescent="0.25">
      <c r="A666" s="39">
        <v>45417</v>
      </c>
      <c r="B666" t="s">
        <v>17</v>
      </c>
      <c r="C666" s="38" t="s">
        <v>8</v>
      </c>
      <c r="D666" t="s">
        <v>272</v>
      </c>
      <c r="E666" t="s">
        <v>275</v>
      </c>
      <c r="F666" t="s">
        <v>276</v>
      </c>
      <c r="G666" t="s">
        <v>138</v>
      </c>
      <c r="H666" s="9" t="s">
        <v>222</v>
      </c>
      <c r="I666" t="s">
        <v>58</v>
      </c>
      <c r="J666">
        <v>0</v>
      </c>
      <c r="K666">
        <v>0</v>
      </c>
      <c r="L666">
        <v>0</v>
      </c>
      <c r="M666">
        <v>0</v>
      </c>
      <c r="N666">
        <v>20.56</v>
      </c>
      <c r="P666" t="s">
        <v>151</v>
      </c>
      <c r="Q666" s="38"/>
    </row>
    <row r="667" spans="1:17" x14ac:dyDescent="0.25">
      <c r="A667" s="39">
        <v>45417</v>
      </c>
      <c r="B667" t="s">
        <v>19</v>
      </c>
      <c r="C667" s="38" t="s">
        <v>8</v>
      </c>
      <c r="D667" t="s">
        <v>343</v>
      </c>
      <c r="E667" t="s">
        <v>81</v>
      </c>
      <c r="F667" t="s">
        <v>253</v>
      </c>
      <c r="G667" t="s">
        <v>138</v>
      </c>
      <c r="H667" s="9" t="s">
        <v>223</v>
      </c>
      <c r="I667" t="s">
        <v>65</v>
      </c>
      <c r="J667">
        <v>0</v>
      </c>
      <c r="K667">
        <v>0</v>
      </c>
      <c r="L667">
        <v>0</v>
      </c>
      <c r="M667">
        <v>0</v>
      </c>
      <c r="N667">
        <v>41.06</v>
      </c>
      <c r="P667" t="s">
        <v>151</v>
      </c>
      <c r="Q667" s="38"/>
    </row>
    <row r="668" spans="1:17" x14ac:dyDescent="0.25">
      <c r="A668" s="39">
        <v>45417</v>
      </c>
      <c r="B668" t="s">
        <v>18</v>
      </c>
      <c r="C668" s="38" t="s">
        <v>8</v>
      </c>
      <c r="D668" t="s">
        <v>268</v>
      </c>
      <c r="E668" t="s">
        <v>408</v>
      </c>
      <c r="F668" t="s">
        <v>253</v>
      </c>
      <c r="G668" t="s">
        <v>138</v>
      </c>
      <c r="H668" s="9" t="s">
        <v>224</v>
      </c>
      <c r="I668" t="s">
        <v>58</v>
      </c>
      <c r="J668">
        <v>0</v>
      </c>
      <c r="K668">
        <v>0</v>
      </c>
      <c r="L668">
        <v>0</v>
      </c>
      <c r="M668">
        <v>0</v>
      </c>
      <c r="N668">
        <v>18.89</v>
      </c>
      <c r="P668" t="s">
        <v>148</v>
      </c>
      <c r="Q668" s="38"/>
    </row>
    <row r="669" spans="1:17" x14ac:dyDescent="0.25">
      <c r="A669" s="39">
        <v>45417</v>
      </c>
      <c r="B669" t="s">
        <v>87</v>
      </c>
      <c r="C669" s="38" t="s">
        <v>8</v>
      </c>
      <c r="G669" t="s">
        <v>138</v>
      </c>
      <c r="H669" s="9" t="s">
        <v>225</v>
      </c>
      <c r="J669">
        <v>0</v>
      </c>
      <c r="K669">
        <v>0</v>
      </c>
      <c r="L669">
        <v>0</v>
      </c>
      <c r="M669">
        <v>0</v>
      </c>
      <c r="N669">
        <v>41146219</v>
      </c>
      <c r="Q669" s="38"/>
    </row>
    <row r="670" spans="1:17" x14ac:dyDescent="0.25">
      <c r="A670" s="39">
        <v>45417</v>
      </c>
      <c r="B670" t="s">
        <v>42</v>
      </c>
      <c r="C670" s="38" t="s">
        <v>8</v>
      </c>
      <c r="D670" t="s">
        <v>246</v>
      </c>
      <c r="E670" t="s">
        <v>81</v>
      </c>
      <c r="F670" t="s">
        <v>285</v>
      </c>
      <c r="G670" t="s">
        <v>138</v>
      </c>
      <c r="H670" s="9" t="s">
        <v>226</v>
      </c>
      <c r="I670" t="s">
        <v>58</v>
      </c>
      <c r="J670">
        <v>0</v>
      </c>
      <c r="K670">
        <v>0</v>
      </c>
      <c r="L670">
        <v>0</v>
      </c>
      <c r="M670">
        <v>0</v>
      </c>
      <c r="N670">
        <v>20.7</v>
      </c>
      <c r="P670" t="s">
        <v>148</v>
      </c>
      <c r="Q670" s="38"/>
    </row>
    <row r="671" spans="1:17" x14ac:dyDescent="0.25">
      <c r="A671" s="39">
        <v>45417</v>
      </c>
      <c r="B671" t="s">
        <v>86</v>
      </c>
      <c r="C671" s="38" t="s">
        <v>8</v>
      </c>
      <c r="D671" t="s">
        <v>271</v>
      </c>
      <c r="E671" t="s">
        <v>275</v>
      </c>
      <c r="F671" t="s">
        <v>276</v>
      </c>
      <c r="G671" t="s">
        <v>138</v>
      </c>
      <c r="H671" s="9" t="s">
        <v>227</v>
      </c>
      <c r="I671" t="s">
        <v>65</v>
      </c>
      <c r="J671">
        <v>0</v>
      </c>
      <c r="K671">
        <v>0</v>
      </c>
      <c r="L671">
        <v>0</v>
      </c>
      <c r="M671">
        <v>0</v>
      </c>
      <c r="N671">
        <v>41.64</v>
      </c>
      <c r="P671" t="s">
        <v>152</v>
      </c>
      <c r="Q671" s="38"/>
    </row>
    <row r="672" spans="1:17" x14ac:dyDescent="0.25">
      <c r="A672" s="39">
        <v>45417</v>
      </c>
      <c r="B672" t="s">
        <v>38</v>
      </c>
      <c r="C672" s="38" t="s">
        <v>8</v>
      </c>
      <c r="D672" t="s">
        <v>141</v>
      </c>
      <c r="E672" t="s">
        <v>81</v>
      </c>
      <c r="F672" t="s">
        <v>285</v>
      </c>
      <c r="G672" t="s">
        <v>138</v>
      </c>
      <c r="H672" s="9" t="s">
        <v>85</v>
      </c>
      <c r="I672" t="s">
        <v>58</v>
      </c>
      <c r="J672">
        <v>0</v>
      </c>
      <c r="K672">
        <v>0</v>
      </c>
      <c r="L672">
        <v>0</v>
      </c>
      <c r="M672">
        <v>0</v>
      </c>
      <c r="N672">
        <v>37.5</v>
      </c>
      <c r="P672" t="s">
        <v>151</v>
      </c>
      <c r="Q672" s="38"/>
    </row>
    <row r="673" spans="1:17" x14ac:dyDescent="0.25">
      <c r="A673" s="39">
        <v>45417</v>
      </c>
      <c r="B673" t="s">
        <v>83</v>
      </c>
      <c r="C673" s="38" t="s">
        <v>8</v>
      </c>
      <c r="G673" t="s">
        <v>138</v>
      </c>
      <c r="H673" s="9" t="s">
        <v>84</v>
      </c>
      <c r="J673">
        <v>0</v>
      </c>
      <c r="K673">
        <v>0</v>
      </c>
      <c r="L673">
        <v>0</v>
      </c>
      <c r="M673">
        <v>0</v>
      </c>
      <c r="N673">
        <v>41.36</v>
      </c>
      <c r="Q673" s="38"/>
    </row>
    <row r="674" spans="1:17" x14ac:dyDescent="0.25">
      <c r="A674" s="39">
        <v>45417</v>
      </c>
      <c r="B674" t="s">
        <v>20</v>
      </c>
      <c r="C674" s="38" t="s">
        <v>8</v>
      </c>
      <c r="D674" t="s">
        <v>351</v>
      </c>
      <c r="E674" t="s">
        <v>352</v>
      </c>
      <c r="F674" t="s">
        <v>285</v>
      </c>
      <c r="G674" t="s">
        <v>138</v>
      </c>
      <c r="H674" s="9" t="s">
        <v>82</v>
      </c>
      <c r="I674" t="s">
        <v>58</v>
      </c>
      <c r="J674">
        <v>0</v>
      </c>
      <c r="K674">
        <v>0</v>
      </c>
      <c r="L674">
        <v>0</v>
      </c>
      <c r="M674">
        <v>0</v>
      </c>
      <c r="N674">
        <v>22.79</v>
      </c>
      <c r="P674" t="s">
        <v>151</v>
      </c>
      <c r="Q674" s="38"/>
    </row>
    <row r="675" spans="1:17" x14ac:dyDescent="0.25">
      <c r="A675" s="39">
        <v>45417</v>
      </c>
      <c r="B675" t="s">
        <v>21</v>
      </c>
      <c r="C675" s="38" t="s">
        <v>8</v>
      </c>
      <c r="D675" t="s">
        <v>291</v>
      </c>
      <c r="E675" t="s">
        <v>352</v>
      </c>
      <c r="F675" t="s">
        <v>285</v>
      </c>
      <c r="G675" t="s">
        <v>138</v>
      </c>
      <c r="H675" s="9" t="s">
        <v>80</v>
      </c>
      <c r="I675" t="s">
        <v>65</v>
      </c>
      <c r="J675">
        <v>0</v>
      </c>
      <c r="K675">
        <v>0</v>
      </c>
      <c r="L675">
        <v>0</v>
      </c>
      <c r="M675">
        <v>0</v>
      </c>
      <c r="N675">
        <v>21.59</v>
      </c>
      <c r="P675" t="s">
        <v>152</v>
      </c>
      <c r="Q675" s="38"/>
    </row>
    <row r="676" spans="1:17" x14ac:dyDescent="0.25">
      <c r="A676" s="39">
        <v>45417</v>
      </c>
      <c r="B676" t="s">
        <v>22</v>
      </c>
      <c r="C676" s="38" t="s">
        <v>8</v>
      </c>
      <c r="D676" t="s">
        <v>353</v>
      </c>
      <c r="E676" t="s">
        <v>352</v>
      </c>
      <c r="F676" t="s">
        <v>285</v>
      </c>
      <c r="G676" t="s">
        <v>138</v>
      </c>
      <c r="H676" s="9" t="s">
        <v>79</v>
      </c>
      <c r="I676" t="s">
        <v>58</v>
      </c>
      <c r="J676">
        <v>0</v>
      </c>
      <c r="K676">
        <v>0</v>
      </c>
      <c r="L676">
        <v>0</v>
      </c>
      <c r="M676">
        <v>0</v>
      </c>
      <c r="N676">
        <v>13.62</v>
      </c>
      <c r="P676" t="s">
        <v>148</v>
      </c>
      <c r="Q676" s="38"/>
    </row>
    <row r="677" spans="1:17" x14ac:dyDescent="0.25">
      <c r="A677" s="39">
        <v>45417</v>
      </c>
      <c r="B677" t="s">
        <v>77</v>
      </c>
      <c r="C677" s="38" t="s">
        <v>8</v>
      </c>
      <c r="G677" t="s">
        <v>138</v>
      </c>
      <c r="H677" s="9" t="s">
        <v>78</v>
      </c>
      <c r="J677">
        <v>0</v>
      </c>
      <c r="K677">
        <v>0</v>
      </c>
      <c r="L677">
        <v>0</v>
      </c>
      <c r="M677">
        <v>0</v>
      </c>
      <c r="N677">
        <v>17.88</v>
      </c>
      <c r="Q677" s="38"/>
    </row>
    <row r="678" spans="1:17" x14ac:dyDescent="0.25">
      <c r="A678" s="39">
        <v>45417</v>
      </c>
      <c r="B678" t="s">
        <v>23</v>
      </c>
      <c r="C678" s="38" t="s">
        <v>8</v>
      </c>
      <c r="D678" t="s">
        <v>409</v>
      </c>
      <c r="E678" t="s">
        <v>352</v>
      </c>
      <c r="F678" t="s">
        <v>285</v>
      </c>
      <c r="G678" t="s">
        <v>138</v>
      </c>
      <c r="H678" s="9" t="s">
        <v>228</v>
      </c>
      <c r="I678" t="s">
        <v>58</v>
      </c>
      <c r="J678">
        <v>0</v>
      </c>
      <c r="K678">
        <v>0</v>
      </c>
      <c r="L678">
        <v>0</v>
      </c>
      <c r="M678">
        <v>0</v>
      </c>
      <c r="N678">
        <v>23.22</v>
      </c>
      <c r="P678" t="s">
        <v>148</v>
      </c>
      <c r="Q678" s="38"/>
    </row>
    <row r="679" spans="1:17" x14ac:dyDescent="0.25">
      <c r="A679" s="39">
        <v>45417</v>
      </c>
      <c r="B679" t="s">
        <v>24</v>
      </c>
      <c r="C679" s="38" t="s">
        <v>8</v>
      </c>
      <c r="D679" t="s">
        <v>344</v>
      </c>
      <c r="E679" t="s">
        <v>379</v>
      </c>
      <c r="F679" t="s">
        <v>253</v>
      </c>
      <c r="G679" t="s">
        <v>138</v>
      </c>
      <c r="H679" s="9" t="s">
        <v>229</v>
      </c>
      <c r="I679" t="s">
        <v>65</v>
      </c>
      <c r="J679">
        <v>0</v>
      </c>
      <c r="K679">
        <v>0</v>
      </c>
      <c r="L679">
        <v>0</v>
      </c>
      <c r="M679">
        <v>0</v>
      </c>
      <c r="N679">
        <v>18.37</v>
      </c>
      <c r="P679" t="s">
        <v>152</v>
      </c>
      <c r="Q679" s="38"/>
    </row>
    <row r="680" spans="1:17" x14ac:dyDescent="0.25">
      <c r="A680" s="39">
        <v>45417</v>
      </c>
      <c r="B680" t="s">
        <v>75</v>
      </c>
      <c r="C680" s="38" t="s">
        <v>8</v>
      </c>
      <c r="D680" t="s">
        <v>410</v>
      </c>
      <c r="E680" t="s">
        <v>202</v>
      </c>
      <c r="F680" t="s">
        <v>346</v>
      </c>
      <c r="G680" t="s">
        <v>138</v>
      </c>
      <c r="H680" s="9" t="s">
        <v>230</v>
      </c>
      <c r="I680" t="s">
        <v>58</v>
      </c>
      <c r="J680">
        <v>0</v>
      </c>
      <c r="K680">
        <v>0</v>
      </c>
      <c r="L680">
        <v>0</v>
      </c>
      <c r="M680">
        <v>0</v>
      </c>
      <c r="N680">
        <v>12.9</v>
      </c>
      <c r="P680" t="s">
        <v>303</v>
      </c>
      <c r="Q680" s="38"/>
    </row>
    <row r="681" spans="1:17" x14ac:dyDescent="0.25">
      <c r="A681" s="39">
        <v>45417</v>
      </c>
      <c r="B681" t="s">
        <v>25</v>
      </c>
      <c r="C681" s="38" t="s">
        <v>8</v>
      </c>
      <c r="D681" t="s">
        <v>383</v>
      </c>
      <c r="E681" t="s">
        <v>81</v>
      </c>
      <c r="F681" t="s">
        <v>285</v>
      </c>
      <c r="G681" t="s">
        <v>138</v>
      </c>
      <c r="H681" s="9" t="s">
        <v>231</v>
      </c>
      <c r="I681" t="s">
        <v>65</v>
      </c>
      <c r="J681">
        <v>0</v>
      </c>
      <c r="K681">
        <v>0</v>
      </c>
      <c r="L681">
        <v>0</v>
      </c>
      <c r="M681">
        <v>0</v>
      </c>
      <c r="N681">
        <v>12.16</v>
      </c>
      <c r="P681" t="s">
        <v>148</v>
      </c>
      <c r="Q681" s="38"/>
    </row>
    <row r="682" spans="1:17" x14ac:dyDescent="0.25">
      <c r="A682" s="39">
        <v>45417</v>
      </c>
      <c r="B682" t="s">
        <v>74</v>
      </c>
      <c r="C682" s="38" t="s">
        <v>8</v>
      </c>
      <c r="D682" t="s">
        <v>292</v>
      </c>
      <c r="E682" t="s">
        <v>60</v>
      </c>
      <c r="F682" t="s">
        <v>346</v>
      </c>
      <c r="G682" t="s">
        <v>138</v>
      </c>
      <c r="H682" s="9" t="s">
        <v>232</v>
      </c>
      <c r="I682" t="s">
        <v>58</v>
      </c>
      <c r="J682">
        <v>0</v>
      </c>
      <c r="K682">
        <v>0</v>
      </c>
      <c r="L682">
        <v>0</v>
      </c>
      <c r="M682">
        <v>0</v>
      </c>
      <c r="N682">
        <v>15.61</v>
      </c>
      <c r="P682" t="s">
        <v>293</v>
      </c>
      <c r="Q682" s="38"/>
    </row>
    <row r="683" spans="1:17" x14ac:dyDescent="0.25">
      <c r="A683" s="39">
        <v>45417</v>
      </c>
      <c r="B683" t="s">
        <v>26</v>
      </c>
      <c r="C683" s="38" t="s">
        <v>8</v>
      </c>
      <c r="D683" t="s">
        <v>294</v>
      </c>
      <c r="E683" t="s">
        <v>56</v>
      </c>
      <c r="F683" t="s">
        <v>184</v>
      </c>
      <c r="G683" t="s">
        <v>138</v>
      </c>
      <c r="H683" s="9" t="s">
        <v>233</v>
      </c>
      <c r="I683" t="s">
        <v>65</v>
      </c>
      <c r="J683">
        <v>0</v>
      </c>
      <c r="K683">
        <v>0</v>
      </c>
      <c r="L683">
        <v>0</v>
      </c>
      <c r="M683">
        <v>0</v>
      </c>
      <c r="N683">
        <v>13.29</v>
      </c>
      <c r="P683" t="s">
        <v>155</v>
      </c>
      <c r="Q683" s="38"/>
    </row>
    <row r="684" spans="1:17" x14ac:dyDescent="0.25">
      <c r="A684" s="39">
        <v>45417</v>
      </c>
      <c r="B684" t="s">
        <v>27</v>
      </c>
      <c r="C684" s="38" t="s">
        <v>8</v>
      </c>
      <c r="D684" t="s">
        <v>384</v>
      </c>
      <c r="E684" t="s">
        <v>366</v>
      </c>
      <c r="F684" t="s">
        <v>346</v>
      </c>
      <c r="G684" t="s">
        <v>138</v>
      </c>
      <c r="H684" s="9" t="s">
        <v>234</v>
      </c>
      <c r="I684" t="s">
        <v>58</v>
      </c>
      <c r="J684">
        <v>0</v>
      </c>
      <c r="K684">
        <v>0</v>
      </c>
      <c r="L684">
        <v>0</v>
      </c>
      <c r="M684">
        <v>0</v>
      </c>
      <c r="N684">
        <v>13.89</v>
      </c>
      <c r="P684" t="s">
        <v>269</v>
      </c>
      <c r="Q684" s="38"/>
    </row>
    <row r="685" spans="1:17" x14ac:dyDescent="0.25">
      <c r="A685" s="39">
        <v>45417</v>
      </c>
      <c r="B685" t="s">
        <v>28</v>
      </c>
      <c r="C685" s="38" t="s">
        <v>8</v>
      </c>
      <c r="D685" t="s">
        <v>411</v>
      </c>
      <c r="E685" t="s">
        <v>56</v>
      </c>
      <c r="F685" t="s">
        <v>338</v>
      </c>
      <c r="G685" t="s">
        <v>138</v>
      </c>
      <c r="H685" s="9" t="s">
        <v>235</v>
      </c>
      <c r="I685" t="s">
        <v>65</v>
      </c>
      <c r="J685">
        <v>0</v>
      </c>
      <c r="K685">
        <v>0</v>
      </c>
      <c r="L685">
        <v>0</v>
      </c>
      <c r="M685">
        <v>0</v>
      </c>
      <c r="N685">
        <v>13.9</v>
      </c>
      <c r="P685" t="s">
        <v>155</v>
      </c>
      <c r="Q685" s="38"/>
    </row>
    <row r="686" spans="1:17" x14ac:dyDescent="0.25">
      <c r="A686" s="39">
        <v>45417</v>
      </c>
      <c r="B686" t="s">
        <v>72</v>
      </c>
      <c r="C686" s="38" t="s">
        <v>8</v>
      </c>
      <c r="D686" t="s">
        <v>322</v>
      </c>
      <c r="E686" t="s">
        <v>202</v>
      </c>
      <c r="F686" t="s">
        <v>346</v>
      </c>
      <c r="G686" t="s">
        <v>138</v>
      </c>
      <c r="H686" s="9" t="s">
        <v>422</v>
      </c>
      <c r="I686" t="s">
        <v>58</v>
      </c>
      <c r="J686">
        <v>0</v>
      </c>
      <c r="K686">
        <v>0</v>
      </c>
      <c r="L686">
        <v>0</v>
      </c>
      <c r="M686">
        <v>0</v>
      </c>
      <c r="N686">
        <v>15.45</v>
      </c>
      <c r="P686" t="s">
        <v>157</v>
      </c>
      <c r="Q686" s="38"/>
    </row>
    <row r="687" spans="1:17" x14ac:dyDescent="0.25">
      <c r="A687" s="39">
        <v>45417</v>
      </c>
      <c r="B687" t="s">
        <v>29</v>
      </c>
      <c r="C687" s="38" t="s">
        <v>8</v>
      </c>
      <c r="D687" t="s">
        <v>315</v>
      </c>
      <c r="E687" t="s">
        <v>56</v>
      </c>
      <c r="F687" t="s">
        <v>338</v>
      </c>
      <c r="G687" t="s">
        <v>138</v>
      </c>
      <c r="H687" s="9" t="s">
        <v>236</v>
      </c>
      <c r="I687" t="s">
        <v>65</v>
      </c>
      <c r="J687">
        <v>0</v>
      </c>
      <c r="K687">
        <v>0</v>
      </c>
      <c r="L687">
        <v>0</v>
      </c>
      <c r="M687">
        <v>0</v>
      </c>
      <c r="N687">
        <v>13.98</v>
      </c>
      <c r="P687" t="s">
        <v>156</v>
      </c>
      <c r="Q687" s="38"/>
    </row>
    <row r="688" spans="1:17" x14ac:dyDescent="0.25">
      <c r="A688" s="39">
        <v>45417</v>
      </c>
      <c r="B688" t="s">
        <v>30</v>
      </c>
      <c r="C688" s="38" t="s">
        <v>8</v>
      </c>
      <c r="D688" t="s">
        <v>305</v>
      </c>
      <c r="E688" t="s">
        <v>81</v>
      </c>
      <c r="F688" t="s">
        <v>90</v>
      </c>
      <c r="G688" t="s">
        <v>138</v>
      </c>
      <c r="H688" s="9" t="s">
        <v>71</v>
      </c>
      <c r="I688" t="s">
        <v>58</v>
      </c>
      <c r="J688">
        <v>0</v>
      </c>
      <c r="K688">
        <v>0</v>
      </c>
      <c r="L688">
        <v>0</v>
      </c>
      <c r="M688">
        <v>0</v>
      </c>
      <c r="N688">
        <v>10.84</v>
      </c>
      <c r="P688" t="s">
        <v>150</v>
      </c>
      <c r="Q688" s="38"/>
    </row>
    <row r="689" spans="1:17" x14ac:dyDescent="0.25">
      <c r="A689" s="39">
        <v>45417</v>
      </c>
      <c r="B689" t="s">
        <v>31</v>
      </c>
      <c r="C689" s="38" t="s">
        <v>8</v>
      </c>
      <c r="E689" t="s">
        <v>56</v>
      </c>
      <c r="G689" t="s">
        <v>138</v>
      </c>
      <c r="H689" s="9" t="s">
        <v>70</v>
      </c>
      <c r="I689" t="s">
        <v>65</v>
      </c>
      <c r="J689">
        <v>0</v>
      </c>
      <c r="K689">
        <v>0</v>
      </c>
      <c r="L689">
        <v>0</v>
      </c>
      <c r="M689">
        <v>0</v>
      </c>
      <c r="N689">
        <v>13.5</v>
      </c>
      <c r="P689" t="s">
        <v>156</v>
      </c>
      <c r="Q689" s="38"/>
    </row>
    <row r="690" spans="1:17" x14ac:dyDescent="0.25">
      <c r="A690" s="39">
        <v>45417</v>
      </c>
      <c r="B690" t="s">
        <v>32</v>
      </c>
      <c r="C690" s="38" t="s">
        <v>8</v>
      </c>
      <c r="D690" t="s">
        <v>413</v>
      </c>
      <c r="E690" t="s">
        <v>202</v>
      </c>
      <c r="F690" t="s">
        <v>346</v>
      </c>
      <c r="G690" t="s">
        <v>138</v>
      </c>
      <c r="H690" s="9" t="s">
        <v>69</v>
      </c>
      <c r="I690" t="s">
        <v>58</v>
      </c>
      <c r="J690">
        <v>0</v>
      </c>
      <c r="K690">
        <v>0</v>
      </c>
      <c r="L690">
        <v>0</v>
      </c>
      <c r="M690">
        <v>0</v>
      </c>
      <c r="N690">
        <v>14.39</v>
      </c>
      <c r="P690" t="s">
        <v>414</v>
      </c>
      <c r="Q690" s="38"/>
    </row>
    <row r="691" spans="1:17" x14ac:dyDescent="0.25">
      <c r="A691" s="39">
        <v>45417</v>
      </c>
      <c r="B691" t="s">
        <v>67</v>
      </c>
      <c r="C691" s="38" t="s">
        <v>8</v>
      </c>
      <c r="D691" t="s">
        <v>354</v>
      </c>
      <c r="E691" t="s">
        <v>56</v>
      </c>
      <c r="F691" t="s">
        <v>367</v>
      </c>
      <c r="G691" t="s">
        <v>138</v>
      </c>
      <c r="H691" s="9" t="s">
        <v>68</v>
      </c>
      <c r="I691" t="s">
        <v>65</v>
      </c>
      <c r="J691">
        <v>0</v>
      </c>
      <c r="K691">
        <v>0</v>
      </c>
      <c r="L691">
        <v>0</v>
      </c>
      <c r="M691">
        <v>0</v>
      </c>
      <c r="N691">
        <v>13.8</v>
      </c>
      <c r="P691" t="s">
        <v>156</v>
      </c>
      <c r="Q691" s="38"/>
    </row>
    <row r="692" spans="1:17" x14ac:dyDescent="0.25">
      <c r="A692" s="39">
        <v>45417</v>
      </c>
      <c r="B692" t="s">
        <v>33</v>
      </c>
      <c r="C692" s="38" t="s">
        <v>8</v>
      </c>
      <c r="D692" t="s">
        <v>277</v>
      </c>
      <c r="E692" t="s">
        <v>73</v>
      </c>
      <c r="F692" t="s">
        <v>346</v>
      </c>
      <c r="G692" t="s">
        <v>138</v>
      </c>
      <c r="H692" s="9" t="s">
        <v>66</v>
      </c>
      <c r="I692" t="s">
        <v>58</v>
      </c>
      <c r="J692">
        <v>0</v>
      </c>
      <c r="K692">
        <v>0</v>
      </c>
      <c r="L692">
        <v>0</v>
      </c>
      <c r="M692">
        <v>0</v>
      </c>
      <c r="N692">
        <v>14.19</v>
      </c>
      <c r="P692" t="s">
        <v>201</v>
      </c>
      <c r="Q692" s="38"/>
    </row>
    <row r="693" spans="1:17" x14ac:dyDescent="0.25">
      <c r="A693" s="39">
        <v>45417</v>
      </c>
      <c r="B693" t="s">
        <v>34</v>
      </c>
      <c r="C693" s="38" t="s">
        <v>8</v>
      </c>
      <c r="D693" t="s">
        <v>415</v>
      </c>
      <c r="E693" t="s">
        <v>56</v>
      </c>
      <c r="F693" t="s">
        <v>346</v>
      </c>
      <c r="G693" t="s">
        <v>138</v>
      </c>
      <c r="H693" s="9" t="s">
        <v>64</v>
      </c>
      <c r="I693" t="s">
        <v>65</v>
      </c>
      <c r="J693">
        <v>0</v>
      </c>
      <c r="K693">
        <v>0</v>
      </c>
      <c r="L693">
        <v>0</v>
      </c>
      <c r="M693">
        <v>0</v>
      </c>
      <c r="N693">
        <v>15.6</v>
      </c>
      <c r="P693" t="s">
        <v>416</v>
      </c>
      <c r="Q693" s="38"/>
    </row>
    <row r="694" spans="1:17" x14ac:dyDescent="0.25">
      <c r="A694" s="39">
        <v>45417</v>
      </c>
      <c r="B694" t="s">
        <v>35</v>
      </c>
      <c r="C694" s="38" t="s">
        <v>8</v>
      </c>
      <c r="D694" t="s">
        <v>331</v>
      </c>
      <c r="E694" t="s">
        <v>60</v>
      </c>
      <c r="F694" t="s">
        <v>346</v>
      </c>
      <c r="G694" t="s">
        <v>138</v>
      </c>
      <c r="H694" s="9" t="s">
        <v>237</v>
      </c>
      <c r="I694" t="s">
        <v>58</v>
      </c>
      <c r="J694">
        <v>0</v>
      </c>
      <c r="K694">
        <v>0</v>
      </c>
      <c r="L694">
        <v>0</v>
      </c>
      <c r="M694">
        <v>0</v>
      </c>
      <c r="N694">
        <v>14.64</v>
      </c>
      <c r="P694" t="s">
        <v>158</v>
      </c>
      <c r="Q694" s="38"/>
    </row>
    <row r="695" spans="1:17" x14ac:dyDescent="0.25">
      <c r="A695" s="39">
        <v>45417</v>
      </c>
      <c r="B695" t="s">
        <v>418</v>
      </c>
      <c r="C695" s="38" t="s">
        <v>8</v>
      </c>
      <c r="G695" t="s">
        <v>138</v>
      </c>
      <c r="H695" s="9" t="s">
        <v>240</v>
      </c>
      <c r="I695" t="s">
        <v>262</v>
      </c>
      <c r="J695">
        <v>0</v>
      </c>
      <c r="K695">
        <v>0</v>
      </c>
      <c r="L695">
        <v>0</v>
      </c>
      <c r="M695">
        <v>0</v>
      </c>
      <c r="N695">
        <v>17.670000000000002</v>
      </c>
      <c r="Q695" s="38"/>
    </row>
    <row r="696" spans="1:17" x14ac:dyDescent="0.25">
      <c r="A696" s="39">
        <v>45417</v>
      </c>
      <c r="B696" t="s">
        <v>419</v>
      </c>
      <c r="C696" s="38" t="s">
        <v>8</v>
      </c>
      <c r="G696" t="s">
        <v>138</v>
      </c>
      <c r="H696" s="9" t="s">
        <v>240</v>
      </c>
      <c r="I696" t="s">
        <v>262</v>
      </c>
      <c r="J696">
        <v>0</v>
      </c>
      <c r="K696">
        <v>0</v>
      </c>
      <c r="L696">
        <v>0</v>
      </c>
      <c r="M696">
        <v>0</v>
      </c>
      <c r="N696">
        <v>13.49</v>
      </c>
      <c r="Q696" s="38"/>
    </row>
    <row r="697" spans="1:17" x14ac:dyDescent="0.25">
      <c r="A697" s="39">
        <v>45417</v>
      </c>
      <c r="B697" t="s">
        <v>36</v>
      </c>
      <c r="C697" s="38" t="s">
        <v>8</v>
      </c>
      <c r="D697" t="s">
        <v>295</v>
      </c>
      <c r="E697" t="s">
        <v>81</v>
      </c>
      <c r="F697" t="s">
        <v>369</v>
      </c>
      <c r="G697" t="s">
        <v>138</v>
      </c>
      <c r="H697" s="9" t="s">
        <v>423</v>
      </c>
      <c r="I697" t="s">
        <v>58</v>
      </c>
      <c r="J697">
        <v>0</v>
      </c>
      <c r="K697">
        <v>0</v>
      </c>
      <c r="L697">
        <v>0</v>
      </c>
      <c r="M697">
        <v>0</v>
      </c>
      <c r="N697">
        <v>38472557</v>
      </c>
      <c r="P697" t="s">
        <v>156</v>
      </c>
      <c r="Q697" s="38"/>
    </row>
    <row r="698" spans="1:17" x14ac:dyDescent="0.25">
      <c r="A698" s="39">
        <v>45417</v>
      </c>
      <c r="B698" t="s">
        <v>256</v>
      </c>
      <c r="C698" s="38" t="s">
        <v>8</v>
      </c>
      <c r="D698" t="s">
        <v>392</v>
      </c>
      <c r="E698" t="s">
        <v>417</v>
      </c>
      <c r="F698" t="s">
        <v>192</v>
      </c>
      <c r="G698" t="s">
        <v>138</v>
      </c>
      <c r="H698" s="9"/>
      <c r="I698" t="s">
        <v>262</v>
      </c>
      <c r="J698">
        <v>0</v>
      </c>
      <c r="K698">
        <v>0</v>
      </c>
      <c r="L698">
        <v>0</v>
      </c>
      <c r="M698">
        <v>0</v>
      </c>
      <c r="N698">
        <v>0</v>
      </c>
      <c r="P698" t="s">
        <v>149</v>
      </c>
      <c r="Q698" s="38"/>
    </row>
    <row r="699" spans="1:17" x14ac:dyDescent="0.25">
      <c r="A699" s="39">
        <v>45417</v>
      </c>
      <c r="B699" t="s">
        <v>257</v>
      </c>
      <c r="C699" s="38" t="s">
        <v>8</v>
      </c>
      <c r="D699" t="s">
        <v>392</v>
      </c>
      <c r="E699" t="s">
        <v>417</v>
      </c>
      <c r="F699" t="s">
        <v>192</v>
      </c>
      <c r="G699" t="s">
        <v>138</v>
      </c>
      <c r="H699" s="9"/>
      <c r="I699" t="s">
        <v>58</v>
      </c>
      <c r="J699">
        <v>0</v>
      </c>
      <c r="K699">
        <v>0</v>
      </c>
      <c r="L699">
        <v>0</v>
      </c>
      <c r="M699">
        <v>0</v>
      </c>
      <c r="N699">
        <v>38.46</v>
      </c>
      <c r="P699" t="s">
        <v>149</v>
      </c>
      <c r="Q699" s="38"/>
    </row>
    <row r="700" spans="1:17" x14ac:dyDescent="0.25">
      <c r="A700" s="39">
        <v>45417</v>
      </c>
      <c r="B700" t="s">
        <v>37</v>
      </c>
      <c r="C700" s="38" t="s">
        <v>8</v>
      </c>
      <c r="D700" t="s">
        <v>347</v>
      </c>
      <c r="E700" t="s">
        <v>348</v>
      </c>
      <c r="F700" t="s">
        <v>346</v>
      </c>
      <c r="G700" t="s">
        <v>138</v>
      </c>
      <c r="H700" s="9" t="s">
        <v>425</v>
      </c>
      <c r="I700" t="s">
        <v>58</v>
      </c>
      <c r="J700">
        <v>0</v>
      </c>
      <c r="K700">
        <v>0</v>
      </c>
      <c r="L700">
        <v>0</v>
      </c>
      <c r="M700">
        <v>0</v>
      </c>
      <c r="N700">
        <v>13.5</v>
      </c>
      <c r="P700" t="s">
        <v>270</v>
      </c>
      <c r="Q700" s="38"/>
    </row>
    <row r="701" spans="1:17" x14ac:dyDescent="0.25">
      <c r="A701" s="39">
        <v>45417</v>
      </c>
      <c r="B701" t="s">
        <v>258</v>
      </c>
      <c r="C701" s="38" t="s">
        <v>8</v>
      </c>
      <c r="G701" t="s">
        <v>138</v>
      </c>
      <c r="H701" s="9" t="s">
        <v>426</v>
      </c>
      <c r="I701" t="s">
        <v>262</v>
      </c>
      <c r="J701">
        <v>0</v>
      </c>
      <c r="K701">
        <v>0</v>
      </c>
      <c r="L701">
        <v>0</v>
      </c>
      <c r="M701">
        <v>0</v>
      </c>
      <c r="N701">
        <v>13.5</v>
      </c>
      <c r="P701" t="s">
        <v>148</v>
      </c>
      <c r="Q701" s="38"/>
    </row>
    <row r="702" spans="1:17" x14ac:dyDescent="0.25">
      <c r="A702" s="39">
        <v>45417</v>
      </c>
      <c r="B702" t="s">
        <v>259</v>
      </c>
      <c r="C702" s="38" t="s">
        <v>8</v>
      </c>
      <c r="G702" t="s">
        <v>138</v>
      </c>
      <c r="H702" s="9" t="s">
        <v>426</v>
      </c>
      <c r="I702" t="s">
        <v>262</v>
      </c>
      <c r="J702">
        <v>0</v>
      </c>
      <c r="K702">
        <v>0</v>
      </c>
      <c r="L702">
        <v>0</v>
      </c>
      <c r="M702">
        <v>0</v>
      </c>
      <c r="N702">
        <v>41.06</v>
      </c>
      <c r="P702" t="s">
        <v>148</v>
      </c>
      <c r="Q702" s="38"/>
    </row>
    <row r="703" spans="1:17" x14ac:dyDescent="0.25">
      <c r="A703" s="39">
        <v>45417</v>
      </c>
      <c r="B703" t="s">
        <v>54</v>
      </c>
      <c r="C703" s="38" t="s">
        <v>8</v>
      </c>
      <c r="D703" t="s">
        <v>55</v>
      </c>
      <c r="E703" t="s">
        <v>56</v>
      </c>
      <c r="F703" t="s">
        <v>57</v>
      </c>
      <c r="G703" t="s">
        <v>138</v>
      </c>
      <c r="H703" s="9" t="s">
        <v>427</v>
      </c>
      <c r="I703" t="s">
        <v>58</v>
      </c>
      <c r="J703">
        <v>0</v>
      </c>
      <c r="K703">
        <v>0</v>
      </c>
      <c r="L703">
        <v>0</v>
      </c>
      <c r="M703">
        <v>0</v>
      </c>
      <c r="N703">
        <v>41.06</v>
      </c>
      <c r="P703" t="s">
        <v>159</v>
      </c>
      <c r="Q703" s="38"/>
    </row>
    <row r="704" spans="1:17" x14ac:dyDescent="0.25">
      <c r="A704" s="39">
        <v>45418</v>
      </c>
      <c r="B704" t="s">
        <v>136</v>
      </c>
      <c r="C704" s="38" t="s">
        <v>6</v>
      </c>
      <c r="D704" t="s">
        <v>174</v>
      </c>
      <c r="E704" t="s">
        <v>81</v>
      </c>
      <c r="F704" t="s">
        <v>90</v>
      </c>
      <c r="G704" t="s">
        <v>138</v>
      </c>
      <c r="H704" s="9" t="s">
        <v>160</v>
      </c>
      <c r="I704" t="s">
        <v>58</v>
      </c>
      <c r="J704">
        <v>0</v>
      </c>
      <c r="K704">
        <v>0</v>
      </c>
      <c r="L704">
        <v>0</v>
      </c>
      <c r="M704">
        <v>0</v>
      </c>
      <c r="N704">
        <v>42144554</v>
      </c>
      <c r="P704" t="s">
        <v>153</v>
      </c>
      <c r="Q704" s="38"/>
    </row>
    <row r="705" spans="1:17" x14ac:dyDescent="0.25">
      <c r="A705" s="39">
        <v>45418</v>
      </c>
      <c r="B705" s="38" t="s">
        <v>135</v>
      </c>
      <c r="C705" s="38" t="s">
        <v>6</v>
      </c>
      <c r="D705" s="38" t="s">
        <v>332</v>
      </c>
      <c r="E705" s="38" t="s">
        <v>81</v>
      </c>
      <c r="F705" s="38" t="s">
        <v>90</v>
      </c>
      <c r="G705" s="38" t="s">
        <v>138</v>
      </c>
      <c r="H705" s="9" t="s">
        <v>161</v>
      </c>
      <c r="I705" s="38" t="s">
        <v>58</v>
      </c>
      <c r="J705" s="38">
        <v>0</v>
      </c>
      <c r="K705">
        <v>0</v>
      </c>
      <c r="L705">
        <v>0</v>
      </c>
      <c r="M705">
        <v>0</v>
      </c>
      <c r="N705" s="38">
        <v>24.09</v>
      </c>
      <c r="O705" s="38"/>
      <c r="P705" s="38" t="s">
        <v>148</v>
      </c>
      <c r="Q705" s="38"/>
    </row>
    <row r="706" spans="1:17" x14ac:dyDescent="0.25">
      <c r="A706" s="39">
        <v>45418</v>
      </c>
      <c r="B706" s="38" t="s">
        <v>134</v>
      </c>
      <c r="C706" s="38" t="s">
        <v>6</v>
      </c>
      <c r="D706" s="38" t="s">
        <v>175</v>
      </c>
      <c r="E706" s="38" t="s">
        <v>81</v>
      </c>
      <c r="F706" s="38" t="s">
        <v>90</v>
      </c>
      <c r="G706" s="38" t="s">
        <v>138</v>
      </c>
      <c r="H706" s="9" t="s">
        <v>206</v>
      </c>
      <c r="I706" s="38" t="s">
        <v>58</v>
      </c>
      <c r="J706" s="38">
        <v>0</v>
      </c>
      <c r="K706">
        <v>0</v>
      </c>
      <c r="L706">
        <v>0</v>
      </c>
      <c r="M706">
        <v>0</v>
      </c>
      <c r="N706" s="38">
        <v>0</v>
      </c>
      <c r="O706" s="38"/>
      <c r="P706" s="38" t="s">
        <v>148</v>
      </c>
      <c r="Q706" s="38"/>
    </row>
    <row r="707" spans="1:17" x14ac:dyDescent="0.25">
      <c r="A707" s="39">
        <v>45418</v>
      </c>
      <c r="B707" s="38" t="s">
        <v>132</v>
      </c>
      <c r="C707" s="38" t="s">
        <v>6</v>
      </c>
      <c r="D707" s="38" t="s">
        <v>133</v>
      </c>
      <c r="E707" s="38" t="s">
        <v>126</v>
      </c>
      <c r="F707" s="38" t="s">
        <v>199</v>
      </c>
      <c r="G707" s="38" t="s">
        <v>138</v>
      </c>
      <c r="H707" s="9" t="s">
        <v>162</v>
      </c>
      <c r="I707" s="38" t="s">
        <v>58</v>
      </c>
      <c r="J707" s="38">
        <v>0</v>
      </c>
      <c r="K707">
        <v>0</v>
      </c>
      <c r="L707">
        <v>0</v>
      </c>
      <c r="M707">
        <v>0</v>
      </c>
      <c r="N707" s="38">
        <v>38.369999999999997</v>
      </c>
      <c r="O707" s="38"/>
      <c r="P707" s="38" t="s">
        <v>149</v>
      </c>
      <c r="Q707" s="38"/>
    </row>
    <row r="708" spans="1:17" x14ac:dyDescent="0.25">
      <c r="A708" s="39">
        <v>45418</v>
      </c>
      <c r="B708" s="38" t="s">
        <v>131</v>
      </c>
      <c r="C708" s="38" t="s">
        <v>6</v>
      </c>
      <c r="D708" s="38" t="s">
        <v>396</v>
      </c>
      <c r="E708" s="38" t="s">
        <v>60</v>
      </c>
      <c r="F708" s="38" t="s">
        <v>90</v>
      </c>
      <c r="G708" s="38" t="s">
        <v>138</v>
      </c>
      <c r="H708" s="9" t="s">
        <v>163</v>
      </c>
      <c r="I708" s="38" t="s">
        <v>58</v>
      </c>
      <c r="J708" s="38">
        <v>0</v>
      </c>
      <c r="K708">
        <v>0</v>
      </c>
      <c r="L708">
        <v>0</v>
      </c>
      <c r="M708">
        <v>0</v>
      </c>
      <c r="N708" s="38">
        <v>23.93</v>
      </c>
      <c r="O708" s="38"/>
      <c r="P708" s="38" t="s">
        <v>154</v>
      </c>
      <c r="Q708" s="38"/>
    </row>
    <row r="709" spans="1:17" x14ac:dyDescent="0.25">
      <c r="A709" s="39">
        <v>45418</v>
      </c>
      <c r="B709" s="38" t="s">
        <v>130</v>
      </c>
      <c r="C709" s="38" t="s">
        <v>6</v>
      </c>
      <c r="D709" s="38" t="s">
        <v>191</v>
      </c>
      <c r="E709" s="38" t="s">
        <v>81</v>
      </c>
      <c r="F709" s="38" t="s">
        <v>285</v>
      </c>
      <c r="G709" s="38" t="s">
        <v>138</v>
      </c>
      <c r="H709" s="9" t="s">
        <v>420</v>
      </c>
      <c r="I709" s="38" t="s">
        <v>58</v>
      </c>
      <c r="J709" s="38">
        <v>0</v>
      </c>
      <c r="K709">
        <v>0</v>
      </c>
      <c r="L709">
        <v>0</v>
      </c>
      <c r="M709">
        <v>0</v>
      </c>
      <c r="N709" s="38">
        <v>14.99</v>
      </c>
      <c r="O709" s="38"/>
      <c r="P709" s="38" t="s">
        <v>148</v>
      </c>
      <c r="Q709" s="38"/>
    </row>
    <row r="710" spans="1:17" x14ac:dyDescent="0.25">
      <c r="A710" s="39">
        <v>45418</v>
      </c>
      <c r="B710" s="38" t="s">
        <v>128</v>
      </c>
      <c r="C710" s="38" t="s">
        <v>6</v>
      </c>
      <c r="D710" s="38" t="s">
        <v>129</v>
      </c>
      <c r="E710" s="38" t="s">
        <v>126</v>
      </c>
      <c r="F710" s="38" t="s">
        <v>199</v>
      </c>
      <c r="G710" s="38" t="s">
        <v>138</v>
      </c>
      <c r="H710" s="9" t="s">
        <v>164</v>
      </c>
      <c r="I710" s="38" t="s">
        <v>58</v>
      </c>
      <c r="J710" s="38">
        <v>0</v>
      </c>
      <c r="K710">
        <v>0</v>
      </c>
      <c r="L710">
        <v>0</v>
      </c>
      <c r="M710">
        <v>0</v>
      </c>
      <c r="N710" s="38">
        <v>41.06</v>
      </c>
      <c r="O710" s="38"/>
      <c r="P710" s="38" t="s">
        <v>149</v>
      </c>
      <c r="Q710" s="38"/>
    </row>
    <row r="711" spans="1:17" x14ac:dyDescent="0.25">
      <c r="A711" s="39">
        <v>45418</v>
      </c>
      <c r="B711" s="38" t="s">
        <v>40</v>
      </c>
      <c r="C711" s="38" t="s">
        <v>6</v>
      </c>
      <c r="D711" s="38" t="s">
        <v>397</v>
      </c>
      <c r="E711" s="38" t="s">
        <v>60</v>
      </c>
      <c r="F711" s="38" t="s">
        <v>200</v>
      </c>
      <c r="G711" s="38" t="s">
        <v>138</v>
      </c>
      <c r="H711" s="9" t="s">
        <v>165</v>
      </c>
      <c r="I711" s="38" t="s">
        <v>58</v>
      </c>
      <c r="J711" s="38">
        <v>0</v>
      </c>
      <c r="K711">
        <v>0</v>
      </c>
      <c r="L711">
        <v>0</v>
      </c>
      <c r="M711">
        <v>0</v>
      </c>
      <c r="N711" s="38">
        <v>14.92</v>
      </c>
      <c r="O711" s="38"/>
      <c r="P711" s="38" t="s">
        <v>153</v>
      </c>
      <c r="Q711" s="38"/>
    </row>
    <row r="712" spans="1:17" x14ac:dyDescent="0.25">
      <c r="A712" s="39">
        <v>45418</v>
      </c>
      <c r="B712" s="38" t="s">
        <v>127</v>
      </c>
      <c r="C712" s="38" t="s">
        <v>6</v>
      </c>
      <c r="D712" s="38" t="s">
        <v>203</v>
      </c>
      <c r="E712" s="38" t="s">
        <v>81</v>
      </c>
      <c r="F712" s="38" t="s">
        <v>285</v>
      </c>
      <c r="G712" s="38" t="s">
        <v>138</v>
      </c>
      <c r="H712" s="9" t="s">
        <v>207</v>
      </c>
      <c r="I712" s="38" t="s">
        <v>58</v>
      </c>
      <c r="J712" s="38">
        <v>0</v>
      </c>
      <c r="K712">
        <v>0</v>
      </c>
      <c r="L712">
        <v>0</v>
      </c>
      <c r="M712">
        <v>0</v>
      </c>
      <c r="N712" s="38">
        <v>20.85</v>
      </c>
      <c r="O712" s="38"/>
      <c r="P712" s="38" t="s">
        <v>151</v>
      </c>
      <c r="Q712" s="38"/>
    </row>
    <row r="713" spans="1:17" x14ac:dyDescent="0.25">
      <c r="A713" s="39">
        <v>45418</v>
      </c>
      <c r="B713" s="38" t="s">
        <v>124</v>
      </c>
      <c r="C713" s="38" t="s">
        <v>6</v>
      </c>
      <c r="D713" s="38" t="s">
        <v>340</v>
      </c>
      <c r="E713" s="38" t="s">
        <v>126</v>
      </c>
      <c r="F713" s="38" t="s">
        <v>199</v>
      </c>
      <c r="G713" s="38" t="s">
        <v>138</v>
      </c>
      <c r="H713" s="9" t="s">
        <v>166</v>
      </c>
      <c r="I713" s="38" t="s">
        <v>58</v>
      </c>
      <c r="J713" s="38">
        <v>0</v>
      </c>
      <c r="K713">
        <v>0</v>
      </c>
      <c r="L713">
        <v>0</v>
      </c>
      <c r="M713">
        <v>0</v>
      </c>
      <c r="N713" s="38">
        <v>39863813</v>
      </c>
      <c r="O713" s="38"/>
      <c r="P713" s="38" t="s">
        <v>149</v>
      </c>
      <c r="Q713" s="38"/>
    </row>
    <row r="714" spans="1:17" x14ac:dyDescent="0.25">
      <c r="A714" s="39">
        <v>45418</v>
      </c>
      <c r="B714" s="38" t="s">
        <v>122</v>
      </c>
      <c r="C714" s="38" t="s">
        <v>6</v>
      </c>
      <c r="D714" s="38" t="s">
        <v>356</v>
      </c>
      <c r="E714" s="38" t="s">
        <v>81</v>
      </c>
      <c r="F714" s="38" t="s">
        <v>90</v>
      </c>
      <c r="G714" s="38" t="s">
        <v>138</v>
      </c>
      <c r="H714" s="9" t="s">
        <v>167</v>
      </c>
      <c r="I714" s="38" t="s">
        <v>58</v>
      </c>
      <c r="J714" s="38">
        <v>0</v>
      </c>
      <c r="K714">
        <v>0</v>
      </c>
      <c r="L714">
        <v>0</v>
      </c>
      <c r="M714">
        <v>0</v>
      </c>
      <c r="N714" s="38">
        <v>20.9</v>
      </c>
      <c r="O714" s="38"/>
      <c r="P714" s="38" t="s">
        <v>148</v>
      </c>
      <c r="Q714" s="38"/>
    </row>
    <row r="715" spans="1:17" x14ac:dyDescent="0.25">
      <c r="A715" s="39">
        <v>45418</v>
      </c>
      <c r="B715" s="38" t="s">
        <v>120</v>
      </c>
      <c r="C715" s="38" t="s">
        <v>6</v>
      </c>
      <c r="D715" s="38" t="s">
        <v>333</v>
      </c>
      <c r="E715" s="38" t="s">
        <v>375</v>
      </c>
      <c r="F715" s="38" t="s">
        <v>285</v>
      </c>
      <c r="G715" s="38" t="s">
        <v>138</v>
      </c>
      <c r="H715" s="9" t="s">
        <v>121</v>
      </c>
      <c r="I715" s="38" t="s">
        <v>58</v>
      </c>
      <c r="J715" s="38">
        <v>0</v>
      </c>
      <c r="K715">
        <v>0</v>
      </c>
      <c r="L715">
        <v>0</v>
      </c>
      <c r="M715">
        <v>0</v>
      </c>
      <c r="N715" s="38">
        <v>41.69</v>
      </c>
      <c r="O715" s="38"/>
      <c r="P715" s="38" t="s">
        <v>151</v>
      </c>
      <c r="Q715" s="38"/>
    </row>
    <row r="716" spans="1:17" x14ac:dyDescent="0.25">
      <c r="A716" s="39">
        <v>45418</v>
      </c>
      <c r="B716" s="38" t="s">
        <v>119</v>
      </c>
      <c r="C716" s="38" t="s">
        <v>6</v>
      </c>
      <c r="D716" s="38" t="s">
        <v>178</v>
      </c>
      <c r="E716" s="38" t="s">
        <v>399</v>
      </c>
      <c r="F716" s="38" t="s">
        <v>192</v>
      </c>
      <c r="G716" s="38" t="s">
        <v>138</v>
      </c>
      <c r="H716" s="9" t="s">
        <v>168</v>
      </c>
      <c r="I716" s="38" t="s">
        <v>58</v>
      </c>
      <c r="J716" s="38">
        <v>0</v>
      </c>
      <c r="K716">
        <v>0</v>
      </c>
      <c r="L716">
        <v>0</v>
      </c>
      <c r="M716">
        <v>0</v>
      </c>
      <c r="N716" s="38">
        <v>41.62</v>
      </c>
      <c r="O716" s="38"/>
      <c r="P716" s="38" t="s">
        <v>149</v>
      </c>
      <c r="Q716" s="38"/>
    </row>
    <row r="717" spans="1:17" x14ac:dyDescent="0.25">
      <c r="A717" s="39">
        <v>45418</v>
      </c>
      <c r="B717" s="38" t="s">
        <v>117</v>
      </c>
      <c r="C717" s="38" t="s">
        <v>6</v>
      </c>
      <c r="D717" s="38" t="s">
        <v>349</v>
      </c>
      <c r="E717" s="38" t="s">
        <v>398</v>
      </c>
      <c r="F717" s="38" t="s">
        <v>90</v>
      </c>
      <c r="G717" s="38" t="s">
        <v>138</v>
      </c>
      <c r="H717" s="9" t="s">
        <v>118</v>
      </c>
      <c r="I717" s="38" t="s">
        <v>58</v>
      </c>
      <c r="J717" s="38">
        <v>0</v>
      </c>
      <c r="K717">
        <v>0</v>
      </c>
      <c r="L717">
        <v>0</v>
      </c>
      <c r="M717">
        <v>0</v>
      </c>
      <c r="N717" s="38">
        <v>34.69</v>
      </c>
      <c r="O717" s="38"/>
      <c r="P717" s="38" t="s">
        <v>151</v>
      </c>
      <c r="Q717" s="38"/>
    </row>
    <row r="718" spans="1:17" x14ac:dyDescent="0.25">
      <c r="A718" s="39">
        <v>45418</v>
      </c>
      <c r="B718" s="38" t="s">
        <v>39</v>
      </c>
      <c r="C718" s="38" t="s">
        <v>6</v>
      </c>
      <c r="D718" s="38" t="s">
        <v>177</v>
      </c>
      <c r="E718" s="38" t="s">
        <v>377</v>
      </c>
      <c r="F718" s="38" t="s">
        <v>90</v>
      </c>
      <c r="G718" s="38" t="s">
        <v>138</v>
      </c>
      <c r="H718" s="9" t="s">
        <v>116</v>
      </c>
      <c r="I718" s="38" t="s">
        <v>58</v>
      </c>
      <c r="J718" s="38">
        <v>0</v>
      </c>
      <c r="K718">
        <v>0</v>
      </c>
      <c r="L718">
        <v>0</v>
      </c>
      <c r="M718">
        <v>0</v>
      </c>
      <c r="N718" s="38">
        <v>41.24</v>
      </c>
      <c r="O718" s="38"/>
      <c r="P718" s="38" t="s">
        <v>151</v>
      </c>
      <c r="Q718" s="38"/>
    </row>
    <row r="719" spans="1:17" x14ac:dyDescent="0.25">
      <c r="A719" s="39">
        <v>45418</v>
      </c>
      <c r="B719" s="38" t="s">
        <v>113</v>
      </c>
      <c r="C719" s="38" t="s">
        <v>6</v>
      </c>
      <c r="D719" s="38" t="s">
        <v>188</v>
      </c>
      <c r="E719" s="38" t="s">
        <v>126</v>
      </c>
      <c r="F719" s="38" t="s">
        <v>199</v>
      </c>
      <c r="G719" s="38" t="s">
        <v>138</v>
      </c>
      <c r="H719" s="9" t="s">
        <v>114</v>
      </c>
      <c r="I719" s="38" t="s">
        <v>58</v>
      </c>
      <c r="J719" s="38">
        <v>0</v>
      </c>
      <c r="K719">
        <v>0</v>
      </c>
      <c r="L719">
        <v>0</v>
      </c>
      <c r="M719">
        <v>0</v>
      </c>
      <c r="N719" s="38">
        <v>41.35</v>
      </c>
      <c r="O719" s="38"/>
      <c r="P719" s="38" t="s">
        <v>149</v>
      </c>
      <c r="Q719" s="38"/>
    </row>
    <row r="720" spans="1:17" x14ac:dyDescent="0.25">
      <c r="A720" s="39">
        <v>45418</v>
      </c>
      <c r="B720" s="38" t="s">
        <v>111</v>
      </c>
      <c r="C720" s="38" t="s">
        <v>6</v>
      </c>
      <c r="D720" s="38" t="s">
        <v>189</v>
      </c>
      <c r="E720" s="38" t="s">
        <v>81</v>
      </c>
      <c r="F720" s="38" t="s">
        <v>285</v>
      </c>
      <c r="G720" s="38" t="s">
        <v>138</v>
      </c>
      <c r="H720" s="9" t="s">
        <v>112</v>
      </c>
      <c r="I720" s="38" t="s">
        <v>58</v>
      </c>
      <c r="J720" s="38">
        <v>0</v>
      </c>
      <c r="K720">
        <v>0</v>
      </c>
      <c r="L720">
        <v>0</v>
      </c>
      <c r="M720">
        <v>0</v>
      </c>
      <c r="N720" s="38">
        <v>20.48</v>
      </c>
      <c r="O720" s="38"/>
      <c r="P720" s="38" t="s">
        <v>153</v>
      </c>
      <c r="Q720" s="38"/>
    </row>
    <row r="721" spans="1:17" x14ac:dyDescent="0.25">
      <c r="A721" s="39">
        <v>45418</v>
      </c>
      <c r="B721" s="38" t="s">
        <v>109</v>
      </c>
      <c r="C721" s="38" t="s">
        <v>6</v>
      </c>
      <c r="D721" s="38" t="s">
        <v>142</v>
      </c>
      <c r="E721" s="38" t="s">
        <v>56</v>
      </c>
      <c r="F721" s="38" t="s">
        <v>199</v>
      </c>
      <c r="G721" s="38" t="s">
        <v>138</v>
      </c>
      <c r="H721" s="9" t="s">
        <v>110</v>
      </c>
      <c r="I721" s="38" t="s">
        <v>58</v>
      </c>
      <c r="J721" s="38">
        <v>0</v>
      </c>
      <c r="K721">
        <v>0</v>
      </c>
      <c r="L721">
        <v>0</v>
      </c>
      <c r="M721">
        <v>0</v>
      </c>
      <c r="N721" s="38">
        <v>41.05</v>
      </c>
      <c r="O721" s="38"/>
      <c r="P721" s="38" t="s">
        <v>149</v>
      </c>
      <c r="Q721" s="38"/>
    </row>
    <row r="722" spans="1:17" x14ac:dyDescent="0.25">
      <c r="A722" s="39">
        <v>45418</v>
      </c>
      <c r="B722" s="38" t="s">
        <v>107</v>
      </c>
      <c r="C722" s="38" t="s">
        <v>6</v>
      </c>
      <c r="D722" s="38" t="s">
        <v>401</v>
      </c>
      <c r="E722" s="38" t="s">
        <v>56</v>
      </c>
      <c r="F722" s="38" t="s">
        <v>93</v>
      </c>
      <c r="G722" s="38" t="s">
        <v>138</v>
      </c>
      <c r="H722" s="9" t="s">
        <v>108</v>
      </c>
      <c r="I722" s="38" t="s">
        <v>58</v>
      </c>
      <c r="J722" s="38">
        <v>0</v>
      </c>
      <c r="K722">
        <v>0</v>
      </c>
      <c r="L722">
        <v>0</v>
      </c>
      <c r="M722">
        <v>0</v>
      </c>
      <c r="N722" s="38">
        <v>12.09</v>
      </c>
      <c r="O722" s="38"/>
      <c r="P722" s="38" t="s">
        <v>403</v>
      </c>
      <c r="Q722" s="38"/>
    </row>
    <row r="723" spans="1:17" x14ac:dyDescent="0.25">
      <c r="A723" s="39">
        <v>45418</v>
      </c>
      <c r="B723" s="38" t="s">
        <v>41</v>
      </c>
      <c r="C723" s="38" t="s">
        <v>6</v>
      </c>
      <c r="D723" s="38" t="s">
        <v>123</v>
      </c>
      <c r="E723" s="38" t="s">
        <v>81</v>
      </c>
      <c r="F723" s="38" t="s">
        <v>285</v>
      </c>
      <c r="G723" s="38" t="s">
        <v>138</v>
      </c>
      <c r="H723" s="9" t="s">
        <v>106</v>
      </c>
      <c r="I723" s="38" t="s">
        <v>58</v>
      </c>
      <c r="J723" s="38">
        <v>0</v>
      </c>
      <c r="K723">
        <v>0</v>
      </c>
      <c r="L723">
        <v>0</v>
      </c>
      <c r="M723">
        <v>0</v>
      </c>
      <c r="N723" s="38">
        <v>17.88</v>
      </c>
      <c r="O723" s="38"/>
      <c r="P723" s="38" t="s">
        <v>152</v>
      </c>
      <c r="Q723" s="38"/>
    </row>
    <row r="724" spans="1:17" x14ac:dyDescent="0.25">
      <c r="A724" s="39">
        <v>45418</v>
      </c>
      <c r="B724" s="38" t="s">
        <v>43</v>
      </c>
      <c r="C724" s="38" t="s">
        <v>6</v>
      </c>
      <c r="D724" s="38" t="s">
        <v>282</v>
      </c>
      <c r="E724" s="38" t="s">
        <v>275</v>
      </c>
      <c r="F724" s="38" t="s">
        <v>276</v>
      </c>
      <c r="G724" s="38" t="s">
        <v>138</v>
      </c>
      <c r="H724" s="9" t="s">
        <v>208</v>
      </c>
      <c r="I724" s="38" t="s">
        <v>58</v>
      </c>
      <c r="J724" s="38">
        <v>0</v>
      </c>
      <c r="K724">
        <v>0</v>
      </c>
      <c r="L724">
        <v>0</v>
      </c>
      <c r="M724">
        <v>0</v>
      </c>
      <c r="N724" s="38">
        <v>17.25</v>
      </c>
      <c r="O724" s="38"/>
      <c r="P724" s="38" t="s">
        <v>154</v>
      </c>
      <c r="Q724" s="38"/>
    </row>
    <row r="725" spans="1:17" x14ac:dyDescent="0.25">
      <c r="A725" s="39">
        <v>45418</v>
      </c>
      <c r="B725" s="38" t="s">
        <v>5</v>
      </c>
      <c r="C725" s="38" t="s">
        <v>6</v>
      </c>
      <c r="D725" s="38" t="s">
        <v>283</v>
      </c>
      <c r="E725" s="38" t="s">
        <v>60</v>
      </c>
      <c r="F725" s="38" t="s">
        <v>285</v>
      </c>
      <c r="G725" s="38" t="s">
        <v>138</v>
      </c>
      <c r="H725" s="9" t="s">
        <v>209</v>
      </c>
      <c r="I725" s="38" t="s">
        <v>58</v>
      </c>
      <c r="J725" s="38">
        <v>0</v>
      </c>
      <c r="K725">
        <v>0</v>
      </c>
      <c r="L725">
        <v>0</v>
      </c>
      <c r="M725">
        <v>0</v>
      </c>
      <c r="N725" s="38">
        <v>16.46</v>
      </c>
      <c r="O725" s="38"/>
      <c r="P725" s="38" t="s">
        <v>153</v>
      </c>
      <c r="Q725" s="38"/>
    </row>
    <row r="726" spans="1:17" x14ac:dyDescent="0.25">
      <c r="A726" s="39">
        <v>45418</v>
      </c>
      <c r="B726" s="38" t="s">
        <v>9</v>
      </c>
      <c r="C726" s="38" t="s">
        <v>6</v>
      </c>
      <c r="D726" s="38" t="s">
        <v>189</v>
      </c>
      <c r="E726" s="38" t="s">
        <v>360</v>
      </c>
      <c r="F726" s="38" t="s">
        <v>276</v>
      </c>
      <c r="G726" s="38" t="s">
        <v>138</v>
      </c>
      <c r="H726" s="9" t="s">
        <v>210</v>
      </c>
      <c r="I726" s="38" t="s">
        <v>58</v>
      </c>
      <c r="J726" s="38">
        <v>0</v>
      </c>
      <c r="K726">
        <v>0</v>
      </c>
      <c r="L726">
        <v>0</v>
      </c>
      <c r="M726">
        <v>0</v>
      </c>
      <c r="N726" s="38">
        <v>23.18</v>
      </c>
      <c r="O726" s="38"/>
      <c r="P726" s="38" t="s">
        <v>153</v>
      </c>
      <c r="Q726" s="38"/>
    </row>
    <row r="727" spans="1:17" x14ac:dyDescent="0.25">
      <c r="A727" s="39">
        <v>45418</v>
      </c>
      <c r="B727" s="38" t="s">
        <v>10</v>
      </c>
      <c r="C727" s="38" t="s">
        <v>6</v>
      </c>
      <c r="D727" s="38" t="s">
        <v>263</v>
      </c>
      <c r="E727" s="38" t="s">
        <v>342</v>
      </c>
      <c r="F727" s="38" t="s">
        <v>90</v>
      </c>
      <c r="G727" s="38" t="s">
        <v>138</v>
      </c>
      <c r="H727" s="9" t="s">
        <v>211</v>
      </c>
      <c r="I727" s="38" t="s">
        <v>58</v>
      </c>
      <c r="J727" s="38">
        <v>0</v>
      </c>
      <c r="K727">
        <v>0</v>
      </c>
      <c r="L727">
        <v>0</v>
      </c>
      <c r="M727">
        <v>0</v>
      </c>
      <c r="N727" s="38">
        <v>74.34</v>
      </c>
      <c r="O727" s="38"/>
      <c r="P727" s="38" t="s">
        <v>151</v>
      </c>
      <c r="Q727" s="38"/>
    </row>
    <row r="728" spans="1:17" x14ac:dyDescent="0.25">
      <c r="A728" s="39">
        <v>45418</v>
      </c>
      <c r="B728" s="38" t="s">
        <v>11</v>
      </c>
      <c r="C728" s="38" t="s">
        <v>6</v>
      </c>
      <c r="D728" s="38" t="s">
        <v>205</v>
      </c>
      <c r="E728" s="38" t="s">
        <v>60</v>
      </c>
      <c r="F728" s="38" t="s">
        <v>93</v>
      </c>
      <c r="G728" s="38" t="s">
        <v>138</v>
      </c>
      <c r="H728" s="9" t="s">
        <v>212</v>
      </c>
      <c r="I728" s="38" t="s">
        <v>58</v>
      </c>
      <c r="J728" s="38">
        <v>0</v>
      </c>
      <c r="K728">
        <v>0</v>
      </c>
      <c r="L728">
        <v>0</v>
      </c>
      <c r="M728">
        <v>0</v>
      </c>
      <c r="N728" s="38">
        <v>11.39</v>
      </c>
      <c r="O728" s="38"/>
      <c r="P728" s="38" t="s">
        <v>147</v>
      </c>
      <c r="Q728" s="38"/>
    </row>
    <row r="729" spans="1:17" x14ac:dyDescent="0.25">
      <c r="A729" s="39">
        <v>45418</v>
      </c>
      <c r="B729" s="38" t="s">
        <v>12</v>
      </c>
      <c r="C729" s="38" t="s">
        <v>6</v>
      </c>
      <c r="D729" s="38" t="s">
        <v>286</v>
      </c>
      <c r="E729" s="38" t="s">
        <v>60</v>
      </c>
      <c r="F729" s="38" t="s">
        <v>285</v>
      </c>
      <c r="G729" s="38" t="s">
        <v>138</v>
      </c>
      <c r="H729" s="9" t="s">
        <v>213</v>
      </c>
      <c r="I729" s="38" t="s">
        <v>58</v>
      </c>
      <c r="J729" s="38">
        <v>0</v>
      </c>
      <c r="K729">
        <v>0</v>
      </c>
      <c r="L729">
        <v>0</v>
      </c>
      <c r="M729">
        <v>0</v>
      </c>
      <c r="N729" s="38">
        <v>11.98</v>
      </c>
      <c r="O729" s="38"/>
      <c r="P729" s="38" t="s">
        <v>154</v>
      </c>
      <c r="Q729" s="38"/>
    </row>
    <row r="730" spans="1:17" x14ac:dyDescent="0.25">
      <c r="A730" s="39">
        <v>45418</v>
      </c>
      <c r="B730" s="38" t="s">
        <v>105</v>
      </c>
      <c r="C730" s="38" t="s">
        <v>6</v>
      </c>
      <c r="D730" s="38" t="s">
        <v>267</v>
      </c>
      <c r="E730" s="38" t="s">
        <v>60</v>
      </c>
      <c r="F730" s="38" t="s">
        <v>93</v>
      </c>
      <c r="G730" s="38" t="s">
        <v>138</v>
      </c>
      <c r="H730" s="9" t="s">
        <v>214</v>
      </c>
      <c r="I730" s="38" t="s">
        <v>58</v>
      </c>
      <c r="J730" s="38">
        <v>0</v>
      </c>
      <c r="K730">
        <v>0</v>
      </c>
      <c r="L730">
        <v>0</v>
      </c>
      <c r="M730">
        <v>0</v>
      </c>
      <c r="N730" s="38">
        <v>12.39</v>
      </c>
      <c r="O730" s="38"/>
      <c r="P730" s="38" t="s">
        <v>147</v>
      </c>
      <c r="Q730" s="38"/>
    </row>
    <row r="731" spans="1:17" x14ac:dyDescent="0.25">
      <c r="A731" s="39">
        <v>45418</v>
      </c>
      <c r="B731" s="38" t="s">
        <v>104</v>
      </c>
      <c r="C731" s="38" t="s">
        <v>6</v>
      </c>
      <c r="D731" s="38" t="s">
        <v>143</v>
      </c>
      <c r="E731" s="38" t="s">
        <v>60</v>
      </c>
      <c r="F731" s="38" t="s">
        <v>285</v>
      </c>
      <c r="G731" s="38" t="s">
        <v>138</v>
      </c>
      <c r="H731" s="9" t="s">
        <v>215</v>
      </c>
      <c r="I731" s="38" t="s">
        <v>58</v>
      </c>
      <c r="J731" s="38">
        <v>0</v>
      </c>
      <c r="K731">
        <v>0</v>
      </c>
      <c r="L731">
        <v>0</v>
      </c>
      <c r="M731">
        <v>0</v>
      </c>
      <c r="N731" s="38">
        <v>13.96</v>
      </c>
      <c r="O731" s="38"/>
      <c r="P731" s="38" t="s">
        <v>154</v>
      </c>
      <c r="Q731" s="38"/>
    </row>
    <row r="732" spans="1:17" x14ac:dyDescent="0.25">
      <c r="A732" s="39">
        <v>45418</v>
      </c>
      <c r="B732" s="38" t="s">
        <v>13</v>
      </c>
      <c r="C732" s="38" t="s">
        <v>6</v>
      </c>
      <c r="D732" s="38" t="s">
        <v>350</v>
      </c>
      <c r="E732" s="38" t="s">
        <v>60</v>
      </c>
      <c r="F732" s="38" t="s">
        <v>93</v>
      </c>
      <c r="G732" s="38" t="s">
        <v>138</v>
      </c>
      <c r="H732" s="9" t="s">
        <v>216</v>
      </c>
      <c r="I732" s="38" t="s">
        <v>58</v>
      </c>
      <c r="J732" s="38">
        <v>0</v>
      </c>
      <c r="K732">
        <v>0</v>
      </c>
      <c r="L732">
        <v>0</v>
      </c>
      <c r="M732">
        <v>0</v>
      </c>
      <c r="N732" s="38">
        <v>12.4</v>
      </c>
      <c r="O732" s="38"/>
      <c r="P732" s="38" t="s">
        <v>147</v>
      </c>
      <c r="Q732" s="38"/>
    </row>
    <row r="733" spans="1:17" x14ac:dyDescent="0.25">
      <c r="A733" s="39">
        <v>45418</v>
      </c>
      <c r="B733" s="38" t="s">
        <v>103</v>
      </c>
      <c r="C733" s="38" t="s">
        <v>6</v>
      </c>
      <c r="D733" s="38" t="s">
        <v>179</v>
      </c>
      <c r="E733" s="38" t="s">
        <v>81</v>
      </c>
      <c r="F733" s="38" t="s">
        <v>90</v>
      </c>
      <c r="G733" s="38" t="s">
        <v>138</v>
      </c>
      <c r="H733" s="9" t="s">
        <v>217</v>
      </c>
      <c r="I733" s="38" t="s">
        <v>65</v>
      </c>
      <c r="J733" s="38">
        <v>0</v>
      </c>
      <c r="K733">
        <v>0</v>
      </c>
      <c r="L733">
        <v>0</v>
      </c>
      <c r="M733">
        <v>0</v>
      </c>
      <c r="N733" s="38">
        <v>41.9</v>
      </c>
      <c r="O733" s="38"/>
      <c r="P733" s="38" t="s">
        <v>187</v>
      </c>
      <c r="Q733" s="38"/>
    </row>
    <row r="734" spans="1:17" x14ac:dyDescent="0.25">
      <c r="A734" s="39">
        <v>45418</v>
      </c>
      <c r="B734" s="38" t="s">
        <v>101</v>
      </c>
      <c r="C734" s="38" t="s">
        <v>6</v>
      </c>
      <c r="D734" s="38" t="s">
        <v>405</v>
      </c>
      <c r="E734" s="38" t="s">
        <v>81</v>
      </c>
      <c r="F734" s="38" t="s">
        <v>285</v>
      </c>
      <c r="G734" s="38" t="s">
        <v>138</v>
      </c>
      <c r="H734" s="9" t="s">
        <v>102</v>
      </c>
      <c r="I734" s="38" t="s">
        <v>58</v>
      </c>
      <c r="J734" s="38">
        <v>0</v>
      </c>
      <c r="K734">
        <v>0</v>
      </c>
      <c r="L734">
        <v>0</v>
      </c>
      <c r="M734">
        <v>0</v>
      </c>
      <c r="N734" s="38">
        <v>19.600000000000001</v>
      </c>
      <c r="O734" s="38"/>
      <c r="P734" s="38" t="s">
        <v>151</v>
      </c>
      <c r="Q734" s="38"/>
    </row>
    <row r="735" spans="1:17" x14ac:dyDescent="0.25">
      <c r="A735" s="39">
        <v>45418</v>
      </c>
      <c r="B735" s="38" t="s">
        <v>99</v>
      </c>
      <c r="C735" s="38" t="s">
        <v>6</v>
      </c>
      <c r="D735" s="38" t="s">
        <v>249</v>
      </c>
      <c r="E735" s="38" t="s">
        <v>81</v>
      </c>
      <c r="F735" s="38" t="s">
        <v>90</v>
      </c>
      <c r="G735" s="38" t="s">
        <v>138</v>
      </c>
      <c r="H735" s="9" t="s">
        <v>100</v>
      </c>
      <c r="I735" s="38"/>
      <c r="J735" s="38">
        <v>0</v>
      </c>
      <c r="K735">
        <v>0</v>
      </c>
      <c r="L735">
        <v>0</v>
      </c>
      <c r="M735">
        <v>0</v>
      </c>
      <c r="N735" s="38">
        <v>41.83</v>
      </c>
      <c r="O735" s="38"/>
      <c r="P735" s="38" t="s">
        <v>152</v>
      </c>
      <c r="Q735" s="38"/>
    </row>
    <row r="736" spans="1:17" x14ac:dyDescent="0.25">
      <c r="A736" s="39">
        <v>45418</v>
      </c>
      <c r="B736" s="38" t="s">
        <v>97</v>
      </c>
      <c r="C736" s="38" t="s">
        <v>6</v>
      </c>
      <c r="D736" s="38" t="s">
        <v>288</v>
      </c>
      <c r="E736" s="38" t="s">
        <v>352</v>
      </c>
      <c r="F736" s="38" t="s">
        <v>285</v>
      </c>
      <c r="G736" s="38" t="s">
        <v>138</v>
      </c>
      <c r="H736" s="9" t="s">
        <v>98</v>
      </c>
      <c r="I736" s="38" t="s">
        <v>58</v>
      </c>
      <c r="J736" s="38">
        <v>0</v>
      </c>
      <c r="K736">
        <v>0</v>
      </c>
      <c r="L736">
        <v>0</v>
      </c>
      <c r="M736">
        <v>0</v>
      </c>
      <c r="N736" s="38">
        <v>22.49</v>
      </c>
      <c r="O736" s="38"/>
      <c r="P736" s="38" t="s">
        <v>148</v>
      </c>
      <c r="Q736" s="38"/>
    </row>
    <row r="737" spans="1:17" x14ac:dyDescent="0.25">
      <c r="A737" s="39">
        <v>45418</v>
      </c>
      <c r="B737" s="38" t="s">
        <v>95</v>
      </c>
      <c r="C737" s="38" t="s">
        <v>6</v>
      </c>
      <c r="D737" s="38" t="s">
        <v>181</v>
      </c>
      <c r="E737" s="38" t="s">
        <v>81</v>
      </c>
      <c r="F737" s="38" t="s">
        <v>90</v>
      </c>
      <c r="G737" s="38" t="s">
        <v>138</v>
      </c>
      <c r="H737" s="9" t="s">
        <v>96</v>
      </c>
      <c r="I737" s="38" t="s">
        <v>65</v>
      </c>
      <c r="J737" s="38">
        <v>0</v>
      </c>
      <c r="K737">
        <v>0</v>
      </c>
      <c r="L737">
        <v>0</v>
      </c>
      <c r="M737">
        <v>0</v>
      </c>
      <c r="N737" s="38">
        <v>20.38</v>
      </c>
      <c r="O737" s="38"/>
      <c r="P737" s="38" t="s">
        <v>152</v>
      </c>
      <c r="Q737" s="38"/>
    </row>
    <row r="738" spans="1:17" x14ac:dyDescent="0.25">
      <c r="A738" s="39">
        <v>45418</v>
      </c>
      <c r="B738" s="38" t="s">
        <v>14</v>
      </c>
      <c r="C738" s="38" t="s">
        <v>6</v>
      </c>
      <c r="D738" s="38" t="s">
        <v>289</v>
      </c>
      <c r="E738" s="38" t="s">
        <v>352</v>
      </c>
      <c r="F738" s="38" t="s">
        <v>285</v>
      </c>
      <c r="G738" s="38" t="s">
        <v>138</v>
      </c>
      <c r="H738" s="9" t="s">
        <v>94</v>
      </c>
      <c r="I738" s="38" t="s">
        <v>58</v>
      </c>
      <c r="J738" s="38">
        <v>0</v>
      </c>
      <c r="K738">
        <v>0</v>
      </c>
      <c r="L738">
        <v>0</v>
      </c>
      <c r="M738">
        <v>0</v>
      </c>
      <c r="N738" s="38">
        <v>25.88</v>
      </c>
      <c r="O738" s="38"/>
      <c r="P738" s="38" t="s">
        <v>151</v>
      </c>
      <c r="Q738" s="38"/>
    </row>
    <row r="739" spans="1:17" x14ac:dyDescent="0.25">
      <c r="A739" s="39">
        <v>45418</v>
      </c>
      <c r="B739" s="38" t="s">
        <v>91</v>
      </c>
      <c r="C739" s="38" t="s">
        <v>6</v>
      </c>
      <c r="D739" s="38" t="s">
        <v>180</v>
      </c>
      <c r="E739" s="38" t="s">
        <v>81</v>
      </c>
      <c r="F739" s="38" t="s">
        <v>90</v>
      </c>
      <c r="G739" s="38" t="s">
        <v>138</v>
      </c>
      <c r="H739" s="9" t="s">
        <v>92</v>
      </c>
      <c r="I739" s="38"/>
      <c r="J739" s="38">
        <v>0</v>
      </c>
      <c r="K739">
        <v>0</v>
      </c>
      <c r="L739">
        <v>0</v>
      </c>
      <c r="M739">
        <v>0</v>
      </c>
      <c r="N739" s="38">
        <v>16.73</v>
      </c>
      <c r="O739" s="38"/>
      <c r="P739" s="38" t="s">
        <v>148</v>
      </c>
      <c r="Q739" s="38"/>
    </row>
    <row r="740" spans="1:17" x14ac:dyDescent="0.25">
      <c r="A740" s="39">
        <v>45418</v>
      </c>
      <c r="B740" s="38" t="s">
        <v>15</v>
      </c>
      <c r="C740" s="38" t="s">
        <v>6</v>
      </c>
      <c r="D740" s="38" t="s">
        <v>140</v>
      </c>
      <c r="E740" s="38" t="s">
        <v>81</v>
      </c>
      <c r="F740" s="38" t="s">
        <v>285</v>
      </c>
      <c r="G740" s="38" t="s">
        <v>138</v>
      </c>
      <c r="H740" s="9" t="s">
        <v>218</v>
      </c>
      <c r="I740" s="38" t="s">
        <v>58</v>
      </c>
      <c r="J740" s="38">
        <v>0</v>
      </c>
      <c r="K740">
        <v>0</v>
      </c>
      <c r="L740">
        <v>0</v>
      </c>
      <c r="M740">
        <v>0</v>
      </c>
      <c r="N740" s="38">
        <v>20.190000000000001</v>
      </c>
      <c r="O740" s="38"/>
      <c r="P740" s="38" t="s">
        <v>148</v>
      </c>
      <c r="Q740" s="38"/>
    </row>
    <row r="741" spans="1:17" x14ac:dyDescent="0.25">
      <c r="A741" s="39">
        <v>45418</v>
      </c>
      <c r="B741" s="38" t="s">
        <v>89</v>
      </c>
      <c r="C741" s="38" t="s">
        <v>6</v>
      </c>
      <c r="D741" s="38" t="s">
        <v>176</v>
      </c>
      <c r="E741" s="38" t="s">
        <v>398</v>
      </c>
      <c r="F741" s="38" t="s">
        <v>90</v>
      </c>
      <c r="G741" s="38" t="s">
        <v>138</v>
      </c>
      <c r="H741" s="9" t="s">
        <v>219</v>
      </c>
      <c r="I741" s="38" t="s">
        <v>65</v>
      </c>
      <c r="J741" s="38">
        <v>0</v>
      </c>
      <c r="K741">
        <v>0</v>
      </c>
      <c r="L741">
        <v>0</v>
      </c>
      <c r="M741">
        <v>0</v>
      </c>
      <c r="N741" s="38">
        <v>17.670000000000002</v>
      </c>
      <c r="O741" s="38"/>
      <c r="P741" s="38" t="s">
        <v>186</v>
      </c>
      <c r="Q741" s="38"/>
    </row>
    <row r="742" spans="1:17" x14ac:dyDescent="0.25">
      <c r="A742" s="39">
        <v>45418</v>
      </c>
      <c r="B742" s="38" t="s">
        <v>16</v>
      </c>
      <c r="C742" s="38" t="s">
        <v>6</v>
      </c>
      <c r="D742" s="38" t="s">
        <v>407</v>
      </c>
      <c r="E742" s="38" t="s">
        <v>360</v>
      </c>
      <c r="F742" s="38" t="s">
        <v>253</v>
      </c>
      <c r="G742" s="38" t="s">
        <v>138</v>
      </c>
      <c r="H742" s="9" t="s">
        <v>220</v>
      </c>
      <c r="I742" s="38" t="s">
        <v>58</v>
      </c>
      <c r="J742" s="38">
        <v>0</v>
      </c>
      <c r="K742">
        <v>0</v>
      </c>
      <c r="L742">
        <v>0</v>
      </c>
      <c r="M742">
        <v>0</v>
      </c>
      <c r="N742" s="38">
        <v>21.19</v>
      </c>
      <c r="O742" s="38"/>
      <c r="P742" s="38" t="s">
        <v>151</v>
      </c>
      <c r="Q742" s="38"/>
    </row>
    <row r="743" spans="1:17" x14ac:dyDescent="0.25">
      <c r="A743" s="39">
        <v>45418</v>
      </c>
      <c r="B743" s="38" t="s">
        <v>88</v>
      </c>
      <c r="C743" s="38" t="s">
        <v>6</v>
      </c>
      <c r="D743" s="38" t="s">
        <v>311</v>
      </c>
      <c r="E743" s="38" t="s">
        <v>60</v>
      </c>
      <c r="F743" s="38" t="s">
        <v>253</v>
      </c>
      <c r="G743" s="38" t="s">
        <v>138</v>
      </c>
      <c r="H743" s="9" t="s">
        <v>221</v>
      </c>
      <c r="I743" s="38"/>
      <c r="J743" s="38">
        <v>0</v>
      </c>
      <c r="K743">
        <v>0</v>
      </c>
      <c r="L743">
        <v>0</v>
      </c>
      <c r="M743">
        <v>0</v>
      </c>
      <c r="N743" s="38">
        <v>38.44</v>
      </c>
      <c r="O743" s="38"/>
      <c r="P743" s="38" t="s">
        <v>154</v>
      </c>
      <c r="Q743" s="38"/>
    </row>
    <row r="744" spans="1:17" x14ac:dyDescent="0.25">
      <c r="A744" s="39">
        <v>45418</v>
      </c>
      <c r="B744" s="38" t="s">
        <v>17</v>
      </c>
      <c r="C744" s="38" t="s">
        <v>6</v>
      </c>
      <c r="D744" s="38" t="s">
        <v>272</v>
      </c>
      <c r="E744" s="38" t="s">
        <v>275</v>
      </c>
      <c r="F744" s="38" t="s">
        <v>276</v>
      </c>
      <c r="G744" s="38" t="s">
        <v>138</v>
      </c>
      <c r="H744" s="9" t="s">
        <v>222</v>
      </c>
      <c r="I744" s="38" t="s">
        <v>58</v>
      </c>
      <c r="J744" s="38">
        <v>0</v>
      </c>
      <c r="K744">
        <v>0</v>
      </c>
      <c r="L744">
        <v>0</v>
      </c>
      <c r="M744">
        <v>0</v>
      </c>
      <c r="N744" s="38">
        <v>20.56</v>
      </c>
      <c r="O744" s="38"/>
      <c r="P744" s="38" t="s">
        <v>151</v>
      </c>
      <c r="Q744" s="38"/>
    </row>
    <row r="745" spans="1:17" x14ac:dyDescent="0.25">
      <c r="A745" s="39">
        <v>45418</v>
      </c>
      <c r="B745" s="38" t="s">
        <v>19</v>
      </c>
      <c r="C745" s="38" t="s">
        <v>6</v>
      </c>
      <c r="D745" s="38" t="s">
        <v>343</v>
      </c>
      <c r="E745" s="38" t="s">
        <v>81</v>
      </c>
      <c r="F745" s="38" t="s">
        <v>253</v>
      </c>
      <c r="G745" s="38" t="s">
        <v>138</v>
      </c>
      <c r="H745" s="9" t="s">
        <v>223</v>
      </c>
      <c r="I745" s="38" t="s">
        <v>65</v>
      </c>
      <c r="J745" s="38">
        <v>0</v>
      </c>
      <c r="K745">
        <v>0</v>
      </c>
      <c r="L745">
        <v>0</v>
      </c>
      <c r="M745">
        <v>0</v>
      </c>
      <c r="N745" s="38">
        <v>41.06</v>
      </c>
      <c r="O745" s="38"/>
      <c r="P745" s="38" t="s">
        <v>151</v>
      </c>
      <c r="Q745" s="38"/>
    </row>
    <row r="746" spans="1:17" x14ac:dyDescent="0.25">
      <c r="A746" s="39">
        <v>45418</v>
      </c>
      <c r="B746" s="38" t="s">
        <v>18</v>
      </c>
      <c r="C746" s="38" t="s">
        <v>6</v>
      </c>
      <c r="D746" s="38" t="s">
        <v>268</v>
      </c>
      <c r="E746" s="38" t="s">
        <v>408</v>
      </c>
      <c r="F746" s="38" t="s">
        <v>253</v>
      </c>
      <c r="G746" s="38" t="s">
        <v>138</v>
      </c>
      <c r="H746" s="9" t="s">
        <v>224</v>
      </c>
      <c r="I746" s="38" t="s">
        <v>58</v>
      </c>
      <c r="J746" s="38">
        <v>0</v>
      </c>
      <c r="K746">
        <v>0</v>
      </c>
      <c r="L746">
        <v>0</v>
      </c>
      <c r="M746">
        <v>0</v>
      </c>
      <c r="N746" s="38">
        <v>18.89</v>
      </c>
      <c r="O746" s="38"/>
      <c r="P746" s="38" t="s">
        <v>148</v>
      </c>
      <c r="Q746" s="38"/>
    </row>
    <row r="747" spans="1:17" x14ac:dyDescent="0.25">
      <c r="A747" s="39">
        <v>45418</v>
      </c>
      <c r="B747" s="38" t="s">
        <v>87</v>
      </c>
      <c r="C747" s="38" t="s">
        <v>6</v>
      </c>
      <c r="D747" s="38"/>
      <c r="E747" s="38"/>
      <c r="F747" s="38"/>
      <c r="G747" s="38" t="s">
        <v>138</v>
      </c>
      <c r="H747" s="9" t="s">
        <v>225</v>
      </c>
      <c r="I747" s="38"/>
      <c r="J747" s="38">
        <v>0</v>
      </c>
      <c r="K747">
        <v>0</v>
      </c>
      <c r="L747">
        <v>0</v>
      </c>
      <c r="M747">
        <v>0</v>
      </c>
      <c r="N747" s="38">
        <v>41146219</v>
      </c>
      <c r="O747" s="38"/>
      <c r="P747" s="38"/>
      <c r="Q747" s="38"/>
    </row>
    <row r="748" spans="1:17" x14ac:dyDescent="0.25">
      <c r="A748" s="39">
        <v>45418</v>
      </c>
      <c r="B748" s="38" t="s">
        <v>42</v>
      </c>
      <c r="C748" s="38" t="s">
        <v>6</v>
      </c>
      <c r="D748" s="38" t="s">
        <v>246</v>
      </c>
      <c r="E748" s="38" t="s">
        <v>81</v>
      </c>
      <c r="F748" s="38" t="s">
        <v>285</v>
      </c>
      <c r="G748" s="38" t="s">
        <v>138</v>
      </c>
      <c r="H748" s="9" t="s">
        <v>226</v>
      </c>
      <c r="I748" s="38" t="s">
        <v>58</v>
      </c>
      <c r="J748" s="38">
        <v>0</v>
      </c>
      <c r="K748">
        <v>0</v>
      </c>
      <c r="L748">
        <v>0</v>
      </c>
      <c r="M748">
        <v>0</v>
      </c>
      <c r="N748" s="38">
        <v>20.7</v>
      </c>
      <c r="O748" s="38"/>
      <c r="P748" s="38" t="s">
        <v>148</v>
      </c>
      <c r="Q748" s="38"/>
    </row>
    <row r="749" spans="1:17" x14ac:dyDescent="0.25">
      <c r="A749" s="39">
        <v>45418</v>
      </c>
      <c r="B749" s="38" t="s">
        <v>86</v>
      </c>
      <c r="C749" s="38" t="s">
        <v>6</v>
      </c>
      <c r="D749" s="38" t="s">
        <v>271</v>
      </c>
      <c r="E749" s="38" t="s">
        <v>275</v>
      </c>
      <c r="F749" s="38" t="s">
        <v>276</v>
      </c>
      <c r="G749" s="38" t="s">
        <v>138</v>
      </c>
      <c r="H749" s="9" t="s">
        <v>227</v>
      </c>
      <c r="I749" s="38" t="s">
        <v>65</v>
      </c>
      <c r="J749" s="38">
        <v>0</v>
      </c>
      <c r="K749">
        <v>0</v>
      </c>
      <c r="L749">
        <v>0</v>
      </c>
      <c r="M749">
        <v>0</v>
      </c>
      <c r="N749" s="38">
        <v>41.64</v>
      </c>
      <c r="O749" s="38"/>
      <c r="P749" s="38" t="s">
        <v>152</v>
      </c>
      <c r="Q749" s="38"/>
    </row>
    <row r="750" spans="1:17" x14ac:dyDescent="0.25">
      <c r="A750" s="39">
        <v>45418</v>
      </c>
      <c r="B750" s="38" t="s">
        <v>38</v>
      </c>
      <c r="C750" s="38" t="s">
        <v>6</v>
      </c>
      <c r="D750" s="38" t="s">
        <v>141</v>
      </c>
      <c r="E750" s="38" t="s">
        <v>81</v>
      </c>
      <c r="F750" s="38" t="s">
        <v>285</v>
      </c>
      <c r="G750" s="38" t="s">
        <v>138</v>
      </c>
      <c r="H750" s="9" t="s">
        <v>85</v>
      </c>
      <c r="I750" s="38" t="s">
        <v>58</v>
      </c>
      <c r="J750" s="38">
        <v>0</v>
      </c>
      <c r="K750">
        <v>0</v>
      </c>
      <c r="L750">
        <v>0</v>
      </c>
      <c r="M750">
        <v>0</v>
      </c>
      <c r="N750" s="38">
        <v>37.5</v>
      </c>
      <c r="O750" s="38"/>
      <c r="P750" s="38" t="s">
        <v>151</v>
      </c>
      <c r="Q750" s="38"/>
    </row>
    <row r="751" spans="1:17" x14ac:dyDescent="0.25">
      <c r="A751" s="39">
        <v>45418</v>
      </c>
      <c r="B751" s="38" t="s">
        <v>83</v>
      </c>
      <c r="C751" s="38" t="s">
        <v>6</v>
      </c>
      <c r="D751" s="38"/>
      <c r="E751" s="38"/>
      <c r="F751" s="38"/>
      <c r="G751" s="38" t="s">
        <v>138</v>
      </c>
      <c r="H751" s="9" t="s">
        <v>84</v>
      </c>
      <c r="I751" s="38"/>
      <c r="J751" s="38">
        <v>0</v>
      </c>
      <c r="K751">
        <v>0</v>
      </c>
      <c r="L751">
        <v>0</v>
      </c>
      <c r="M751">
        <v>0</v>
      </c>
      <c r="N751" s="38">
        <v>41.36</v>
      </c>
      <c r="O751" s="38"/>
      <c r="P751" s="38"/>
      <c r="Q751" s="38"/>
    </row>
    <row r="752" spans="1:17" x14ac:dyDescent="0.25">
      <c r="A752" s="39">
        <v>45418</v>
      </c>
      <c r="B752" s="38" t="s">
        <v>20</v>
      </c>
      <c r="C752" s="38" t="s">
        <v>6</v>
      </c>
      <c r="D752" s="38" t="s">
        <v>351</v>
      </c>
      <c r="E752" s="38" t="s">
        <v>352</v>
      </c>
      <c r="F752" s="38" t="s">
        <v>285</v>
      </c>
      <c r="G752" s="38" t="s">
        <v>138</v>
      </c>
      <c r="H752" s="9" t="s">
        <v>82</v>
      </c>
      <c r="I752" s="38" t="s">
        <v>58</v>
      </c>
      <c r="J752" s="38">
        <v>0</v>
      </c>
      <c r="K752">
        <v>0</v>
      </c>
      <c r="L752">
        <v>0</v>
      </c>
      <c r="M752">
        <v>0</v>
      </c>
      <c r="N752" s="38">
        <v>22.79</v>
      </c>
      <c r="O752" s="38"/>
      <c r="P752" s="38" t="s">
        <v>151</v>
      </c>
      <c r="Q752" s="38"/>
    </row>
    <row r="753" spans="1:17" x14ac:dyDescent="0.25">
      <c r="A753" s="39">
        <v>45418</v>
      </c>
      <c r="B753" s="38" t="s">
        <v>21</v>
      </c>
      <c r="C753" s="38" t="s">
        <v>6</v>
      </c>
      <c r="D753" s="38" t="s">
        <v>291</v>
      </c>
      <c r="E753" s="38" t="s">
        <v>352</v>
      </c>
      <c r="F753" s="38" t="s">
        <v>285</v>
      </c>
      <c r="G753" s="38" t="s">
        <v>138</v>
      </c>
      <c r="H753" s="9" t="s">
        <v>80</v>
      </c>
      <c r="I753" s="38" t="s">
        <v>65</v>
      </c>
      <c r="J753" s="38">
        <v>0</v>
      </c>
      <c r="K753">
        <v>0</v>
      </c>
      <c r="L753">
        <v>0</v>
      </c>
      <c r="M753">
        <v>0</v>
      </c>
      <c r="N753" s="38">
        <v>21.59</v>
      </c>
      <c r="O753" s="38"/>
      <c r="P753" s="38" t="s">
        <v>152</v>
      </c>
      <c r="Q753" s="38"/>
    </row>
    <row r="754" spans="1:17" x14ac:dyDescent="0.25">
      <c r="A754" s="39">
        <v>45418</v>
      </c>
      <c r="B754" s="38" t="s">
        <v>22</v>
      </c>
      <c r="C754" s="38" t="s">
        <v>6</v>
      </c>
      <c r="D754" s="38" t="s">
        <v>353</v>
      </c>
      <c r="E754" s="38" t="s">
        <v>352</v>
      </c>
      <c r="F754" s="38" t="s">
        <v>285</v>
      </c>
      <c r="G754" s="38" t="s">
        <v>138</v>
      </c>
      <c r="H754" s="9" t="s">
        <v>79</v>
      </c>
      <c r="I754" s="38" t="s">
        <v>58</v>
      </c>
      <c r="J754" s="38">
        <v>0</v>
      </c>
      <c r="K754">
        <v>0</v>
      </c>
      <c r="L754">
        <v>0</v>
      </c>
      <c r="M754">
        <v>0</v>
      </c>
      <c r="N754" s="38">
        <v>13.62</v>
      </c>
      <c r="O754" s="38"/>
      <c r="P754" s="38" t="s">
        <v>148</v>
      </c>
      <c r="Q754" s="38"/>
    </row>
    <row r="755" spans="1:17" x14ac:dyDescent="0.25">
      <c r="A755" s="39">
        <v>45418</v>
      </c>
      <c r="B755" s="38" t="s">
        <v>77</v>
      </c>
      <c r="C755" s="38" t="s">
        <v>6</v>
      </c>
      <c r="D755" s="38"/>
      <c r="E755" s="38"/>
      <c r="F755" s="38"/>
      <c r="G755" s="38" t="s">
        <v>138</v>
      </c>
      <c r="H755" s="9" t="s">
        <v>78</v>
      </c>
      <c r="I755" s="38"/>
      <c r="J755" s="38">
        <v>0</v>
      </c>
      <c r="K755">
        <v>0</v>
      </c>
      <c r="L755">
        <v>0</v>
      </c>
      <c r="M755">
        <v>0</v>
      </c>
      <c r="N755" s="38">
        <v>17.88</v>
      </c>
      <c r="O755" s="38"/>
      <c r="P755" s="38"/>
      <c r="Q755" s="38"/>
    </row>
    <row r="756" spans="1:17" x14ac:dyDescent="0.25">
      <c r="A756" s="39">
        <v>45418</v>
      </c>
      <c r="B756" s="38" t="s">
        <v>23</v>
      </c>
      <c r="C756" s="38" t="s">
        <v>6</v>
      </c>
      <c r="D756" s="38" t="s">
        <v>409</v>
      </c>
      <c r="E756" s="38" t="s">
        <v>352</v>
      </c>
      <c r="F756" s="38" t="s">
        <v>285</v>
      </c>
      <c r="G756" s="38" t="s">
        <v>138</v>
      </c>
      <c r="H756" s="9" t="s">
        <v>228</v>
      </c>
      <c r="I756" s="38" t="s">
        <v>58</v>
      </c>
      <c r="J756" s="38">
        <v>0</v>
      </c>
      <c r="K756">
        <v>0</v>
      </c>
      <c r="L756">
        <v>0</v>
      </c>
      <c r="M756">
        <v>0</v>
      </c>
      <c r="N756" s="38">
        <v>23.22</v>
      </c>
      <c r="O756" s="38"/>
      <c r="P756" s="38" t="s">
        <v>148</v>
      </c>
      <c r="Q756" s="38"/>
    </row>
    <row r="757" spans="1:17" x14ac:dyDescent="0.25">
      <c r="A757" s="39">
        <v>45418</v>
      </c>
      <c r="B757" s="38" t="s">
        <v>24</v>
      </c>
      <c r="C757" s="38" t="s">
        <v>6</v>
      </c>
      <c r="D757" s="38" t="s">
        <v>344</v>
      </c>
      <c r="E757" s="38" t="s">
        <v>379</v>
      </c>
      <c r="F757" s="38" t="s">
        <v>253</v>
      </c>
      <c r="G757" s="38" t="s">
        <v>138</v>
      </c>
      <c r="H757" s="9" t="s">
        <v>229</v>
      </c>
      <c r="I757" s="38" t="s">
        <v>65</v>
      </c>
      <c r="J757" s="38">
        <v>0</v>
      </c>
      <c r="K757">
        <v>0</v>
      </c>
      <c r="L757">
        <v>0</v>
      </c>
      <c r="M757">
        <v>0</v>
      </c>
      <c r="N757" s="38">
        <v>18.37</v>
      </c>
      <c r="O757" s="38"/>
      <c r="P757" s="38" t="s">
        <v>152</v>
      </c>
      <c r="Q757" s="38"/>
    </row>
    <row r="758" spans="1:17" x14ac:dyDescent="0.25">
      <c r="A758" s="39">
        <v>45418</v>
      </c>
      <c r="B758" s="38" t="s">
        <v>75</v>
      </c>
      <c r="C758" s="38" t="s">
        <v>6</v>
      </c>
      <c r="D758" s="38" t="s">
        <v>410</v>
      </c>
      <c r="E758" s="38" t="s">
        <v>202</v>
      </c>
      <c r="F758" s="38" t="s">
        <v>346</v>
      </c>
      <c r="G758" s="38" t="s">
        <v>138</v>
      </c>
      <c r="H758" s="9" t="s">
        <v>230</v>
      </c>
      <c r="I758" s="38" t="s">
        <v>58</v>
      </c>
      <c r="J758" s="38">
        <v>0</v>
      </c>
      <c r="K758">
        <v>0</v>
      </c>
      <c r="L758">
        <v>0</v>
      </c>
      <c r="M758">
        <v>0</v>
      </c>
      <c r="N758" s="38">
        <v>12.9</v>
      </c>
      <c r="O758" s="38"/>
      <c r="P758" s="38" t="s">
        <v>303</v>
      </c>
      <c r="Q758" s="38"/>
    </row>
    <row r="759" spans="1:17" x14ac:dyDescent="0.25">
      <c r="A759" s="39">
        <v>45418</v>
      </c>
      <c r="B759" s="38" t="s">
        <v>25</v>
      </c>
      <c r="C759" s="38" t="s">
        <v>6</v>
      </c>
      <c r="D759" s="38" t="s">
        <v>383</v>
      </c>
      <c r="E759" s="38" t="s">
        <v>81</v>
      </c>
      <c r="F759" s="38" t="s">
        <v>285</v>
      </c>
      <c r="G759" s="38" t="s">
        <v>138</v>
      </c>
      <c r="H759" s="9" t="s">
        <v>231</v>
      </c>
      <c r="I759" s="38" t="s">
        <v>65</v>
      </c>
      <c r="J759" s="38">
        <v>0</v>
      </c>
      <c r="K759">
        <v>0</v>
      </c>
      <c r="L759">
        <v>0</v>
      </c>
      <c r="M759">
        <v>0</v>
      </c>
      <c r="N759" s="38">
        <v>12.16</v>
      </c>
      <c r="O759" s="38"/>
      <c r="P759" s="38" t="s">
        <v>148</v>
      </c>
      <c r="Q759" s="38"/>
    </row>
    <row r="760" spans="1:17" x14ac:dyDescent="0.25">
      <c r="A760" s="39">
        <v>45418</v>
      </c>
      <c r="B760" s="38" t="s">
        <v>74</v>
      </c>
      <c r="C760" s="38" t="s">
        <v>6</v>
      </c>
      <c r="D760" s="38" t="s">
        <v>292</v>
      </c>
      <c r="E760" s="38" t="s">
        <v>60</v>
      </c>
      <c r="F760" s="38" t="s">
        <v>346</v>
      </c>
      <c r="G760" s="38" t="s">
        <v>138</v>
      </c>
      <c r="H760" s="9" t="s">
        <v>232</v>
      </c>
      <c r="I760" s="38" t="s">
        <v>58</v>
      </c>
      <c r="J760" s="38">
        <v>0</v>
      </c>
      <c r="K760">
        <v>0</v>
      </c>
      <c r="L760">
        <v>0</v>
      </c>
      <c r="M760">
        <v>0</v>
      </c>
      <c r="N760" s="38">
        <v>15.61</v>
      </c>
      <c r="O760" s="38"/>
      <c r="P760" s="38" t="s">
        <v>293</v>
      </c>
      <c r="Q760" s="38"/>
    </row>
    <row r="761" spans="1:17" x14ac:dyDescent="0.25">
      <c r="A761" s="39">
        <v>45418</v>
      </c>
      <c r="B761" s="38" t="s">
        <v>26</v>
      </c>
      <c r="C761" s="38" t="s">
        <v>6</v>
      </c>
      <c r="D761" s="38" t="s">
        <v>294</v>
      </c>
      <c r="E761" s="38" t="s">
        <v>56</v>
      </c>
      <c r="F761" s="38" t="s">
        <v>184</v>
      </c>
      <c r="G761" s="38" t="s">
        <v>138</v>
      </c>
      <c r="H761" s="9" t="s">
        <v>233</v>
      </c>
      <c r="I761" s="38" t="s">
        <v>65</v>
      </c>
      <c r="J761" s="38">
        <v>0</v>
      </c>
      <c r="K761">
        <v>0</v>
      </c>
      <c r="L761">
        <v>0</v>
      </c>
      <c r="M761">
        <v>0</v>
      </c>
      <c r="N761" s="38">
        <v>13.29</v>
      </c>
      <c r="O761" s="38"/>
      <c r="P761" s="38" t="s">
        <v>155</v>
      </c>
      <c r="Q761" s="38"/>
    </row>
    <row r="762" spans="1:17" x14ac:dyDescent="0.25">
      <c r="A762" s="39">
        <v>45418</v>
      </c>
      <c r="B762" s="38" t="s">
        <v>27</v>
      </c>
      <c r="C762" s="38" t="s">
        <v>6</v>
      </c>
      <c r="D762" s="38" t="s">
        <v>384</v>
      </c>
      <c r="E762" s="38" t="s">
        <v>366</v>
      </c>
      <c r="F762" s="38" t="s">
        <v>346</v>
      </c>
      <c r="G762" s="38" t="s">
        <v>138</v>
      </c>
      <c r="H762" s="9" t="s">
        <v>234</v>
      </c>
      <c r="I762" s="38" t="s">
        <v>58</v>
      </c>
      <c r="J762" s="38">
        <v>0</v>
      </c>
      <c r="K762">
        <v>0</v>
      </c>
      <c r="L762">
        <v>0</v>
      </c>
      <c r="M762">
        <v>0</v>
      </c>
      <c r="N762" s="38">
        <v>13.89</v>
      </c>
      <c r="O762" s="38"/>
      <c r="P762" s="38" t="s">
        <v>269</v>
      </c>
      <c r="Q762" s="38"/>
    </row>
    <row r="763" spans="1:17" x14ac:dyDescent="0.25">
      <c r="A763" s="39">
        <v>45418</v>
      </c>
      <c r="B763" s="38" t="s">
        <v>28</v>
      </c>
      <c r="C763" s="38" t="s">
        <v>6</v>
      </c>
      <c r="D763" s="38" t="s">
        <v>411</v>
      </c>
      <c r="E763" s="38" t="s">
        <v>56</v>
      </c>
      <c r="F763" s="38" t="s">
        <v>338</v>
      </c>
      <c r="G763" s="38" t="s">
        <v>138</v>
      </c>
      <c r="H763" s="9" t="s">
        <v>235</v>
      </c>
      <c r="I763" s="38" t="s">
        <v>65</v>
      </c>
      <c r="J763" s="38">
        <v>0</v>
      </c>
      <c r="K763">
        <v>0</v>
      </c>
      <c r="L763">
        <v>0</v>
      </c>
      <c r="M763">
        <v>0</v>
      </c>
      <c r="N763" s="38">
        <v>13.9</v>
      </c>
      <c r="O763" s="38"/>
      <c r="P763" s="38" t="s">
        <v>155</v>
      </c>
      <c r="Q763" s="38"/>
    </row>
    <row r="764" spans="1:17" x14ac:dyDescent="0.25">
      <c r="A764" s="39">
        <v>45418</v>
      </c>
      <c r="B764" s="38" t="s">
        <v>72</v>
      </c>
      <c r="C764" s="38" t="s">
        <v>6</v>
      </c>
      <c r="D764" s="38" t="s">
        <v>322</v>
      </c>
      <c r="E764" s="38" t="s">
        <v>202</v>
      </c>
      <c r="F764" s="38" t="s">
        <v>346</v>
      </c>
      <c r="G764" s="38" t="s">
        <v>138</v>
      </c>
      <c r="H764" s="9" t="s">
        <v>422</v>
      </c>
      <c r="I764" s="38" t="s">
        <v>58</v>
      </c>
      <c r="J764" s="38">
        <v>0</v>
      </c>
      <c r="K764">
        <v>0</v>
      </c>
      <c r="L764">
        <v>0</v>
      </c>
      <c r="M764">
        <v>0</v>
      </c>
      <c r="N764" s="38">
        <v>15.45</v>
      </c>
      <c r="O764" s="38"/>
      <c r="P764" s="38" t="s">
        <v>157</v>
      </c>
      <c r="Q764" s="38"/>
    </row>
    <row r="765" spans="1:17" x14ac:dyDescent="0.25">
      <c r="A765" s="39">
        <v>45418</v>
      </c>
      <c r="B765" s="38" t="s">
        <v>29</v>
      </c>
      <c r="C765" s="38" t="s">
        <v>6</v>
      </c>
      <c r="D765" s="38" t="s">
        <v>315</v>
      </c>
      <c r="E765" s="38" t="s">
        <v>56</v>
      </c>
      <c r="F765" s="38" t="s">
        <v>338</v>
      </c>
      <c r="G765" s="38" t="s">
        <v>138</v>
      </c>
      <c r="H765" s="9" t="s">
        <v>236</v>
      </c>
      <c r="I765" s="38" t="s">
        <v>65</v>
      </c>
      <c r="J765" s="38">
        <v>0</v>
      </c>
      <c r="K765">
        <v>0</v>
      </c>
      <c r="L765">
        <v>0</v>
      </c>
      <c r="M765">
        <v>0</v>
      </c>
      <c r="N765" s="38">
        <v>13.98</v>
      </c>
      <c r="O765" s="38"/>
      <c r="P765" s="38" t="s">
        <v>156</v>
      </c>
      <c r="Q765" s="38"/>
    </row>
    <row r="766" spans="1:17" x14ac:dyDescent="0.25">
      <c r="A766" s="39">
        <v>45418</v>
      </c>
      <c r="B766" s="38" t="s">
        <v>30</v>
      </c>
      <c r="C766" s="38" t="s">
        <v>6</v>
      </c>
      <c r="D766" s="38" t="s">
        <v>305</v>
      </c>
      <c r="E766" s="38" t="s">
        <v>81</v>
      </c>
      <c r="F766" s="38" t="s">
        <v>90</v>
      </c>
      <c r="G766" s="38" t="s">
        <v>138</v>
      </c>
      <c r="H766" s="9" t="s">
        <v>71</v>
      </c>
      <c r="I766" s="38" t="s">
        <v>58</v>
      </c>
      <c r="J766" s="38">
        <v>0</v>
      </c>
      <c r="K766">
        <v>0</v>
      </c>
      <c r="L766">
        <v>0</v>
      </c>
      <c r="M766">
        <v>0</v>
      </c>
      <c r="N766" s="38">
        <v>10.84</v>
      </c>
      <c r="O766" s="38"/>
      <c r="P766" s="38" t="s">
        <v>150</v>
      </c>
      <c r="Q766" s="38"/>
    </row>
    <row r="767" spans="1:17" x14ac:dyDescent="0.25">
      <c r="A767" s="39">
        <v>45418</v>
      </c>
      <c r="B767" s="38" t="s">
        <v>31</v>
      </c>
      <c r="C767" s="38" t="s">
        <v>6</v>
      </c>
      <c r="D767" s="38"/>
      <c r="E767" s="38" t="s">
        <v>56</v>
      </c>
      <c r="F767" s="38"/>
      <c r="G767" s="38" t="s">
        <v>138</v>
      </c>
      <c r="H767" s="9" t="s">
        <v>70</v>
      </c>
      <c r="I767" s="38" t="s">
        <v>65</v>
      </c>
      <c r="J767" s="38">
        <v>0</v>
      </c>
      <c r="K767">
        <v>0</v>
      </c>
      <c r="L767">
        <v>0</v>
      </c>
      <c r="M767">
        <v>0</v>
      </c>
      <c r="N767" s="38">
        <v>13.5</v>
      </c>
      <c r="O767" s="38"/>
      <c r="P767" s="38" t="s">
        <v>156</v>
      </c>
      <c r="Q767" s="38"/>
    </row>
    <row r="768" spans="1:17" x14ac:dyDescent="0.25">
      <c r="A768" s="39">
        <v>45418</v>
      </c>
      <c r="B768" s="38" t="s">
        <v>32</v>
      </c>
      <c r="C768" s="38" t="s">
        <v>6</v>
      </c>
      <c r="D768" s="38" t="s">
        <v>413</v>
      </c>
      <c r="E768" s="38" t="s">
        <v>202</v>
      </c>
      <c r="F768" s="38" t="s">
        <v>346</v>
      </c>
      <c r="G768" s="38" t="s">
        <v>138</v>
      </c>
      <c r="H768" s="9" t="s">
        <v>69</v>
      </c>
      <c r="I768" s="38" t="s">
        <v>58</v>
      </c>
      <c r="J768" s="38">
        <v>0</v>
      </c>
      <c r="K768">
        <v>0</v>
      </c>
      <c r="L768">
        <v>0</v>
      </c>
      <c r="M768">
        <v>0</v>
      </c>
      <c r="N768" s="38">
        <v>14.39</v>
      </c>
      <c r="O768" s="38"/>
      <c r="P768" s="38" t="s">
        <v>414</v>
      </c>
      <c r="Q768" s="38"/>
    </row>
    <row r="769" spans="1:17" x14ac:dyDescent="0.25">
      <c r="A769" s="39">
        <v>45418</v>
      </c>
      <c r="B769" s="38" t="s">
        <v>67</v>
      </c>
      <c r="C769" s="38" t="s">
        <v>6</v>
      </c>
      <c r="D769" s="38" t="s">
        <v>354</v>
      </c>
      <c r="E769" s="38" t="s">
        <v>56</v>
      </c>
      <c r="F769" s="38" t="s">
        <v>367</v>
      </c>
      <c r="G769" s="38" t="s">
        <v>138</v>
      </c>
      <c r="H769" s="9" t="s">
        <v>68</v>
      </c>
      <c r="I769" s="38" t="s">
        <v>65</v>
      </c>
      <c r="J769" s="38">
        <v>0</v>
      </c>
      <c r="K769">
        <v>0</v>
      </c>
      <c r="L769">
        <v>0</v>
      </c>
      <c r="M769">
        <v>0</v>
      </c>
      <c r="N769" s="38">
        <v>13.8</v>
      </c>
      <c r="O769" s="38"/>
      <c r="P769" s="38" t="s">
        <v>156</v>
      </c>
      <c r="Q769" s="38"/>
    </row>
    <row r="770" spans="1:17" x14ac:dyDescent="0.25">
      <c r="A770" s="39">
        <v>45418</v>
      </c>
      <c r="B770" s="38" t="s">
        <v>33</v>
      </c>
      <c r="C770" s="38" t="s">
        <v>6</v>
      </c>
      <c r="D770" s="38" t="s">
        <v>277</v>
      </c>
      <c r="E770" s="38" t="s">
        <v>73</v>
      </c>
      <c r="F770" s="38" t="s">
        <v>346</v>
      </c>
      <c r="G770" s="38" t="s">
        <v>138</v>
      </c>
      <c r="H770" s="9" t="s">
        <v>66</v>
      </c>
      <c r="I770" s="38" t="s">
        <v>58</v>
      </c>
      <c r="J770" s="38">
        <v>0</v>
      </c>
      <c r="K770">
        <v>0</v>
      </c>
      <c r="L770">
        <v>0</v>
      </c>
      <c r="M770">
        <v>0</v>
      </c>
      <c r="N770" s="38">
        <v>14.19</v>
      </c>
      <c r="O770" s="38"/>
      <c r="P770" s="38" t="s">
        <v>201</v>
      </c>
      <c r="Q770" s="38"/>
    </row>
    <row r="771" spans="1:17" x14ac:dyDescent="0.25">
      <c r="A771" s="39">
        <v>45418</v>
      </c>
      <c r="B771" s="38" t="s">
        <v>34</v>
      </c>
      <c r="C771" s="38" t="s">
        <v>6</v>
      </c>
      <c r="D771" s="38" t="s">
        <v>415</v>
      </c>
      <c r="E771" s="38" t="s">
        <v>56</v>
      </c>
      <c r="F771" s="38" t="s">
        <v>346</v>
      </c>
      <c r="G771" s="38" t="s">
        <v>138</v>
      </c>
      <c r="H771" s="9" t="s">
        <v>64</v>
      </c>
      <c r="I771" s="38" t="s">
        <v>65</v>
      </c>
      <c r="J771" s="38">
        <v>0</v>
      </c>
      <c r="K771">
        <v>0</v>
      </c>
      <c r="L771">
        <v>0</v>
      </c>
      <c r="M771">
        <v>0</v>
      </c>
      <c r="N771" s="38">
        <v>15.6</v>
      </c>
      <c r="O771" s="38"/>
      <c r="P771" s="38" t="s">
        <v>416</v>
      </c>
      <c r="Q771" s="38"/>
    </row>
    <row r="772" spans="1:17" x14ac:dyDescent="0.25">
      <c r="A772" s="39">
        <v>45418</v>
      </c>
      <c r="B772" s="38" t="s">
        <v>35</v>
      </c>
      <c r="C772" s="38" t="s">
        <v>6</v>
      </c>
      <c r="D772" s="38" t="s">
        <v>331</v>
      </c>
      <c r="E772" s="38" t="s">
        <v>60</v>
      </c>
      <c r="F772" s="38" t="s">
        <v>346</v>
      </c>
      <c r="G772" s="38" t="s">
        <v>138</v>
      </c>
      <c r="H772" s="9" t="s">
        <v>237</v>
      </c>
      <c r="I772" s="38" t="s">
        <v>58</v>
      </c>
      <c r="J772" s="38">
        <v>0</v>
      </c>
      <c r="K772">
        <v>0</v>
      </c>
      <c r="L772">
        <v>0</v>
      </c>
      <c r="M772">
        <v>0</v>
      </c>
      <c r="N772" s="38">
        <v>14.64</v>
      </c>
      <c r="O772" s="38"/>
      <c r="P772" s="38" t="s">
        <v>158</v>
      </c>
      <c r="Q772" s="38"/>
    </row>
    <row r="773" spans="1:17" x14ac:dyDescent="0.25">
      <c r="A773" s="39">
        <v>45418</v>
      </c>
      <c r="B773" s="38" t="s">
        <v>418</v>
      </c>
      <c r="C773" s="38" t="s">
        <v>6</v>
      </c>
      <c r="D773" s="38"/>
      <c r="E773" s="38"/>
      <c r="F773" s="38"/>
      <c r="G773" s="38" t="s">
        <v>138</v>
      </c>
      <c r="H773" s="9" t="s">
        <v>240</v>
      </c>
      <c r="I773" s="38" t="s">
        <v>262</v>
      </c>
      <c r="J773" s="38">
        <v>0</v>
      </c>
      <c r="K773">
        <v>0</v>
      </c>
      <c r="L773">
        <v>0</v>
      </c>
      <c r="M773">
        <v>0</v>
      </c>
      <c r="N773" s="38">
        <v>17.670000000000002</v>
      </c>
      <c r="O773" s="38"/>
      <c r="P773" s="38"/>
      <c r="Q773" s="38"/>
    </row>
    <row r="774" spans="1:17" x14ac:dyDescent="0.25">
      <c r="A774" s="39">
        <v>45418</v>
      </c>
      <c r="B774" s="38" t="s">
        <v>419</v>
      </c>
      <c r="C774" s="38" t="s">
        <v>6</v>
      </c>
      <c r="D774" s="38"/>
      <c r="E774" s="38"/>
      <c r="F774" s="38"/>
      <c r="G774" s="38" t="s">
        <v>138</v>
      </c>
      <c r="H774" s="9" t="s">
        <v>240</v>
      </c>
      <c r="I774" s="38" t="s">
        <v>262</v>
      </c>
      <c r="J774" s="38">
        <v>0</v>
      </c>
      <c r="K774">
        <v>0</v>
      </c>
      <c r="L774">
        <v>0</v>
      </c>
      <c r="M774">
        <v>0</v>
      </c>
      <c r="N774" s="38">
        <v>13.49</v>
      </c>
      <c r="O774" s="38"/>
      <c r="P774" s="38"/>
      <c r="Q774" s="38"/>
    </row>
    <row r="775" spans="1:17" x14ac:dyDescent="0.25">
      <c r="A775" s="39">
        <v>45418</v>
      </c>
      <c r="B775" s="38" t="s">
        <v>36</v>
      </c>
      <c r="C775" s="38" t="s">
        <v>6</v>
      </c>
      <c r="D775" s="38" t="s">
        <v>295</v>
      </c>
      <c r="E775" s="38" t="s">
        <v>81</v>
      </c>
      <c r="F775" s="38" t="s">
        <v>369</v>
      </c>
      <c r="G775" s="38" t="s">
        <v>138</v>
      </c>
      <c r="H775" s="9" t="s">
        <v>423</v>
      </c>
      <c r="I775" s="38" t="s">
        <v>58</v>
      </c>
      <c r="J775" s="38">
        <v>0</v>
      </c>
      <c r="K775">
        <v>0</v>
      </c>
      <c r="L775">
        <v>0</v>
      </c>
      <c r="M775">
        <v>0</v>
      </c>
      <c r="N775" s="38">
        <v>38472557</v>
      </c>
      <c r="O775" s="38"/>
      <c r="P775" s="38" t="s">
        <v>156</v>
      </c>
      <c r="Q775" s="38"/>
    </row>
    <row r="776" spans="1:17" x14ac:dyDescent="0.25">
      <c r="A776" s="39">
        <v>45418</v>
      </c>
      <c r="B776" s="38" t="s">
        <v>256</v>
      </c>
      <c r="C776" s="38" t="s">
        <v>6</v>
      </c>
      <c r="D776" s="38" t="s">
        <v>392</v>
      </c>
      <c r="E776" s="38" t="s">
        <v>417</v>
      </c>
      <c r="F776" s="38" t="s">
        <v>192</v>
      </c>
      <c r="G776" s="38" t="s">
        <v>138</v>
      </c>
      <c r="H776" s="9"/>
      <c r="I776" s="38" t="s">
        <v>262</v>
      </c>
      <c r="J776" s="38">
        <v>0</v>
      </c>
      <c r="K776">
        <v>0</v>
      </c>
      <c r="L776">
        <v>0</v>
      </c>
      <c r="M776">
        <v>0</v>
      </c>
      <c r="N776" s="38">
        <v>0</v>
      </c>
      <c r="O776" s="38"/>
      <c r="P776" s="38" t="s">
        <v>149</v>
      </c>
      <c r="Q776" s="38"/>
    </row>
    <row r="777" spans="1:17" x14ac:dyDescent="0.25">
      <c r="A777" s="39">
        <v>45418</v>
      </c>
      <c r="B777" s="38" t="s">
        <v>257</v>
      </c>
      <c r="C777" s="38" t="s">
        <v>6</v>
      </c>
      <c r="D777" s="38" t="s">
        <v>392</v>
      </c>
      <c r="E777" s="38" t="s">
        <v>417</v>
      </c>
      <c r="F777" s="38" t="s">
        <v>192</v>
      </c>
      <c r="G777" s="38" t="s">
        <v>138</v>
      </c>
      <c r="H777" s="9"/>
      <c r="I777" s="38" t="s">
        <v>58</v>
      </c>
      <c r="J777" s="38">
        <v>0</v>
      </c>
      <c r="K777">
        <v>0</v>
      </c>
      <c r="L777">
        <v>0</v>
      </c>
      <c r="M777">
        <v>0</v>
      </c>
      <c r="N777" s="38">
        <v>38.46</v>
      </c>
      <c r="O777" s="38"/>
      <c r="P777" s="38" t="s">
        <v>149</v>
      </c>
      <c r="Q777" s="38"/>
    </row>
    <row r="778" spans="1:17" x14ac:dyDescent="0.25">
      <c r="A778" s="39">
        <v>45418</v>
      </c>
      <c r="B778" s="38" t="s">
        <v>37</v>
      </c>
      <c r="C778" s="38" t="s">
        <v>6</v>
      </c>
      <c r="D778" s="38" t="s">
        <v>347</v>
      </c>
      <c r="E778" s="38" t="s">
        <v>348</v>
      </c>
      <c r="F778" s="38" t="s">
        <v>346</v>
      </c>
      <c r="G778" s="38" t="s">
        <v>138</v>
      </c>
      <c r="H778" s="9" t="s">
        <v>425</v>
      </c>
      <c r="I778" s="38" t="s">
        <v>58</v>
      </c>
      <c r="J778" s="38">
        <v>0</v>
      </c>
      <c r="K778">
        <v>0</v>
      </c>
      <c r="L778">
        <v>0</v>
      </c>
      <c r="M778">
        <v>0</v>
      </c>
      <c r="N778" s="38">
        <v>13.5</v>
      </c>
      <c r="O778" s="38"/>
      <c r="P778" s="38" t="s">
        <v>270</v>
      </c>
      <c r="Q778" s="38"/>
    </row>
    <row r="779" spans="1:17" x14ac:dyDescent="0.25">
      <c r="A779" s="39">
        <v>45418</v>
      </c>
      <c r="B779" s="38" t="s">
        <v>258</v>
      </c>
      <c r="C779" s="38" t="s">
        <v>6</v>
      </c>
      <c r="D779" s="38"/>
      <c r="E779" s="38"/>
      <c r="F779" s="38"/>
      <c r="G779" s="38" t="s">
        <v>138</v>
      </c>
      <c r="H779" s="9" t="s">
        <v>426</v>
      </c>
      <c r="I779" s="38" t="s">
        <v>262</v>
      </c>
      <c r="J779" s="38">
        <v>0</v>
      </c>
      <c r="K779">
        <v>0</v>
      </c>
      <c r="L779">
        <v>0</v>
      </c>
      <c r="M779">
        <v>0</v>
      </c>
      <c r="N779" s="38">
        <v>13.5</v>
      </c>
      <c r="O779" s="38"/>
      <c r="P779" s="38" t="s">
        <v>148</v>
      </c>
      <c r="Q779" s="38"/>
    </row>
    <row r="780" spans="1:17" x14ac:dyDescent="0.25">
      <c r="A780" s="39">
        <v>45418</v>
      </c>
      <c r="B780" s="38" t="s">
        <v>259</v>
      </c>
      <c r="C780" s="38" t="s">
        <v>6</v>
      </c>
      <c r="D780" s="38"/>
      <c r="E780" s="38"/>
      <c r="F780" s="38"/>
      <c r="G780" s="38" t="s">
        <v>138</v>
      </c>
      <c r="H780" s="9" t="s">
        <v>426</v>
      </c>
      <c r="I780" s="38" t="s">
        <v>262</v>
      </c>
      <c r="J780" s="38">
        <v>0</v>
      </c>
      <c r="K780">
        <v>0</v>
      </c>
      <c r="L780">
        <v>0</v>
      </c>
      <c r="M780">
        <v>0</v>
      </c>
      <c r="N780" s="38">
        <v>41.06</v>
      </c>
      <c r="O780" s="38"/>
      <c r="P780" s="38" t="s">
        <v>148</v>
      </c>
      <c r="Q780" s="38"/>
    </row>
    <row r="781" spans="1:17" x14ac:dyDescent="0.25">
      <c r="A781" s="39">
        <v>45418</v>
      </c>
      <c r="B781" s="38" t="s">
        <v>54</v>
      </c>
      <c r="C781" s="38" t="s">
        <v>6</v>
      </c>
      <c r="D781" s="38" t="s">
        <v>55</v>
      </c>
      <c r="E781" s="38" t="s">
        <v>56</v>
      </c>
      <c r="F781" s="38" t="s">
        <v>57</v>
      </c>
      <c r="G781" s="38" t="s">
        <v>138</v>
      </c>
      <c r="H781" s="9" t="s">
        <v>427</v>
      </c>
      <c r="I781" s="38" t="s">
        <v>58</v>
      </c>
      <c r="J781" s="38">
        <v>0</v>
      </c>
      <c r="K781">
        <v>0</v>
      </c>
      <c r="L781">
        <v>0</v>
      </c>
      <c r="M781">
        <v>0</v>
      </c>
      <c r="N781" s="38">
        <v>41.06</v>
      </c>
      <c r="O781" s="38"/>
      <c r="P781" s="38" t="s">
        <v>159</v>
      </c>
      <c r="Q781" s="38"/>
    </row>
    <row r="782" spans="1:17" x14ac:dyDescent="0.25">
      <c r="A782" s="39">
        <v>45418</v>
      </c>
      <c r="B782" s="38" t="s">
        <v>136</v>
      </c>
      <c r="C782" s="38" t="s">
        <v>7</v>
      </c>
      <c r="D782" s="38" t="s">
        <v>174</v>
      </c>
      <c r="E782" s="38" t="s">
        <v>81</v>
      </c>
      <c r="F782" s="38" t="s">
        <v>90</v>
      </c>
      <c r="G782" s="38" t="s">
        <v>138</v>
      </c>
      <c r="H782" s="9" t="s">
        <v>160</v>
      </c>
      <c r="I782" s="38" t="s">
        <v>58</v>
      </c>
      <c r="J782" s="38">
        <v>0</v>
      </c>
      <c r="K782">
        <v>0</v>
      </c>
      <c r="L782">
        <v>0</v>
      </c>
      <c r="M782">
        <v>0</v>
      </c>
      <c r="N782" s="38">
        <v>42144554</v>
      </c>
      <c r="O782" s="38"/>
      <c r="P782" s="38" t="s">
        <v>153</v>
      </c>
      <c r="Q782" s="38"/>
    </row>
    <row r="783" spans="1:17" x14ac:dyDescent="0.25">
      <c r="A783" s="39">
        <v>45418</v>
      </c>
      <c r="B783" s="38" t="s">
        <v>135</v>
      </c>
      <c r="C783" s="38" t="s">
        <v>7</v>
      </c>
      <c r="D783" s="38" t="s">
        <v>332</v>
      </c>
      <c r="E783" s="38" t="s">
        <v>81</v>
      </c>
      <c r="F783" s="38" t="s">
        <v>90</v>
      </c>
      <c r="G783" s="38" t="s">
        <v>138</v>
      </c>
      <c r="H783" s="9" t="s">
        <v>161</v>
      </c>
      <c r="I783" s="38" t="s">
        <v>58</v>
      </c>
      <c r="J783" s="38">
        <v>0</v>
      </c>
      <c r="K783">
        <v>0</v>
      </c>
      <c r="L783">
        <v>0</v>
      </c>
      <c r="M783">
        <v>0</v>
      </c>
      <c r="N783" s="38">
        <v>24.09</v>
      </c>
      <c r="O783" s="38"/>
      <c r="P783" s="38" t="s">
        <v>148</v>
      </c>
      <c r="Q783" s="38"/>
    </row>
    <row r="784" spans="1:17" x14ac:dyDescent="0.25">
      <c r="A784" s="39">
        <v>45418</v>
      </c>
      <c r="B784" s="38" t="s">
        <v>134</v>
      </c>
      <c r="C784" s="38" t="s">
        <v>7</v>
      </c>
      <c r="D784" s="38" t="s">
        <v>175</v>
      </c>
      <c r="E784" s="38" t="s">
        <v>81</v>
      </c>
      <c r="F784" s="38" t="s">
        <v>90</v>
      </c>
      <c r="G784" s="38" t="s">
        <v>138</v>
      </c>
      <c r="H784" s="9" t="s">
        <v>206</v>
      </c>
      <c r="I784" s="38" t="s">
        <v>58</v>
      </c>
      <c r="J784" s="38">
        <v>0</v>
      </c>
      <c r="K784">
        <v>0</v>
      </c>
      <c r="L784">
        <v>0</v>
      </c>
      <c r="M784">
        <v>0</v>
      </c>
      <c r="N784" s="38">
        <v>0</v>
      </c>
      <c r="O784" s="38"/>
      <c r="P784" s="38" t="s">
        <v>148</v>
      </c>
      <c r="Q784" s="38"/>
    </row>
    <row r="785" spans="1:17" x14ac:dyDescent="0.25">
      <c r="A785" s="39">
        <v>45418</v>
      </c>
      <c r="B785" s="38" t="s">
        <v>132</v>
      </c>
      <c r="C785" s="38" t="s">
        <v>7</v>
      </c>
      <c r="D785" s="38" t="s">
        <v>133</v>
      </c>
      <c r="E785" s="38" t="s">
        <v>126</v>
      </c>
      <c r="F785" s="38" t="s">
        <v>199</v>
      </c>
      <c r="G785" s="38" t="s">
        <v>138</v>
      </c>
      <c r="H785" s="9" t="s">
        <v>162</v>
      </c>
      <c r="I785" s="38" t="s">
        <v>58</v>
      </c>
      <c r="J785" s="38">
        <v>0</v>
      </c>
      <c r="K785">
        <v>0</v>
      </c>
      <c r="L785">
        <v>0</v>
      </c>
      <c r="M785">
        <v>0</v>
      </c>
      <c r="N785" s="38">
        <v>38.369999999999997</v>
      </c>
      <c r="O785" s="38"/>
      <c r="P785" s="38" t="s">
        <v>149</v>
      </c>
      <c r="Q785" s="38"/>
    </row>
    <row r="786" spans="1:17" x14ac:dyDescent="0.25">
      <c r="A786" s="39">
        <v>45418</v>
      </c>
      <c r="B786" s="38" t="s">
        <v>131</v>
      </c>
      <c r="C786" s="38" t="s">
        <v>7</v>
      </c>
      <c r="D786" s="38" t="s">
        <v>396</v>
      </c>
      <c r="E786" s="38" t="s">
        <v>60</v>
      </c>
      <c r="F786" s="38" t="s">
        <v>90</v>
      </c>
      <c r="G786" s="38" t="s">
        <v>138</v>
      </c>
      <c r="H786" s="9" t="s">
        <v>163</v>
      </c>
      <c r="I786" s="38" t="s">
        <v>58</v>
      </c>
      <c r="J786" s="38">
        <v>0</v>
      </c>
      <c r="K786">
        <v>0</v>
      </c>
      <c r="L786">
        <v>0</v>
      </c>
      <c r="M786">
        <v>0</v>
      </c>
      <c r="N786" s="38">
        <v>23.93</v>
      </c>
      <c r="O786" s="38"/>
      <c r="P786" s="38" t="s">
        <v>154</v>
      </c>
      <c r="Q786" s="38"/>
    </row>
    <row r="787" spans="1:17" x14ac:dyDescent="0.25">
      <c r="A787" s="39">
        <v>45418</v>
      </c>
      <c r="B787" s="38" t="s">
        <v>130</v>
      </c>
      <c r="C787" s="38" t="s">
        <v>7</v>
      </c>
      <c r="D787" s="38" t="s">
        <v>191</v>
      </c>
      <c r="E787" s="38" t="s">
        <v>81</v>
      </c>
      <c r="F787" s="38" t="s">
        <v>285</v>
      </c>
      <c r="G787" s="38" t="s">
        <v>138</v>
      </c>
      <c r="H787" s="9" t="s">
        <v>420</v>
      </c>
      <c r="I787" s="38" t="s">
        <v>58</v>
      </c>
      <c r="J787" s="38">
        <v>0</v>
      </c>
      <c r="K787">
        <v>0</v>
      </c>
      <c r="L787">
        <v>0</v>
      </c>
      <c r="M787">
        <v>0</v>
      </c>
      <c r="N787" s="38">
        <v>14.99</v>
      </c>
      <c r="O787" s="38"/>
      <c r="P787" s="38" t="s">
        <v>148</v>
      </c>
      <c r="Q787" s="38"/>
    </row>
    <row r="788" spans="1:17" x14ac:dyDescent="0.25">
      <c r="A788" s="39">
        <v>45418</v>
      </c>
      <c r="B788" s="38" t="s">
        <v>128</v>
      </c>
      <c r="C788" s="38" t="s">
        <v>7</v>
      </c>
      <c r="D788" s="38" t="s">
        <v>129</v>
      </c>
      <c r="E788" s="38" t="s">
        <v>126</v>
      </c>
      <c r="F788" s="38" t="s">
        <v>199</v>
      </c>
      <c r="G788" s="38" t="s">
        <v>138</v>
      </c>
      <c r="H788" s="9" t="s">
        <v>164</v>
      </c>
      <c r="I788" s="38" t="s">
        <v>58</v>
      </c>
      <c r="J788" s="38">
        <v>0</v>
      </c>
      <c r="K788">
        <v>0</v>
      </c>
      <c r="L788">
        <v>0</v>
      </c>
      <c r="M788">
        <v>0</v>
      </c>
      <c r="N788" s="38">
        <v>41.06</v>
      </c>
      <c r="O788" s="38"/>
      <c r="P788" s="38" t="s">
        <v>149</v>
      </c>
      <c r="Q788" s="38"/>
    </row>
    <row r="789" spans="1:17" x14ac:dyDescent="0.25">
      <c r="A789" s="39">
        <v>45418</v>
      </c>
      <c r="B789" s="38" t="s">
        <v>40</v>
      </c>
      <c r="C789" s="38" t="s">
        <v>7</v>
      </c>
      <c r="D789" s="38" t="s">
        <v>397</v>
      </c>
      <c r="E789" s="38" t="s">
        <v>60</v>
      </c>
      <c r="F789" s="38" t="s">
        <v>200</v>
      </c>
      <c r="G789" s="38" t="s">
        <v>138</v>
      </c>
      <c r="H789" s="9" t="s">
        <v>165</v>
      </c>
      <c r="I789" s="38" t="s">
        <v>58</v>
      </c>
      <c r="J789" s="38">
        <v>0</v>
      </c>
      <c r="K789">
        <v>0</v>
      </c>
      <c r="L789">
        <v>0</v>
      </c>
      <c r="M789">
        <v>0</v>
      </c>
      <c r="N789" s="38">
        <v>14.92</v>
      </c>
      <c r="O789" s="38"/>
      <c r="P789" s="38" t="s">
        <v>153</v>
      </c>
      <c r="Q789" s="38"/>
    </row>
    <row r="790" spans="1:17" x14ac:dyDescent="0.25">
      <c r="A790" s="39">
        <v>45418</v>
      </c>
      <c r="B790" s="38" t="s">
        <v>127</v>
      </c>
      <c r="C790" s="38" t="s">
        <v>7</v>
      </c>
      <c r="D790" s="38" t="s">
        <v>203</v>
      </c>
      <c r="E790" s="38" t="s">
        <v>81</v>
      </c>
      <c r="F790" s="38" t="s">
        <v>285</v>
      </c>
      <c r="G790" s="38" t="s">
        <v>138</v>
      </c>
      <c r="H790" s="9" t="s">
        <v>207</v>
      </c>
      <c r="I790" s="38" t="s">
        <v>58</v>
      </c>
      <c r="J790" s="38">
        <v>0</v>
      </c>
      <c r="K790">
        <v>0</v>
      </c>
      <c r="L790">
        <v>0</v>
      </c>
      <c r="M790">
        <v>0</v>
      </c>
      <c r="N790" s="38">
        <v>20.85</v>
      </c>
      <c r="O790" s="38"/>
      <c r="P790" s="38" t="s">
        <v>151</v>
      </c>
      <c r="Q790" s="38"/>
    </row>
    <row r="791" spans="1:17" x14ac:dyDescent="0.25">
      <c r="A791" s="39">
        <v>45418</v>
      </c>
      <c r="B791" s="38" t="s">
        <v>124</v>
      </c>
      <c r="C791" s="38" t="s">
        <v>7</v>
      </c>
      <c r="D791" s="38" t="s">
        <v>340</v>
      </c>
      <c r="E791" s="38" t="s">
        <v>126</v>
      </c>
      <c r="F791" s="38" t="s">
        <v>199</v>
      </c>
      <c r="G791" s="38" t="s">
        <v>138</v>
      </c>
      <c r="H791" s="9" t="s">
        <v>166</v>
      </c>
      <c r="I791" s="38" t="s">
        <v>58</v>
      </c>
      <c r="J791" s="38">
        <v>0</v>
      </c>
      <c r="K791">
        <v>0</v>
      </c>
      <c r="L791">
        <v>0</v>
      </c>
      <c r="M791">
        <v>0</v>
      </c>
      <c r="N791" s="38">
        <v>39863813</v>
      </c>
      <c r="O791" s="38"/>
      <c r="P791" s="38" t="s">
        <v>149</v>
      </c>
      <c r="Q791" s="38"/>
    </row>
    <row r="792" spans="1:17" x14ac:dyDescent="0.25">
      <c r="A792" s="39">
        <v>45418</v>
      </c>
      <c r="B792" s="38" t="s">
        <v>122</v>
      </c>
      <c r="C792" s="38" t="s">
        <v>7</v>
      </c>
      <c r="D792" s="38" t="s">
        <v>356</v>
      </c>
      <c r="E792" s="38" t="s">
        <v>81</v>
      </c>
      <c r="F792" s="38" t="s">
        <v>90</v>
      </c>
      <c r="G792" s="38" t="s">
        <v>138</v>
      </c>
      <c r="H792" s="9" t="s">
        <v>167</v>
      </c>
      <c r="I792" s="38" t="s">
        <v>58</v>
      </c>
      <c r="J792" s="38">
        <v>0</v>
      </c>
      <c r="K792">
        <v>0</v>
      </c>
      <c r="L792">
        <v>0</v>
      </c>
      <c r="M792">
        <v>0</v>
      </c>
      <c r="N792" s="38">
        <v>20.9</v>
      </c>
      <c r="O792" s="38"/>
      <c r="P792" s="38" t="s">
        <v>148</v>
      </c>
      <c r="Q792" s="38"/>
    </row>
    <row r="793" spans="1:17" x14ac:dyDescent="0.25">
      <c r="A793" s="39">
        <v>45418</v>
      </c>
      <c r="B793" s="38" t="s">
        <v>120</v>
      </c>
      <c r="C793" s="38" t="s">
        <v>7</v>
      </c>
      <c r="D793" s="38" t="s">
        <v>333</v>
      </c>
      <c r="E793" s="38" t="s">
        <v>375</v>
      </c>
      <c r="F793" s="38" t="s">
        <v>285</v>
      </c>
      <c r="G793" s="38" t="s">
        <v>138</v>
      </c>
      <c r="H793" s="9" t="s">
        <v>121</v>
      </c>
      <c r="I793" s="38" t="s">
        <v>58</v>
      </c>
      <c r="J793" s="38">
        <v>0</v>
      </c>
      <c r="K793">
        <v>0</v>
      </c>
      <c r="L793">
        <v>0</v>
      </c>
      <c r="M793">
        <v>0</v>
      </c>
      <c r="N793" s="38">
        <v>41.69</v>
      </c>
      <c r="O793" s="38"/>
      <c r="P793" s="38" t="s">
        <v>151</v>
      </c>
      <c r="Q793" s="38"/>
    </row>
    <row r="794" spans="1:17" x14ac:dyDescent="0.25">
      <c r="A794" s="39">
        <v>45418</v>
      </c>
      <c r="B794" s="38" t="s">
        <v>119</v>
      </c>
      <c r="C794" s="38" t="s">
        <v>7</v>
      </c>
      <c r="D794" s="38" t="s">
        <v>178</v>
      </c>
      <c r="E794" s="38" t="s">
        <v>399</v>
      </c>
      <c r="F794" s="38" t="s">
        <v>192</v>
      </c>
      <c r="G794" s="38" t="s">
        <v>138</v>
      </c>
      <c r="H794" s="9" t="s">
        <v>168</v>
      </c>
      <c r="I794" s="38" t="s">
        <v>58</v>
      </c>
      <c r="J794" s="38">
        <v>0</v>
      </c>
      <c r="K794">
        <v>0</v>
      </c>
      <c r="L794">
        <v>0</v>
      </c>
      <c r="M794">
        <v>0</v>
      </c>
      <c r="N794" s="38">
        <v>41.62</v>
      </c>
      <c r="O794" s="38"/>
      <c r="P794" s="38" t="s">
        <v>149</v>
      </c>
      <c r="Q794" s="38"/>
    </row>
    <row r="795" spans="1:17" x14ac:dyDescent="0.25">
      <c r="A795" s="39">
        <v>45418</v>
      </c>
      <c r="B795" s="38" t="s">
        <v>117</v>
      </c>
      <c r="C795" s="38" t="s">
        <v>7</v>
      </c>
      <c r="D795" s="38" t="s">
        <v>349</v>
      </c>
      <c r="E795" s="38" t="s">
        <v>398</v>
      </c>
      <c r="F795" s="38" t="s">
        <v>90</v>
      </c>
      <c r="G795" s="38" t="s">
        <v>138</v>
      </c>
      <c r="H795" s="9" t="s">
        <v>118</v>
      </c>
      <c r="I795" s="38" t="s">
        <v>58</v>
      </c>
      <c r="J795" s="38">
        <v>0</v>
      </c>
      <c r="K795">
        <v>0</v>
      </c>
      <c r="L795">
        <v>0</v>
      </c>
      <c r="M795">
        <v>0</v>
      </c>
      <c r="N795" s="38">
        <v>34.69</v>
      </c>
      <c r="O795" s="38"/>
      <c r="P795" s="38" t="s">
        <v>151</v>
      </c>
      <c r="Q795" s="38"/>
    </row>
    <row r="796" spans="1:17" x14ac:dyDescent="0.25">
      <c r="A796" s="39">
        <v>45418</v>
      </c>
      <c r="B796" s="38" t="s">
        <v>39</v>
      </c>
      <c r="C796" s="38" t="s">
        <v>7</v>
      </c>
      <c r="D796" s="38" t="s">
        <v>177</v>
      </c>
      <c r="E796" s="38" t="s">
        <v>377</v>
      </c>
      <c r="F796" s="38" t="s">
        <v>90</v>
      </c>
      <c r="G796" s="38" t="s">
        <v>138</v>
      </c>
      <c r="H796" s="9" t="s">
        <v>116</v>
      </c>
      <c r="I796" s="38" t="s">
        <v>58</v>
      </c>
      <c r="J796" s="38">
        <v>0</v>
      </c>
      <c r="K796">
        <v>0</v>
      </c>
      <c r="L796">
        <v>0</v>
      </c>
      <c r="M796">
        <v>0</v>
      </c>
      <c r="N796" s="38">
        <v>41.24</v>
      </c>
      <c r="O796" s="38"/>
      <c r="P796" s="38" t="s">
        <v>151</v>
      </c>
      <c r="Q796" s="38"/>
    </row>
    <row r="797" spans="1:17" x14ac:dyDescent="0.25">
      <c r="A797" s="39">
        <v>45418</v>
      </c>
      <c r="B797" s="38" t="s">
        <v>113</v>
      </c>
      <c r="C797" s="38" t="s">
        <v>7</v>
      </c>
      <c r="D797" s="38" t="s">
        <v>188</v>
      </c>
      <c r="E797" s="38" t="s">
        <v>126</v>
      </c>
      <c r="F797" s="38" t="s">
        <v>199</v>
      </c>
      <c r="G797" s="38" t="s">
        <v>138</v>
      </c>
      <c r="H797" s="9" t="s">
        <v>114</v>
      </c>
      <c r="I797" s="38" t="s">
        <v>58</v>
      </c>
      <c r="J797" s="38">
        <v>0</v>
      </c>
      <c r="K797">
        <v>0</v>
      </c>
      <c r="L797">
        <v>0</v>
      </c>
      <c r="M797">
        <v>0</v>
      </c>
      <c r="N797" s="38">
        <v>41.35</v>
      </c>
      <c r="O797" s="38"/>
      <c r="P797" s="38" t="s">
        <v>149</v>
      </c>
      <c r="Q797" s="38"/>
    </row>
    <row r="798" spans="1:17" x14ac:dyDescent="0.25">
      <c r="A798" s="39">
        <v>45418</v>
      </c>
      <c r="B798" s="38" t="s">
        <v>111</v>
      </c>
      <c r="C798" s="38" t="s">
        <v>7</v>
      </c>
      <c r="D798" s="38" t="s">
        <v>189</v>
      </c>
      <c r="E798" s="38" t="s">
        <v>81</v>
      </c>
      <c r="F798" s="38" t="s">
        <v>285</v>
      </c>
      <c r="G798" s="38" t="s">
        <v>138</v>
      </c>
      <c r="H798" s="9" t="s">
        <v>112</v>
      </c>
      <c r="I798" s="38" t="s">
        <v>58</v>
      </c>
      <c r="J798" s="38">
        <v>0</v>
      </c>
      <c r="K798">
        <v>0</v>
      </c>
      <c r="L798">
        <v>0</v>
      </c>
      <c r="M798">
        <v>0</v>
      </c>
      <c r="N798" s="38">
        <v>20.48</v>
      </c>
      <c r="O798" s="38"/>
      <c r="P798" s="38" t="s">
        <v>153</v>
      </c>
      <c r="Q798" s="38"/>
    </row>
    <row r="799" spans="1:17" x14ac:dyDescent="0.25">
      <c r="A799" s="39">
        <v>45418</v>
      </c>
      <c r="B799" s="38" t="s">
        <v>109</v>
      </c>
      <c r="C799" s="38" t="s">
        <v>7</v>
      </c>
      <c r="D799" s="38" t="s">
        <v>142</v>
      </c>
      <c r="E799" s="38" t="s">
        <v>56</v>
      </c>
      <c r="F799" s="38" t="s">
        <v>199</v>
      </c>
      <c r="G799" s="38" t="s">
        <v>138</v>
      </c>
      <c r="H799" s="9" t="s">
        <v>110</v>
      </c>
      <c r="I799" s="38" t="s">
        <v>58</v>
      </c>
      <c r="J799" s="38">
        <v>0</v>
      </c>
      <c r="K799">
        <v>0</v>
      </c>
      <c r="L799">
        <v>0</v>
      </c>
      <c r="M799">
        <v>0</v>
      </c>
      <c r="N799" s="38">
        <v>41.05</v>
      </c>
      <c r="O799" s="38"/>
      <c r="P799" s="38" t="s">
        <v>149</v>
      </c>
      <c r="Q799" s="38"/>
    </row>
    <row r="800" spans="1:17" x14ac:dyDescent="0.25">
      <c r="A800" s="39">
        <v>45418</v>
      </c>
      <c r="B800" s="38" t="s">
        <v>107</v>
      </c>
      <c r="C800" s="38" t="s">
        <v>7</v>
      </c>
      <c r="D800" s="38" t="s">
        <v>401</v>
      </c>
      <c r="E800" s="38" t="s">
        <v>56</v>
      </c>
      <c r="F800" s="38" t="s">
        <v>93</v>
      </c>
      <c r="G800" s="38" t="s">
        <v>138</v>
      </c>
      <c r="H800" s="9" t="s">
        <v>108</v>
      </c>
      <c r="I800" s="38" t="s">
        <v>58</v>
      </c>
      <c r="J800" s="38">
        <v>0</v>
      </c>
      <c r="K800">
        <v>0</v>
      </c>
      <c r="L800">
        <v>0</v>
      </c>
      <c r="M800">
        <v>0</v>
      </c>
      <c r="N800" s="38">
        <v>12.09</v>
      </c>
      <c r="O800" s="38"/>
      <c r="P800" s="38" t="s">
        <v>403</v>
      </c>
      <c r="Q800" s="38"/>
    </row>
    <row r="801" spans="1:17" x14ac:dyDescent="0.25">
      <c r="A801" s="39">
        <v>45418</v>
      </c>
      <c r="B801" s="38" t="s">
        <v>41</v>
      </c>
      <c r="C801" s="38" t="s">
        <v>7</v>
      </c>
      <c r="D801" s="38" t="s">
        <v>123</v>
      </c>
      <c r="E801" s="38" t="s">
        <v>81</v>
      </c>
      <c r="F801" s="38" t="s">
        <v>285</v>
      </c>
      <c r="G801" s="38" t="s">
        <v>138</v>
      </c>
      <c r="H801" s="9" t="s">
        <v>106</v>
      </c>
      <c r="I801" s="38" t="s">
        <v>58</v>
      </c>
      <c r="J801" s="38">
        <v>0</v>
      </c>
      <c r="K801">
        <v>0</v>
      </c>
      <c r="L801">
        <v>0</v>
      </c>
      <c r="M801">
        <v>0</v>
      </c>
      <c r="N801" s="38">
        <v>17.88</v>
      </c>
      <c r="O801" s="38"/>
      <c r="P801" s="38" t="s">
        <v>152</v>
      </c>
      <c r="Q801" s="38"/>
    </row>
    <row r="802" spans="1:17" x14ac:dyDescent="0.25">
      <c r="A802" s="39">
        <v>45418</v>
      </c>
      <c r="B802" s="38" t="s">
        <v>43</v>
      </c>
      <c r="C802" s="38" t="s">
        <v>7</v>
      </c>
      <c r="D802" s="38" t="s">
        <v>282</v>
      </c>
      <c r="E802" s="38" t="s">
        <v>275</v>
      </c>
      <c r="F802" s="38" t="s">
        <v>276</v>
      </c>
      <c r="G802" s="38" t="s">
        <v>138</v>
      </c>
      <c r="H802" s="9" t="s">
        <v>208</v>
      </c>
      <c r="I802" s="38" t="s">
        <v>58</v>
      </c>
      <c r="J802" s="38">
        <v>0</v>
      </c>
      <c r="K802">
        <v>0</v>
      </c>
      <c r="L802">
        <v>0</v>
      </c>
      <c r="M802">
        <v>0</v>
      </c>
      <c r="N802" s="38">
        <v>17.25</v>
      </c>
      <c r="O802" s="38"/>
      <c r="P802" s="38" t="s">
        <v>154</v>
      </c>
      <c r="Q802" s="38"/>
    </row>
    <row r="803" spans="1:17" x14ac:dyDescent="0.25">
      <c r="A803" s="39">
        <v>45418</v>
      </c>
      <c r="B803" s="38" t="s">
        <v>5</v>
      </c>
      <c r="C803" s="38" t="s">
        <v>7</v>
      </c>
      <c r="D803" s="38" t="s">
        <v>283</v>
      </c>
      <c r="E803" s="38" t="s">
        <v>60</v>
      </c>
      <c r="F803" s="38" t="s">
        <v>285</v>
      </c>
      <c r="G803" s="38" t="s">
        <v>138</v>
      </c>
      <c r="H803" s="9" t="s">
        <v>209</v>
      </c>
      <c r="I803" s="38" t="s">
        <v>58</v>
      </c>
      <c r="J803" s="38">
        <v>0</v>
      </c>
      <c r="K803">
        <v>0</v>
      </c>
      <c r="L803">
        <v>0</v>
      </c>
      <c r="M803">
        <v>0</v>
      </c>
      <c r="N803" s="38">
        <v>16.46</v>
      </c>
      <c r="O803" s="38"/>
      <c r="P803" s="38" t="s">
        <v>153</v>
      </c>
      <c r="Q803" s="38"/>
    </row>
    <row r="804" spans="1:17" x14ac:dyDescent="0.25">
      <c r="A804" s="39">
        <v>45418</v>
      </c>
      <c r="B804" s="38" t="s">
        <v>9</v>
      </c>
      <c r="C804" s="38" t="s">
        <v>7</v>
      </c>
      <c r="D804" s="38" t="s">
        <v>189</v>
      </c>
      <c r="E804" s="38" t="s">
        <v>360</v>
      </c>
      <c r="F804" s="38" t="s">
        <v>276</v>
      </c>
      <c r="G804" s="38" t="s">
        <v>138</v>
      </c>
      <c r="H804" s="9" t="s">
        <v>210</v>
      </c>
      <c r="I804" s="38" t="s">
        <v>58</v>
      </c>
      <c r="J804" s="38">
        <v>0</v>
      </c>
      <c r="K804">
        <v>0</v>
      </c>
      <c r="L804">
        <v>0</v>
      </c>
      <c r="M804">
        <v>0</v>
      </c>
      <c r="N804" s="38">
        <v>23.18</v>
      </c>
      <c r="O804" s="38"/>
      <c r="P804" s="38" t="s">
        <v>153</v>
      </c>
      <c r="Q804" s="38"/>
    </row>
    <row r="805" spans="1:17" x14ac:dyDescent="0.25">
      <c r="A805" s="39">
        <v>45418</v>
      </c>
      <c r="B805" s="38" t="s">
        <v>10</v>
      </c>
      <c r="C805" s="38" t="s">
        <v>7</v>
      </c>
      <c r="D805" s="38" t="s">
        <v>263</v>
      </c>
      <c r="E805" s="38" t="s">
        <v>342</v>
      </c>
      <c r="F805" s="38" t="s">
        <v>90</v>
      </c>
      <c r="G805" s="38" t="s">
        <v>138</v>
      </c>
      <c r="H805" s="9" t="s">
        <v>211</v>
      </c>
      <c r="I805" s="38" t="s">
        <v>58</v>
      </c>
      <c r="J805" s="38">
        <v>0</v>
      </c>
      <c r="K805">
        <v>0</v>
      </c>
      <c r="L805">
        <v>0</v>
      </c>
      <c r="M805">
        <v>0</v>
      </c>
      <c r="N805" s="38">
        <v>74.34</v>
      </c>
      <c r="O805" s="38"/>
      <c r="P805" s="38" t="s">
        <v>151</v>
      </c>
      <c r="Q805" s="38"/>
    </row>
    <row r="806" spans="1:17" x14ac:dyDescent="0.25">
      <c r="A806" s="39">
        <v>45418</v>
      </c>
      <c r="B806" s="38" t="s">
        <v>11</v>
      </c>
      <c r="C806" s="38" t="s">
        <v>7</v>
      </c>
      <c r="D806" s="38" t="s">
        <v>205</v>
      </c>
      <c r="E806" s="38" t="s">
        <v>60</v>
      </c>
      <c r="F806" s="38" t="s">
        <v>93</v>
      </c>
      <c r="G806" s="38" t="s">
        <v>138</v>
      </c>
      <c r="H806" s="9" t="s">
        <v>212</v>
      </c>
      <c r="I806" s="38" t="s">
        <v>58</v>
      </c>
      <c r="J806" s="38">
        <v>0</v>
      </c>
      <c r="K806">
        <v>0</v>
      </c>
      <c r="L806">
        <v>0</v>
      </c>
      <c r="M806">
        <v>0</v>
      </c>
      <c r="N806" s="38">
        <v>11.39</v>
      </c>
      <c r="O806" s="38"/>
      <c r="P806" s="38" t="s">
        <v>147</v>
      </c>
      <c r="Q806" s="38"/>
    </row>
    <row r="807" spans="1:17" x14ac:dyDescent="0.25">
      <c r="A807" s="39">
        <v>45418</v>
      </c>
      <c r="B807" s="38" t="s">
        <v>12</v>
      </c>
      <c r="C807" s="38" t="s">
        <v>7</v>
      </c>
      <c r="D807" s="38" t="s">
        <v>286</v>
      </c>
      <c r="E807" s="38" t="s">
        <v>60</v>
      </c>
      <c r="F807" s="38" t="s">
        <v>285</v>
      </c>
      <c r="G807" s="38" t="s">
        <v>138</v>
      </c>
      <c r="H807" s="9" t="s">
        <v>213</v>
      </c>
      <c r="I807" s="38" t="s">
        <v>58</v>
      </c>
      <c r="J807" s="38">
        <v>0</v>
      </c>
      <c r="K807">
        <v>0</v>
      </c>
      <c r="L807">
        <v>0</v>
      </c>
      <c r="M807">
        <v>0</v>
      </c>
      <c r="N807" s="38">
        <v>11.98</v>
      </c>
      <c r="O807" s="38"/>
      <c r="P807" s="38" t="s">
        <v>154</v>
      </c>
      <c r="Q807" s="38"/>
    </row>
    <row r="808" spans="1:17" x14ac:dyDescent="0.25">
      <c r="A808" s="39">
        <v>45418</v>
      </c>
      <c r="B808" s="38" t="s">
        <v>105</v>
      </c>
      <c r="C808" s="38" t="s">
        <v>7</v>
      </c>
      <c r="D808" s="38" t="s">
        <v>267</v>
      </c>
      <c r="E808" s="38" t="s">
        <v>60</v>
      </c>
      <c r="F808" s="38" t="s">
        <v>93</v>
      </c>
      <c r="G808" s="38" t="s">
        <v>138</v>
      </c>
      <c r="H808" s="9" t="s">
        <v>214</v>
      </c>
      <c r="I808" s="38" t="s">
        <v>58</v>
      </c>
      <c r="J808" s="38">
        <v>0</v>
      </c>
      <c r="K808">
        <v>0</v>
      </c>
      <c r="L808">
        <v>0</v>
      </c>
      <c r="M808">
        <v>0</v>
      </c>
      <c r="N808" s="38">
        <v>12.39</v>
      </c>
      <c r="O808" s="38"/>
      <c r="P808" s="38" t="s">
        <v>147</v>
      </c>
      <c r="Q808" s="38"/>
    </row>
    <row r="809" spans="1:17" x14ac:dyDescent="0.25">
      <c r="A809" s="39">
        <v>45418</v>
      </c>
      <c r="B809" s="38" t="s">
        <v>104</v>
      </c>
      <c r="C809" s="38" t="s">
        <v>7</v>
      </c>
      <c r="D809" s="38" t="s">
        <v>143</v>
      </c>
      <c r="E809" s="38" t="s">
        <v>60</v>
      </c>
      <c r="F809" s="38" t="s">
        <v>285</v>
      </c>
      <c r="G809" s="38" t="s">
        <v>138</v>
      </c>
      <c r="H809" s="9" t="s">
        <v>215</v>
      </c>
      <c r="I809" s="38" t="s">
        <v>58</v>
      </c>
      <c r="J809" s="38">
        <v>0</v>
      </c>
      <c r="K809">
        <v>0</v>
      </c>
      <c r="L809">
        <v>0</v>
      </c>
      <c r="M809">
        <v>0</v>
      </c>
      <c r="N809" s="38">
        <v>13.96</v>
      </c>
      <c r="O809" s="38"/>
      <c r="P809" s="38" t="s">
        <v>154</v>
      </c>
      <c r="Q809" s="38"/>
    </row>
    <row r="810" spans="1:17" x14ac:dyDescent="0.25">
      <c r="A810" s="39">
        <v>45418</v>
      </c>
      <c r="B810" s="38" t="s">
        <v>13</v>
      </c>
      <c r="C810" s="38" t="s">
        <v>7</v>
      </c>
      <c r="D810" s="38" t="s">
        <v>350</v>
      </c>
      <c r="E810" s="38" t="s">
        <v>60</v>
      </c>
      <c r="F810" s="38" t="s">
        <v>93</v>
      </c>
      <c r="G810" s="38" t="s">
        <v>138</v>
      </c>
      <c r="H810" s="9" t="s">
        <v>216</v>
      </c>
      <c r="I810" s="38" t="s">
        <v>58</v>
      </c>
      <c r="J810" s="38">
        <v>0</v>
      </c>
      <c r="K810">
        <v>0</v>
      </c>
      <c r="L810">
        <v>0</v>
      </c>
      <c r="M810">
        <v>0</v>
      </c>
      <c r="N810" s="38">
        <v>12.4</v>
      </c>
      <c r="O810" s="38"/>
      <c r="P810" s="38" t="s">
        <v>147</v>
      </c>
      <c r="Q810" s="38"/>
    </row>
    <row r="811" spans="1:17" x14ac:dyDescent="0.25">
      <c r="A811" s="39">
        <v>45418</v>
      </c>
      <c r="B811" s="38" t="s">
        <v>103</v>
      </c>
      <c r="C811" s="38" t="s">
        <v>7</v>
      </c>
      <c r="D811" s="38" t="s">
        <v>179</v>
      </c>
      <c r="E811" s="38" t="s">
        <v>81</v>
      </c>
      <c r="F811" s="38" t="s">
        <v>90</v>
      </c>
      <c r="G811" s="38" t="s">
        <v>138</v>
      </c>
      <c r="H811" s="9" t="s">
        <v>217</v>
      </c>
      <c r="I811" s="38" t="s">
        <v>65</v>
      </c>
      <c r="J811" s="38">
        <v>0</v>
      </c>
      <c r="K811">
        <v>0</v>
      </c>
      <c r="L811">
        <v>0</v>
      </c>
      <c r="M811">
        <v>0</v>
      </c>
      <c r="N811" s="38">
        <v>41.9</v>
      </c>
      <c r="O811" s="38"/>
      <c r="P811" s="38" t="s">
        <v>187</v>
      </c>
      <c r="Q811" s="38"/>
    </row>
    <row r="812" spans="1:17" x14ac:dyDescent="0.25">
      <c r="A812" s="39">
        <v>45418</v>
      </c>
      <c r="B812" s="38" t="s">
        <v>101</v>
      </c>
      <c r="C812" s="38" t="s">
        <v>7</v>
      </c>
      <c r="D812" s="38" t="s">
        <v>405</v>
      </c>
      <c r="E812" s="38" t="s">
        <v>81</v>
      </c>
      <c r="F812" s="38" t="s">
        <v>285</v>
      </c>
      <c r="G812" s="38" t="s">
        <v>138</v>
      </c>
      <c r="H812" s="9" t="s">
        <v>102</v>
      </c>
      <c r="I812" s="38" t="s">
        <v>58</v>
      </c>
      <c r="J812" s="38">
        <v>0</v>
      </c>
      <c r="K812">
        <v>0</v>
      </c>
      <c r="L812">
        <v>0</v>
      </c>
      <c r="M812">
        <v>0</v>
      </c>
      <c r="N812" s="38">
        <v>19.600000000000001</v>
      </c>
      <c r="O812" s="38"/>
      <c r="P812" s="38" t="s">
        <v>151</v>
      </c>
      <c r="Q812" s="38"/>
    </row>
    <row r="813" spans="1:17" x14ac:dyDescent="0.25">
      <c r="A813" s="39">
        <v>45418</v>
      </c>
      <c r="B813" s="38" t="s">
        <v>99</v>
      </c>
      <c r="C813" s="38" t="s">
        <v>7</v>
      </c>
      <c r="D813" s="38" t="s">
        <v>249</v>
      </c>
      <c r="E813" s="38" t="s">
        <v>81</v>
      </c>
      <c r="F813" s="38" t="s">
        <v>90</v>
      </c>
      <c r="G813" s="38" t="s">
        <v>138</v>
      </c>
      <c r="H813" s="9" t="s">
        <v>100</v>
      </c>
      <c r="I813" s="38"/>
      <c r="J813" s="38">
        <v>0</v>
      </c>
      <c r="K813">
        <v>0</v>
      </c>
      <c r="L813">
        <v>0</v>
      </c>
      <c r="M813">
        <v>0</v>
      </c>
      <c r="N813" s="38">
        <v>41.83</v>
      </c>
      <c r="O813" s="38"/>
      <c r="P813" s="38" t="s">
        <v>152</v>
      </c>
      <c r="Q813" s="38"/>
    </row>
    <row r="814" spans="1:17" x14ac:dyDescent="0.25">
      <c r="A814" s="39">
        <v>45418</v>
      </c>
      <c r="B814" s="38" t="s">
        <v>97</v>
      </c>
      <c r="C814" s="38" t="s">
        <v>7</v>
      </c>
      <c r="D814" s="38" t="s">
        <v>288</v>
      </c>
      <c r="E814" s="38" t="s">
        <v>352</v>
      </c>
      <c r="F814" s="38" t="s">
        <v>285</v>
      </c>
      <c r="G814" s="38" t="s">
        <v>138</v>
      </c>
      <c r="H814" s="9" t="s">
        <v>98</v>
      </c>
      <c r="I814" s="38" t="s">
        <v>58</v>
      </c>
      <c r="J814" s="38">
        <v>0</v>
      </c>
      <c r="K814">
        <v>0</v>
      </c>
      <c r="L814">
        <v>0</v>
      </c>
      <c r="M814">
        <v>0</v>
      </c>
      <c r="N814" s="38">
        <v>22.49</v>
      </c>
      <c r="O814" s="38"/>
      <c r="P814" s="38" t="s">
        <v>148</v>
      </c>
      <c r="Q814" s="38"/>
    </row>
    <row r="815" spans="1:17" x14ac:dyDescent="0.25">
      <c r="A815" s="39">
        <v>45418</v>
      </c>
      <c r="B815" s="38" t="s">
        <v>95</v>
      </c>
      <c r="C815" s="38" t="s">
        <v>7</v>
      </c>
      <c r="D815" s="38" t="s">
        <v>181</v>
      </c>
      <c r="E815" s="38" t="s">
        <v>81</v>
      </c>
      <c r="F815" s="38" t="s">
        <v>90</v>
      </c>
      <c r="G815" s="38" t="s">
        <v>138</v>
      </c>
      <c r="H815" s="9" t="s">
        <v>96</v>
      </c>
      <c r="I815" s="38" t="s">
        <v>65</v>
      </c>
      <c r="J815" s="38">
        <v>0</v>
      </c>
      <c r="K815">
        <v>0</v>
      </c>
      <c r="L815">
        <v>0</v>
      </c>
      <c r="M815">
        <v>0</v>
      </c>
      <c r="N815" s="38">
        <v>20.38</v>
      </c>
      <c r="O815" s="38"/>
      <c r="P815" s="38" t="s">
        <v>152</v>
      </c>
      <c r="Q815" s="38"/>
    </row>
    <row r="816" spans="1:17" x14ac:dyDescent="0.25">
      <c r="A816" s="39">
        <v>45418</v>
      </c>
      <c r="B816" s="38" t="s">
        <v>14</v>
      </c>
      <c r="C816" s="38" t="s">
        <v>7</v>
      </c>
      <c r="D816" s="38" t="s">
        <v>289</v>
      </c>
      <c r="E816" s="38" t="s">
        <v>352</v>
      </c>
      <c r="F816" s="38" t="s">
        <v>285</v>
      </c>
      <c r="G816" s="38" t="s">
        <v>138</v>
      </c>
      <c r="H816" s="9" t="s">
        <v>94</v>
      </c>
      <c r="I816" s="38" t="s">
        <v>58</v>
      </c>
      <c r="J816" s="38">
        <v>0</v>
      </c>
      <c r="K816">
        <v>0</v>
      </c>
      <c r="L816">
        <v>0</v>
      </c>
      <c r="M816">
        <v>0</v>
      </c>
      <c r="N816" s="38">
        <v>25.88</v>
      </c>
      <c r="O816" s="38"/>
      <c r="P816" s="38" t="s">
        <v>151</v>
      </c>
      <c r="Q816" s="38"/>
    </row>
    <row r="817" spans="1:17" x14ac:dyDescent="0.25">
      <c r="A817" s="39">
        <v>45418</v>
      </c>
      <c r="B817" s="38" t="s">
        <v>91</v>
      </c>
      <c r="C817" s="38" t="s">
        <v>7</v>
      </c>
      <c r="D817" s="38" t="s">
        <v>180</v>
      </c>
      <c r="E817" s="38" t="s">
        <v>81</v>
      </c>
      <c r="F817" s="38" t="s">
        <v>90</v>
      </c>
      <c r="G817" s="38" t="s">
        <v>138</v>
      </c>
      <c r="H817" s="9" t="s">
        <v>92</v>
      </c>
      <c r="I817" s="38"/>
      <c r="J817" s="38">
        <v>0</v>
      </c>
      <c r="K817">
        <v>0</v>
      </c>
      <c r="L817">
        <v>0</v>
      </c>
      <c r="M817">
        <v>0</v>
      </c>
      <c r="N817" s="38">
        <v>16.73</v>
      </c>
      <c r="O817" s="38"/>
      <c r="P817" s="38" t="s">
        <v>148</v>
      </c>
      <c r="Q817" s="38"/>
    </row>
    <row r="818" spans="1:17" x14ac:dyDescent="0.25">
      <c r="A818" s="39">
        <v>45418</v>
      </c>
      <c r="B818" s="38" t="s">
        <v>15</v>
      </c>
      <c r="C818" s="38" t="s">
        <v>7</v>
      </c>
      <c r="D818" s="38" t="s">
        <v>140</v>
      </c>
      <c r="E818" s="38" t="s">
        <v>81</v>
      </c>
      <c r="F818" s="38" t="s">
        <v>285</v>
      </c>
      <c r="G818" s="38" t="s">
        <v>138</v>
      </c>
      <c r="H818" s="9" t="s">
        <v>218</v>
      </c>
      <c r="I818" s="38" t="s">
        <v>58</v>
      </c>
      <c r="J818" s="38">
        <v>0</v>
      </c>
      <c r="K818">
        <v>0</v>
      </c>
      <c r="L818">
        <v>0</v>
      </c>
      <c r="M818">
        <v>0</v>
      </c>
      <c r="N818" s="38">
        <v>20.190000000000001</v>
      </c>
      <c r="O818" s="38"/>
      <c r="P818" s="38" t="s">
        <v>148</v>
      </c>
      <c r="Q818" s="38"/>
    </row>
    <row r="819" spans="1:17" x14ac:dyDescent="0.25">
      <c r="A819" s="39">
        <v>45418</v>
      </c>
      <c r="B819" s="38" t="s">
        <v>89</v>
      </c>
      <c r="C819" s="38" t="s">
        <v>7</v>
      </c>
      <c r="D819" s="38" t="s">
        <v>176</v>
      </c>
      <c r="E819" s="38" t="s">
        <v>398</v>
      </c>
      <c r="F819" s="38" t="s">
        <v>90</v>
      </c>
      <c r="G819" s="38" t="s">
        <v>138</v>
      </c>
      <c r="H819" s="9" t="s">
        <v>219</v>
      </c>
      <c r="I819" s="38" t="s">
        <v>65</v>
      </c>
      <c r="J819" s="38">
        <v>0</v>
      </c>
      <c r="K819">
        <v>0</v>
      </c>
      <c r="L819">
        <v>0</v>
      </c>
      <c r="M819">
        <v>0</v>
      </c>
      <c r="N819" s="38">
        <v>17.670000000000002</v>
      </c>
      <c r="O819" s="38"/>
      <c r="P819" s="38" t="s">
        <v>186</v>
      </c>
      <c r="Q819" s="38"/>
    </row>
    <row r="820" spans="1:17" x14ac:dyDescent="0.25">
      <c r="A820" s="39">
        <v>45418</v>
      </c>
      <c r="B820" s="38" t="s">
        <v>16</v>
      </c>
      <c r="C820" s="38" t="s">
        <v>7</v>
      </c>
      <c r="D820" s="38" t="s">
        <v>407</v>
      </c>
      <c r="E820" s="38" t="s">
        <v>360</v>
      </c>
      <c r="F820" s="38" t="s">
        <v>253</v>
      </c>
      <c r="G820" s="38" t="s">
        <v>138</v>
      </c>
      <c r="H820" s="9" t="s">
        <v>220</v>
      </c>
      <c r="I820" s="38" t="s">
        <v>58</v>
      </c>
      <c r="J820" s="38">
        <v>0</v>
      </c>
      <c r="K820">
        <v>0</v>
      </c>
      <c r="L820">
        <v>0</v>
      </c>
      <c r="M820">
        <v>0</v>
      </c>
      <c r="N820" s="38">
        <v>21.19</v>
      </c>
      <c r="O820" s="38"/>
      <c r="P820" s="38" t="s">
        <v>151</v>
      </c>
      <c r="Q820" s="38"/>
    </row>
    <row r="821" spans="1:17" x14ac:dyDescent="0.25">
      <c r="A821" s="39">
        <v>45418</v>
      </c>
      <c r="B821" s="38" t="s">
        <v>88</v>
      </c>
      <c r="C821" s="38" t="s">
        <v>7</v>
      </c>
      <c r="D821" s="38" t="s">
        <v>311</v>
      </c>
      <c r="E821" s="38" t="s">
        <v>60</v>
      </c>
      <c r="F821" s="38" t="s">
        <v>253</v>
      </c>
      <c r="G821" s="38" t="s">
        <v>138</v>
      </c>
      <c r="H821" s="9" t="s">
        <v>221</v>
      </c>
      <c r="I821" s="38"/>
      <c r="J821" s="38">
        <v>0</v>
      </c>
      <c r="K821">
        <v>0</v>
      </c>
      <c r="L821">
        <v>0</v>
      </c>
      <c r="M821">
        <v>0</v>
      </c>
      <c r="N821" s="38">
        <v>38.44</v>
      </c>
      <c r="O821" s="38"/>
      <c r="P821" s="38" t="s">
        <v>154</v>
      </c>
      <c r="Q821" s="38"/>
    </row>
    <row r="822" spans="1:17" x14ac:dyDescent="0.25">
      <c r="A822" s="39">
        <v>45418</v>
      </c>
      <c r="B822" s="38" t="s">
        <v>17</v>
      </c>
      <c r="C822" s="38" t="s">
        <v>7</v>
      </c>
      <c r="D822" s="38" t="s">
        <v>272</v>
      </c>
      <c r="E822" s="38" t="s">
        <v>275</v>
      </c>
      <c r="F822" s="38" t="s">
        <v>276</v>
      </c>
      <c r="G822" s="38" t="s">
        <v>138</v>
      </c>
      <c r="H822" s="9" t="s">
        <v>222</v>
      </c>
      <c r="I822" s="38" t="s">
        <v>58</v>
      </c>
      <c r="J822" s="38">
        <v>0</v>
      </c>
      <c r="K822">
        <v>0</v>
      </c>
      <c r="L822">
        <v>0</v>
      </c>
      <c r="M822">
        <v>0</v>
      </c>
      <c r="N822" s="38">
        <v>20.56</v>
      </c>
      <c r="O822" s="38"/>
      <c r="P822" s="38" t="s">
        <v>151</v>
      </c>
      <c r="Q822" s="38"/>
    </row>
    <row r="823" spans="1:17" x14ac:dyDescent="0.25">
      <c r="A823" s="39">
        <v>45418</v>
      </c>
      <c r="B823" s="38" t="s">
        <v>19</v>
      </c>
      <c r="C823" s="38" t="s">
        <v>7</v>
      </c>
      <c r="D823" s="38" t="s">
        <v>343</v>
      </c>
      <c r="E823" s="38" t="s">
        <v>81</v>
      </c>
      <c r="F823" s="38" t="s">
        <v>253</v>
      </c>
      <c r="G823" s="38" t="s">
        <v>138</v>
      </c>
      <c r="H823" s="9" t="s">
        <v>223</v>
      </c>
      <c r="I823" s="38" t="s">
        <v>65</v>
      </c>
      <c r="J823" s="38">
        <v>0</v>
      </c>
      <c r="K823">
        <v>0</v>
      </c>
      <c r="L823">
        <v>0</v>
      </c>
      <c r="M823">
        <v>0</v>
      </c>
      <c r="N823" s="38">
        <v>41.06</v>
      </c>
      <c r="O823" s="38"/>
      <c r="P823" s="38" t="s">
        <v>151</v>
      </c>
      <c r="Q823" s="38"/>
    </row>
    <row r="824" spans="1:17" x14ac:dyDescent="0.25">
      <c r="A824" s="39">
        <v>45418</v>
      </c>
      <c r="B824" s="38" t="s">
        <v>18</v>
      </c>
      <c r="C824" s="38" t="s">
        <v>7</v>
      </c>
      <c r="D824" s="38" t="s">
        <v>268</v>
      </c>
      <c r="E824" s="38" t="s">
        <v>408</v>
      </c>
      <c r="F824" s="38" t="s">
        <v>253</v>
      </c>
      <c r="G824" s="38" t="s">
        <v>138</v>
      </c>
      <c r="H824" s="9" t="s">
        <v>224</v>
      </c>
      <c r="I824" s="38" t="s">
        <v>58</v>
      </c>
      <c r="J824" s="38">
        <v>0</v>
      </c>
      <c r="K824">
        <v>0</v>
      </c>
      <c r="L824">
        <v>0</v>
      </c>
      <c r="M824">
        <v>0</v>
      </c>
      <c r="N824" s="38">
        <v>18.89</v>
      </c>
      <c r="O824" s="38"/>
      <c r="P824" s="38" t="s">
        <v>148</v>
      </c>
      <c r="Q824" s="38"/>
    </row>
    <row r="825" spans="1:17" x14ac:dyDescent="0.25">
      <c r="A825" s="39">
        <v>45418</v>
      </c>
      <c r="B825" s="38" t="s">
        <v>87</v>
      </c>
      <c r="C825" s="38" t="s">
        <v>7</v>
      </c>
      <c r="D825" s="38"/>
      <c r="E825" s="38"/>
      <c r="F825" s="38"/>
      <c r="G825" s="38" t="s">
        <v>138</v>
      </c>
      <c r="H825" s="9" t="s">
        <v>225</v>
      </c>
      <c r="I825" s="38"/>
      <c r="J825" s="38">
        <v>0</v>
      </c>
      <c r="K825">
        <v>0</v>
      </c>
      <c r="L825">
        <v>0</v>
      </c>
      <c r="M825">
        <v>0</v>
      </c>
      <c r="N825" s="38">
        <v>41146219</v>
      </c>
      <c r="O825" s="38"/>
      <c r="P825" s="38"/>
      <c r="Q825" s="38"/>
    </row>
    <row r="826" spans="1:17" x14ac:dyDescent="0.25">
      <c r="A826" s="39">
        <v>45418</v>
      </c>
      <c r="B826" s="38" t="s">
        <v>42</v>
      </c>
      <c r="C826" s="38" t="s">
        <v>7</v>
      </c>
      <c r="D826" s="38" t="s">
        <v>246</v>
      </c>
      <c r="E826" s="38" t="s">
        <v>81</v>
      </c>
      <c r="F826" s="38" t="s">
        <v>285</v>
      </c>
      <c r="G826" s="38" t="s">
        <v>138</v>
      </c>
      <c r="H826" s="9" t="s">
        <v>226</v>
      </c>
      <c r="I826" s="38" t="s">
        <v>58</v>
      </c>
      <c r="J826" s="38">
        <v>0</v>
      </c>
      <c r="K826">
        <v>0</v>
      </c>
      <c r="L826">
        <v>0</v>
      </c>
      <c r="M826">
        <v>0</v>
      </c>
      <c r="N826" s="38">
        <v>20.7</v>
      </c>
      <c r="O826" s="38"/>
      <c r="P826" s="38" t="s">
        <v>148</v>
      </c>
      <c r="Q826" s="38"/>
    </row>
    <row r="827" spans="1:17" x14ac:dyDescent="0.25">
      <c r="A827" s="39">
        <v>45418</v>
      </c>
      <c r="B827" s="38" t="s">
        <v>86</v>
      </c>
      <c r="C827" s="38" t="s">
        <v>7</v>
      </c>
      <c r="D827" s="38" t="s">
        <v>271</v>
      </c>
      <c r="E827" s="38" t="s">
        <v>275</v>
      </c>
      <c r="F827" s="38" t="s">
        <v>276</v>
      </c>
      <c r="G827" s="38" t="s">
        <v>138</v>
      </c>
      <c r="H827" s="9" t="s">
        <v>227</v>
      </c>
      <c r="I827" s="38" t="s">
        <v>65</v>
      </c>
      <c r="J827" s="38">
        <v>0</v>
      </c>
      <c r="K827">
        <v>0</v>
      </c>
      <c r="L827">
        <v>0</v>
      </c>
      <c r="M827">
        <v>0</v>
      </c>
      <c r="N827" s="38">
        <v>41.64</v>
      </c>
      <c r="O827" s="38"/>
      <c r="P827" s="38" t="s">
        <v>152</v>
      </c>
      <c r="Q827" s="38"/>
    </row>
    <row r="828" spans="1:17" x14ac:dyDescent="0.25">
      <c r="A828" s="39">
        <v>45418</v>
      </c>
      <c r="B828" s="38" t="s">
        <v>38</v>
      </c>
      <c r="C828" s="38" t="s">
        <v>7</v>
      </c>
      <c r="D828" s="38" t="s">
        <v>141</v>
      </c>
      <c r="E828" s="38" t="s">
        <v>81</v>
      </c>
      <c r="F828" s="38" t="s">
        <v>285</v>
      </c>
      <c r="G828" s="38" t="s">
        <v>138</v>
      </c>
      <c r="H828" s="9" t="s">
        <v>85</v>
      </c>
      <c r="I828" s="38" t="s">
        <v>58</v>
      </c>
      <c r="J828" s="38">
        <v>0</v>
      </c>
      <c r="K828">
        <v>0</v>
      </c>
      <c r="L828">
        <v>0</v>
      </c>
      <c r="M828">
        <v>0</v>
      </c>
      <c r="N828" s="38">
        <v>37.5</v>
      </c>
      <c r="O828" s="38"/>
      <c r="P828" s="38" t="s">
        <v>151</v>
      </c>
      <c r="Q828" s="38"/>
    </row>
    <row r="829" spans="1:17" x14ac:dyDescent="0.25">
      <c r="A829" s="39">
        <v>45418</v>
      </c>
      <c r="B829" s="38" t="s">
        <v>83</v>
      </c>
      <c r="C829" s="38" t="s">
        <v>7</v>
      </c>
      <c r="D829" s="38"/>
      <c r="E829" s="38"/>
      <c r="F829" s="38"/>
      <c r="G829" s="38" t="s">
        <v>138</v>
      </c>
      <c r="H829" s="9" t="s">
        <v>84</v>
      </c>
      <c r="I829" s="38"/>
      <c r="J829" s="38">
        <v>0</v>
      </c>
      <c r="K829">
        <v>0</v>
      </c>
      <c r="L829">
        <v>0</v>
      </c>
      <c r="M829">
        <v>0</v>
      </c>
      <c r="N829" s="38">
        <v>41.36</v>
      </c>
      <c r="O829" s="38"/>
      <c r="P829" s="38"/>
      <c r="Q829" s="38"/>
    </row>
    <row r="830" spans="1:17" x14ac:dyDescent="0.25">
      <c r="A830" s="39">
        <v>45418</v>
      </c>
      <c r="B830" s="38" t="s">
        <v>20</v>
      </c>
      <c r="C830" s="38" t="s">
        <v>7</v>
      </c>
      <c r="D830" s="38" t="s">
        <v>351</v>
      </c>
      <c r="E830" s="38" t="s">
        <v>352</v>
      </c>
      <c r="F830" s="38" t="s">
        <v>285</v>
      </c>
      <c r="G830" s="38" t="s">
        <v>138</v>
      </c>
      <c r="H830" s="9" t="s">
        <v>82</v>
      </c>
      <c r="I830" s="38" t="s">
        <v>58</v>
      </c>
      <c r="J830" s="38">
        <v>0</v>
      </c>
      <c r="K830">
        <v>0</v>
      </c>
      <c r="L830">
        <v>0</v>
      </c>
      <c r="M830">
        <v>0</v>
      </c>
      <c r="N830" s="38">
        <v>22.79</v>
      </c>
      <c r="O830" s="38"/>
      <c r="P830" s="38" t="s">
        <v>151</v>
      </c>
      <c r="Q830" s="38"/>
    </row>
    <row r="831" spans="1:17" x14ac:dyDescent="0.25">
      <c r="A831" s="39">
        <v>45418</v>
      </c>
      <c r="B831" s="38" t="s">
        <v>21</v>
      </c>
      <c r="C831" s="38" t="s">
        <v>7</v>
      </c>
      <c r="D831" s="38" t="s">
        <v>291</v>
      </c>
      <c r="E831" s="38" t="s">
        <v>352</v>
      </c>
      <c r="F831" s="38" t="s">
        <v>285</v>
      </c>
      <c r="G831" s="38" t="s">
        <v>138</v>
      </c>
      <c r="H831" s="9" t="s">
        <v>80</v>
      </c>
      <c r="I831" s="38" t="s">
        <v>65</v>
      </c>
      <c r="J831" s="38">
        <v>0</v>
      </c>
      <c r="K831">
        <v>0</v>
      </c>
      <c r="L831">
        <v>0</v>
      </c>
      <c r="M831">
        <v>0</v>
      </c>
      <c r="N831" s="38">
        <v>21.59</v>
      </c>
      <c r="O831" s="38"/>
      <c r="P831" s="38" t="s">
        <v>152</v>
      </c>
      <c r="Q831" s="38"/>
    </row>
    <row r="832" spans="1:17" x14ac:dyDescent="0.25">
      <c r="A832" s="39">
        <v>45418</v>
      </c>
      <c r="B832" s="38" t="s">
        <v>22</v>
      </c>
      <c r="C832" s="38" t="s">
        <v>7</v>
      </c>
      <c r="D832" s="38" t="s">
        <v>353</v>
      </c>
      <c r="E832" s="38" t="s">
        <v>352</v>
      </c>
      <c r="F832" s="38" t="s">
        <v>285</v>
      </c>
      <c r="G832" s="38" t="s">
        <v>138</v>
      </c>
      <c r="H832" s="9" t="s">
        <v>79</v>
      </c>
      <c r="I832" s="38" t="s">
        <v>58</v>
      </c>
      <c r="J832" s="38">
        <v>0</v>
      </c>
      <c r="K832">
        <v>0</v>
      </c>
      <c r="L832">
        <v>0</v>
      </c>
      <c r="M832">
        <v>0</v>
      </c>
      <c r="N832" s="38">
        <v>13.62</v>
      </c>
      <c r="O832" s="38"/>
      <c r="P832" s="38" t="s">
        <v>148</v>
      </c>
      <c r="Q832" s="38"/>
    </row>
    <row r="833" spans="1:17" x14ac:dyDescent="0.25">
      <c r="A833" s="39">
        <v>45418</v>
      </c>
      <c r="B833" s="38" t="s">
        <v>77</v>
      </c>
      <c r="C833" s="38" t="s">
        <v>7</v>
      </c>
      <c r="D833" s="38"/>
      <c r="E833" s="38"/>
      <c r="F833" s="38"/>
      <c r="G833" s="38" t="s">
        <v>138</v>
      </c>
      <c r="H833" s="9" t="s">
        <v>78</v>
      </c>
      <c r="I833" s="38"/>
      <c r="J833" s="38">
        <v>0</v>
      </c>
      <c r="K833">
        <v>0</v>
      </c>
      <c r="L833">
        <v>0</v>
      </c>
      <c r="M833">
        <v>0</v>
      </c>
      <c r="N833" s="38">
        <v>17.88</v>
      </c>
      <c r="O833" s="38"/>
      <c r="P833" s="38"/>
      <c r="Q833" s="38"/>
    </row>
    <row r="834" spans="1:17" x14ac:dyDescent="0.25">
      <c r="A834" s="39">
        <v>45418</v>
      </c>
      <c r="B834" s="38" t="s">
        <v>23</v>
      </c>
      <c r="C834" s="38" t="s">
        <v>7</v>
      </c>
      <c r="D834" s="38" t="s">
        <v>409</v>
      </c>
      <c r="E834" s="38" t="s">
        <v>352</v>
      </c>
      <c r="F834" s="38" t="s">
        <v>285</v>
      </c>
      <c r="G834" s="38" t="s">
        <v>138</v>
      </c>
      <c r="H834" s="9" t="s">
        <v>228</v>
      </c>
      <c r="I834" s="38" t="s">
        <v>58</v>
      </c>
      <c r="J834" s="38">
        <v>0</v>
      </c>
      <c r="K834">
        <v>0</v>
      </c>
      <c r="L834">
        <v>0</v>
      </c>
      <c r="M834">
        <v>0</v>
      </c>
      <c r="N834" s="38">
        <v>23.22</v>
      </c>
      <c r="O834" s="38"/>
      <c r="P834" s="38" t="s">
        <v>148</v>
      </c>
      <c r="Q834" s="38"/>
    </row>
    <row r="835" spans="1:17" x14ac:dyDescent="0.25">
      <c r="A835" s="39">
        <v>45418</v>
      </c>
      <c r="B835" s="38" t="s">
        <v>24</v>
      </c>
      <c r="C835" s="38" t="s">
        <v>7</v>
      </c>
      <c r="D835" s="38" t="s">
        <v>344</v>
      </c>
      <c r="E835" s="38" t="s">
        <v>379</v>
      </c>
      <c r="F835" s="38" t="s">
        <v>253</v>
      </c>
      <c r="G835" s="38" t="s">
        <v>138</v>
      </c>
      <c r="H835" s="9" t="s">
        <v>229</v>
      </c>
      <c r="I835" s="38" t="s">
        <v>65</v>
      </c>
      <c r="J835" s="38">
        <v>0</v>
      </c>
      <c r="K835">
        <v>0</v>
      </c>
      <c r="L835">
        <v>0</v>
      </c>
      <c r="M835">
        <v>0</v>
      </c>
      <c r="N835" s="38">
        <v>18.37</v>
      </c>
      <c r="O835" s="38"/>
      <c r="P835" s="38" t="s">
        <v>152</v>
      </c>
      <c r="Q835" s="38"/>
    </row>
    <row r="836" spans="1:17" x14ac:dyDescent="0.25">
      <c r="A836" s="39">
        <v>45418</v>
      </c>
      <c r="B836" s="38" t="s">
        <v>75</v>
      </c>
      <c r="C836" s="38" t="s">
        <v>7</v>
      </c>
      <c r="D836" s="38" t="s">
        <v>410</v>
      </c>
      <c r="E836" s="38" t="s">
        <v>202</v>
      </c>
      <c r="F836" s="38" t="s">
        <v>346</v>
      </c>
      <c r="G836" s="38" t="s">
        <v>138</v>
      </c>
      <c r="H836" s="9" t="s">
        <v>230</v>
      </c>
      <c r="I836" s="38" t="s">
        <v>58</v>
      </c>
      <c r="J836" s="38">
        <v>0</v>
      </c>
      <c r="K836">
        <v>0</v>
      </c>
      <c r="L836">
        <v>0</v>
      </c>
      <c r="M836">
        <v>0</v>
      </c>
      <c r="N836" s="38">
        <v>12.9</v>
      </c>
      <c r="O836" s="38"/>
      <c r="P836" s="38" t="s">
        <v>303</v>
      </c>
      <c r="Q836" s="38"/>
    </row>
    <row r="837" spans="1:17" x14ac:dyDescent="0.25">
      <c r="A837" s="39">
        <v>45418</v>
      </c>
      <c r="B837" s="38" t="s">
        <v>25</v>
      </c>
      <c r="C837" s="38" t="s">
        <v>7</v>
      </c>
      <c r="D837" s="38" t="s">
        <v>383</v>
      </c>
      <c r="E837" s="38" t="s">
        <v>81</v>
      </c>
      <c r="F837" s="38" t="s">
        <v>285</v>
      </c>
      <c r="G837" s="38" t="s">
        <v>138</v>
      </c>
      <c r="H837" s="9" t="s">
        <v>231</v>
      </c>
      <c r="I837" s="38" t="s">
        <v>65</v>
      </c>
      <c r="J837" s="38">
        <v>0</v>
      </c>
      <c r="K837">
        <v>0</v>
      </c>
      <c r="L837">
        <v>0</v>
      </c>
      <c r="M837">
        <v>0</v>
      </c>
      <c r="N837" s="38">
        <v>12.16</v>
      </c>
      <c r="O837" s="38"/>
      <c r="P837" s="38" t="s">
        <v>148</v>
      </c>
      <c r="Q837" s="38"/>
    </row>
    <row r="838" spans="1:17" x14ac:dyDescent="0.25">
      <c r="A838" s="39">
        <v>45418</v>
      </c>
      <c r="B838" s="38" t="s">
        <v>74</v>
      </c>
      <c r="C838" s="38" t="s">
        <v>7</v>
      </c>
      <c r="D838" s="38" t="s">
        <v>292</v>
      </c>
      <c r="E838" s="38" t="s">
        <v>60</v>
      </c>
      <c r="F838" s="38" t="s">
        <v>346</v>
      </c>
      <c r="G838" s="38" t="s">
        <v>138</v>
      </c>
      <c r="H838" s="9" t="s">
        <v>232</v>
      </c>
      <c r="I838" s="38" t="s">
        <v>58</v>
      </c>
      <c r="J838" s="38">
        <v>0</v>
      </c>
      <c r="K838">
        <v>0</v>
      </c>
      <c r="L838">
        <v>0</v>
      </c>
      <c r="M838">
        <v>0</v>
      </c>
      <c r="N838" s="38">
        <v>15.61</v>
      </c>
      <c r="O838" s="38"/>
      <c r="P838" s="38" t="s">
        <v>293</v>
      </c>
      <c r="Q838" s="38"/>
    </row>
    <row r="839" spans="1:17" x14ac:dyDescent="0.25">
      <c r="A839" s="39">
        <v>45418</v>
      </c>
      <c r="B839" s="38" t="s">
        <v>26</v>
      </c>
      <c r="C839" s="38" t="s">
        <v>7</v>
      </c>
      <c r="D839" s="38" t="s">
        <v>294</v>
      </c>
      <c r="E839" s="38" t="s">
        <v>56</v>
      </c>
      <c r="F839" s="38" t="s">
        <v>184</v>
      </c>
      <c r="G839" s="38" t="s">
        <v>138</v>
      </c>
      <c r="H839" s="9" t="s">
        <v>233</v>
      </c>
      <c r="I839" s="38" t="s">
        <v>65</v>
      </c>
      <c r="J839" s="38">
        <v>0</v>
      </c>
      <c r="K839">
        <v>0</v>
      </c>
      <c r="L839">
        <v>0</v>
      </c>
      <c r="M839">
        <v>0</v>
      </c>
      <c r="N839" s="38">
        <v>13.29</v>
      </c>
      <c r="O839" s="38"/>
      <c r="P839" s="38" t="s">
        <v>155</v>
      </c>
      <c r="Q839" s="38"/>
    </row>
    <row r="840" spans="1:17" x14ac:dyDescent="0.25">
      <c r="A840" s="39">
        <v>45418</v>
      </c>
      <c r="B840" s="38" t="s">
        <v>27</v>
      </c>
      <c r="C840" s="38" t="s">
        <v>7</v>
      </c>
      <c r="D840" s="38" t="s">
        <v>384</v>
      </c>
      <c r="E840" s="38" t="s">
        <v>366</v>
      </c>
      <c r="F840" s="38" t="s">
        <v>346</v>
      </c>
      <c r="G840" s="38" t="s">
        <v>138</v>
      </c>
      <c r="H840" s="9" t="s">
        <v>234</v>
      </c>
      <c r="I840" s="38" t="s">
        <v>58</v>
      </c>
      <c r="J840" s="38">
        <v>0</v>
      </c>
      <c r="K840">
        <v>0</v>
      </c>
      <c r="L840">
        <v>0</v>
      </c>
      <c r="M840">
        <v>0</v>
      </c>
      <c r="N840" s="38">
        <v>13.89</v>
      </c>
      <c r="O840" s="38"/>
      <c r="P840" s="38" t="s">
        <v>269</v>
      </c>
      <c r="Q840" s="38"/>
    </row>
    <row r="841" spans="1:17" x14ac:dyDescent="0.25">
      <c r="A841" s="39">
        <v>45418</v>
      </c>
      <c r="B841" s="38" t="s">
        <v>28</v>
      </c>
      <c r="C841" s="38" t="s">
        <v>7</v>
      </c>
      <c r="D841" s="38" t="s">
        <v>411</v>
      </c>
      <c r="E841" s="38" t="s">
        <v>56</v>
      </c>
      <c r="F841" s="38" t="s">
        <v>338</v>
      </c>
      <c r="G841" s="38" t="s">
        <v>138</v>
      </c>
      <c r="H841" s="9" t="s">
        <v>235</v>
      </c>
      <c r="I841" s="38" t="s">
        <v>65</v>
      </c>
      <c r="J841" s="38">
        <v>0</v>
      </c>
      <c r="K841">
        <v>0</v>
      </c>
      <c r="L841">
        <v>0</v>
      </c>
      <c r="M841">
        <v>0</v>
      </c>
      <c r="N841" s="38">
        <v>13.9</v>
      </c>
      <c r="O841" s="38"/>
      <c r="P841" s="38" t="s">
        <v>155</v>
      </c>
      <c r="Q841" s="38"/>
    </row>
    <row r="842" spans="1:17" x14ac:dyDescent="0.25">
      <c r="A842" s="39">
        <v>45418</v>
      </c>
      <c r="B842" s="38" t="s">
        <v>72</v>
      </c>
      <c r="C842" s="38" t="s">
        <v>7</v>
      </c>
      <c r="D842" s="38" t="s">
        <v>322</v>
      </c>
      <c r="E842" s="38" t="s">
        <v>202</v>
      </c>
      <c r="F842" s="38" t="s">
        <v>346</v>
      </c>
      <c r="G842" s="38" t="s">
        <v>138</v>
      </c>
      <c r="H842" s="9" t="s">
        <v>422</v>
      </c>
      <c r="I842" s="38" t="s">
        <v>58</v>
      </c>
      <c r="J842" s="38">
        <v>0</v>
      </c>
      <c r="K842">
        <v>0</v>
      </c>
      <c r="L842">
        <v>0</v>
      </c>
      <c r="M842">
        <v>0</v>
      </c>
      <c r="N842" s="38">
        <v>15.45</v>
      </c>
      <c r="O842" s="38"/>
      <c r="P842" s="38" t="s">
        <v>157</v>
      </c>
      <c r="Q842" s="38"/>
    </row>
    <row r="843" spans="1:17" x14ac:dyDescent="0.25">
      <c r="A843" s="39">
        <v>45418</v>
      </c>
      <c r="B843" s="38" t="s">
        <v>29</v>
      </c>
      <c r="C843" s="38" t="s">
        <v>7</v>
      </c>
      <c r="D843" s="38" t="s">
        <v>315</v>
      </c>
      <c r="E843" s="38" t="s">
        <v>56</v>
      </c>
      <c r="F843" s="38" t="s">
        <v>338</v>
      </c>
      <c r="G843" s="38" t="s">
        <v>138</v>
      </c>
      <c r="H843" s="9" t="s">
        <v>236</v>
      </c>
      <c r="I843" s="38" t="s">
        <v>65</v>
      </c>
      <c r="J843" s="38">
        <v>0</v>
      </c>
      <c r="K843">
        <v>0</v>
      </c>
      <c r="L843">
        <v>0</v>
      </c>
      <c r="M843">
        <v>0</v>
      </c>
      <c r="N843" s="38">
        <v>13.98</v>
      </c>
      <c r="O843" s="38"/>
      <c r="P843" s="38" t="s">
        <v>156</v>
      </c>
      <c r="Q843" s="38"/>
    </row>
    <row r="844" spans="1:17" x14ac:dyDescent="0.25">
      <c r="A844" s="39">
        <v>45418</v>
      </c>
      <c r="B844" s="38" t="s">
        <v>30</v>
      </c>
      <c r="C844" s="38" t="s">
        <v>7</v>
      </c>
      <c r="D844" s="38" t="s">
        <v>305</v>
      </c>
      <c r="E844" s="38" t="s">
        <v>81</v>
      </c>
      <c r="F844" s="38" t="s">
        <v>90</v>
      </c>
      <c r="G844" s="38" t="s">
        <v>138</v>
      </c>
      <c r="H844" s="9" t="s">
        <v>71</v>
      </c>
      <c r="I844" s="38" t="s">
        <v>58</v>
      </c>
      <c r="J844" s="38">
        <v>0</v>
      </c>
      <c r="K844">
        <v>0</v>
      </c>
      <c r="L844">
        <v>0</v>
      </c>
      <c r="M844">
        <v>0</v>
      </c>
      <c r="N844" s="38">
        <v>10.84</v>
      </c>
      <c r="O844" s="38"/>
      <c r="P844" s="38" t="s">
        <v>150</v>
      </c>
      <c r="Q844" s="38"/>
    </row>
    <row r="845" spans="1:17" x14ac:dyDescent="0.25">
      <c r="A845" s="39">
        <v>45418</v>
      </c>
      <c r="B845" s="38" t="s">
        <v>31</v>
      </c>
      <c r="C845" s="38" t="s">
        <v>7</v>
      </c>
      <c r="D845" s="38"/>
      <c r="E845" s="38" t="s">
        <v>56</v>
      </c>
      <c r="F845" s="38"/>
      <c r="G845" s="38" t="s">
        <v>138</v>
      </c>
      <c r="H845" s="9" t="s">
        <v>70</v>
      </c>
      <c r="I845" s="38" t="s">
        <v>65</v>
      </c>
      <c r="J845" s="38">
        <v>0</v>
      </c>
      <c r="K845">
        <v>0</v>
      </c>
      <c r="L845">
        <v>0</v>
      </c>
      <c r="M845">
        <v>0</v>
      </c>
      <c r="N845" s="38">
        <v>13.5</v>
      </c>
      <c r="O845" s="38"/>
      <c r="P845" s="38" t="s">
        <v>156</v>
      </c>
      <c r="Q845" s="38"/>
    </row>
    <row r="846" spans="1:17" x14ac:dyDescent="0.25">
      <c r="A846" s="39">
        <v>45418</v>
      </c>
      <c r="B846" s="38" t="s">
        <v>32</v>
      </c>
      <c r="C846" s="38" t="s">
        <v>7</v>
      </c>
      <c r="D846" s="38" t="s">
        <v>413</v>
      </c>
      <c r="E846" s="38" t="s">
        <v>202</v>
      </c>
      <c r="F846" s="38" t="s">
        <v>346</v>
      </c>
      <c r="G846" s="38" t="s">
        <v>138</v>
      </c>
      <c r="H846" s="9" t="s">
        <v>69</v>
      </c>
      <c r="I846" s="38" t="s">
        <v>58</v>
      </c>
      <c r="J846" s="38">
        <v>0</v>
      </c>
      <c r="K846">
        <v>0</v>
      </c>
      <c r="L846">
        <v>0</v>
      </c>
      <c r="M846">
        <v>0</v>
      </c>
      <c r="N846" s="38">
        <v>14.39</v>
      </c>
      <c r="O846" s="38"/>
      <c r="P846" s="38" t="s">
        <v>414</v>
      </c>
      <c r="Q846" s="38"/>
    </row>
    <row r="847" spans="1:17" x14ac:dyDescent="0.25">
      <c r="A847" s="39">
        <v>45418</v>
      </c>
      <c r="B847" s="38" t="s">
        <v>67</v>
      </c>
      <c r="C847" s="38" t="s">
        <v>7</v>
      </c>
      <c r="D847" s="38" t="s">
        <v>354</v>
      </c>
      <c r="E847" s="38" t="s">
        <v>56</v>
      </c>
      <c r="F847" s="38" t="s">
        <v>367</v>
      </c>
      <c r="G847" s="38" t="s">
        <v>138</v>
      </c>
      <c r="H847" s="9" t="s">
        <v>68</v>
      </c>
      <c r="I847" s="38" t="s">
        <v>65</v>
      </c>
      <c r="J847" s="38">
        <v>0</v>
      </c>
      <c r="K847">
        <v>0</v>
      </c>
      <c r="L847">
        <v>0</v>
      </c>
      <c r="M847">
        <v>0</v>
      </c>
      <c r="N847" s="38">
        <v>13.8</v>
      </c>
      <c r="O847" s="38"/>
      <c r="P847" s="38" t="s">
        <v>156</v>
      </c>
      <c r="Q847" s="38"/>
    </row>
    <row r="848" spans="1:17" x14ac:dyDescent="0.25">
      <c r="A848" s="39">
        <v>45418</v>
      </c>
      <c r="B848" s="38" t="s">
        <v>33</v>
      </c>
      <c r="C848" s="38" t="s">
        <v>7</v>
      </c>
      <c r="D848" s="38" t="s">
        <v>277</v>
      </c>
      <c r="E848" s="38" t="s">
        <v>73</v>
      </c>
      <c r="F848" s="38" t="s">
        <v>346</v>
      </c>
      <c r="G848" s="38" t="s">
        <v>138</v>
      </c>
      <c r="H848" s="9" t="s">
        <v>66</v>
      </c>
      <c r="I848" s="38" t="s">
        <v>58</v>
      </c>
      <c r="J848" s="38">
        <v>0</v>
      </c>
      <c r="K848">
        <v>0</v>
      </c>
      <c r="L848">
        <v>0</v>
      </c>
      <c r="M848">
        <v>0</v>
      </c>
      <c r="N848" s="38">
        <v>14.19</v>
      </c>
      <c r="O848" s="38"/>
      <c r="P848" s="38" t="s">
        <v>201</v>
      </c>
      <c r="Q848" s="38"/>
    </row>
    <row r="849" spans="1:17" x14ac:dyDescent="0.25">
      <c r="A849" s="39">
        <v>45418</v>
      </c>
      <c r="B849" s="38" t="s">
        <v>34</v>
      </c>
      <c r="C849" s="38" t="s">
        <v>7</v>
      </c>
      <c r="D849" s="38" t="s">
        <v>415</v>
      </c>
      <c r="E849" s="38" t="s">
        <v>56</v>
      </c>
      <c r="F849" s="38" t="s">
        <v>346</v>
      </c>
      <c r="G849" s="38" t="s">
        <v>138</v>
      </c>
      <c r="H849" s="9" t="s">
        <v>64</v>
      </c>
      <c r="I849" s="38" t="s">
        <v>65</v>
      </c>
      <c r="J849" s="38">
        <v>0</v>
      </c>
      <c r="K849">
        <v>0</v>
      </c>
      <c r="L849">
        <v>0</v>
      </c>
      <c r="M849">
        <v>0</v>
      </c>
      <c r="N849" s="38">
        <v>15.6</v>
      </c>
      <c r="O849" s="38"/>
      <c r="P849" s="38" t="s">
        <v>416</v>
      </c>
      <c r="Q849" s="38"/>
    </row>
    <row r="850" spans="1:17" x14ac:dyDescent="0.25">
      <c r="A850" s="39">
        <v>45418</v>
      </c>
      <c r="B850" s="38" t="s">
        <v>35</v>
      </c>
      <c r="C850" s="38" t="s">
        <v>7</v>
      </c>
      <c r="D850" s="38" t="s">
        <v>331</v>
      </c>
      <c r="E850" s="38" t="s">
        <v>60</v>
      </c>
      <c r="F850" s="38" t="s">
        <v>346</v>
      </c>
      <c r="G850" s="38" t="s">
        <v>138</v>
      </c>
      <c r="H850" s="9" t="s">
        <v>237</v>
      </c>
      <c r="I850" s="38" t="s">
        <v>58</v>
      </c>
      <c r="J850" s="38">
        <v>0</v>
      </c>
      <c r="K850">
        <v>0</v>
      </c>
      <c r="L850">
        <v>0</v>
      </c>
      <c r="M850">
        <v>0</v>
      </c>
      <c r="N850" s="38">
        <v>14.64</v>
      </c>
      <c r="O850" s="38"/>
      <c r="P850" s="38" t="s">
        <v>158</v>
      </c>
      <c r="Q850" s="38"/>
    </row>
    <row r="851" spans="1:17" x14ac:dyDescent="0.25">
      <c r="A851" s="39">
        <v>45418</v>
      </c>
      <c r="B851" s="38" t="s">
        <v>418</v>
      </c>
      <c r="C851" s="38" t="s">
        <v>7</v>
      </c>
      <c r="D851" s="38"/>
      <c r="E851" s="38"/>
      <c r="F851" s="38"/>
      <c r="G851" s="38" t="s">
        <v>138</v>
      </c>
      <c r="H851" s="9" t="s">
        <v>240</v>
      </c>
      <c r="I851" s="38" t="s">
        <v>262</v>
      </c>
      <c r="J851" s="38">
        <v>0</v>
      </c>
      <c r="K851">
        <v>0</v>
      </c>
      <c r="L851">
        <v>0</v>
      </c>
      <c r="M851">
        <v>0</v>
      </c>
      <c r="N851" s="38">
        <v>17.670000000000002</v>
      </c>
      <c r="O851" s="38"/>
      <c r="P851" s="38"/>
      <c r="Q851" s="38"/>
    </row>
    <row r="852" spans="1:17" x14ac:dyDescent="0.25">
      <c r="A852" s="39">
        <v>45418</v>
      </c>
      <c r="B852" s="38" t="s">
        <v>419</v>
      </c>
      <c r="C852" s="38" t="s">
        <v>7</v>
      </c>
      <c r="D852" s="38"/>
      <c r="E852" s="38"/>
      <c r="F852" s="38"/>
      <c r="G852" s="38" t="s">
        <v>138</v>
      </c>
      <c r="H852" s="9" t="s">
        <v>240</v>
      </c>
      <c r="I852" s="38" t="s">
        <v>262</v>
      </c>
      <c r="J852" s="38">
        <v>0</v>
      </c>
      <c r="K852">
        <v>0</v>
      </c>
      <c r="L852">
        <v>0</v>
      </c>
      <c r="M852">
        <v>0</v>
      </c>
      <c r="N852" s="38">
        <v>13.49</v>
      </c>
      <c r="O852" s="38"/>
      <c r="P852" s="38"/>
      <c r="Q852" s="38"/>
    </row>
    <row r="853" spans="1:17" x14ac:dyDescent="0.25">
      <c r="A853" s="39">
        <v>45418</v>
      </c>
      <c r="B853" s="38" t="s">
        <v>36</v>
      </c>
      <c r="C853" s="38" t="s">
        <v>7</v>
      </c>
      <c r="D853" s="38" t="s">
        <v>295</v>
      </c>
      <c r="E853" s="38" t="s">
        <v>81</v>
      </c>
      <c r="F853" s="38" t="s">
        <v>369</v>
      </c>
      <c r="G853" s="38" t="s">
        <v>138</v>
      </c>
      <c r="H853" s="9" t="s">
        <v>423</v>
      </c>
      <c r="I853" s="38" t="s">
        <v>58</v>
      </c>
      <c r="J853" s="38">
        <v>0</v>
      </c>
      <c r="K853">
        <v>0</v>
      </c>
      <c r="L853">
        <v>0</v>
      </c>
      <c r="M853">
        <v>0</v>
      </c>
      <c r="N853" s="38">
        <v>38472557</v>
      </c>
      <c r="O853" s="38"/>
      <c r="P853" s="38" t="s">
        <v>156</v>
      </c>
      <c r="Q853" s="38"/>
    </row>
    <row r="854" spans="1:17" x14ac:dyDescent="0.25">
      <c r="A854" s="39">
        <v>45418</v>
      </c>
      <c r="B854" s="38" t="s">
        <v>256</v>
      </c>
      <c r="C854" s="38" t="s">
        <v>7</v>
      </c>
      <c r="D854" s="38" t="s">
        <v>392</v>
      </c>
      <c r="E854" s="38" t="s">
        <v>417</v>
      </c>
      <c r="F854" s="38" t="s">
        <v>192</v>
      </c>
      <c r="G854" s="38" t="s">
        <v>138</v>
      </c>
      <c r="H854" s="9"/>
      <c r="I854" s="38" t="s">
        <v>262</v>
      </c>
      <c r="J854" s="38">
        <v>0</v>
      </c>
      <c r="K854">
        <v>0</v>
      </c>
      <c r="L854">
        <v>0</v>
      </c>
      <c r="M854">
        <v>0</v>
      </c>
      <c r="N854" s="38">
        <v>0</v>
      </c>
      <c r="O854" s="38"/>
      <c r="P854" s="38" t="s">
        <v>149</v>
      </c>
      <c r="Q854" s="38"/>
    </row>
    <row r="855" spans="1:17" x14ac:dyDescent="0.25">
      <c r="A855" s="39">
        <v>45418</v>
      </c>
      <c r="B855" s="38" t="s">
        <v>257</v>
      </c>
      <c r="C855" s="38" t="s">
        <v>7</v>
      </c>
      <c r="D855" s="38" t="s">
        <v>392</v>
      </c>
      <c r="E855" s="38" t="s">
        <v>417</v>
      </c>
      <c r="F855" s="38" t="s">
        <v>192</v>
      </c>
      <c r="G855" s="38" t="s">
        <v>138</v>
      </c>
      <c r="H855" s="9"/>
      <c r="I855" s="38" t="s">
        <v>58</v>
      </c>
      <c r="J855" s="38">
        <v>0</v>
      </c>
      <c r="K855">
        <v>0</v>
      </c>
      <c r="L855">
        <v>0</v>
      </c>
      <c r="M855">
        <v>0</v>
      </c>
      <c r="N855" s="38">
        <v>38.46</v>
      </c>
      <c r="O855" s="38"/>
      <c r="P855" s="38" t="s">
        <v>149</v>
      </c>
      <c r="Q855" s="38"/>
    </row>
    <row r="856" spans="1:17" x14ac:dyDescent="0.25">
      <c r="A856" s="39">
        <v>45418</v>
      </c>
      <c r="B856" s="38" t="s">
        <v>37</v>
      </c>
      <c r="C856" s="38" t="s">
        <v>7</v>
      </c>
      <c r="D856" s="38" t="s">
        <v>347</v>
      </c>
      <c r="E856" s="38" t="s">
        <v>348</v>
      </c>
      <c r="F856" s="38" t="s">
        <v>346</v>
      </c>
      <c r="G856" s="38" t="s">
        <v>138</v>
      </c>
      <c r="H856" s="9" t="s">
        <v>425</v>
      </c>
      <c r="I856" s="38" t="s">
        <v>58</v>
      </c>
      <c r="J856" s="38">
        <v>0</v>
      </c>
      <c r="K856">
        <v>0</v>
      </c>
      <c r="L856">
        <v>0</v>
      </c>
      <c r="M856">
        <v>0</v>
      </c>
      <c r="N856" s="38">
        <v>13.5</v>
      </c>
      <c r="O856" s="38"/>
      <c r="P856" s="38" t="s">
        <v>270</v>
      </c>
      <c r="Q856" s="38"/>
    </row>
    <row r="857" spans="1:17" x14ac:dyDescent="0.25">
      <c r="A857" s="39">
        <v>45418</v>
      </c>
      <c r="B857" s="38" t="s">
        <v>258</v>
      </c>
      <c r="C857" s="38" t="s">
        <v>7</v>
      </c>
      <c r="D857" s="38"/>
      <c r="E857" s="38"/>
      <c r="F857" s="38"/>
      <c r="G857" s="38" t="s">
        <v>138</v>
      </c>
      <c r="H857" s="9" t="s">
        <v>426</v>
      </c>
      <c r="I857" s="38" t="s">
        <v>262</v>
      </c>
      <c r="J857" s="38">
        <v>0</v>
      </c>
      <c r="K857">
        <v>0</v>
      </c>
      <c r="L857">
        <v>0</v>
      </c>
      <c r="M857">
        <v>0</v>
      </c>
      <c r="N857" s="38">
        <v>13.5</v>
      </c>
      <c r="O857" s="38"/>
      <c r="P857" s="38" t="s">
        <v>148</v>
      </c>
      <c r="Q857" s="38"/>
    </row>
    <row r="858" spans="1:17" x14ac:dyDescent="0.25">
      <c r="A858" s="39">
        <v>45418</v>
      </c>
      <c r="B858" s="38" t="s">
        <v>259</v>
      </c>
      <c r="C858" s="38" t="s">
        <v>7</v>
      </c>
      <c r="D858" s="38"/>
      <c r="E858" s="38"/>
      <c r="F858" s="38"/>
      <c r="G858" s="38" t="s">
        <v>138</v>
      </c>
      <c r="H858" s="9" t="s">
        <v>426</v>
      </c>
      <c r="I858" s="38" t="s">
        <v>262</v>
      </c>
      <c r="J858" s="38">
        <v>0</v>
      </c>
      <c r="K858">
        <v>0</v>
      </c>
      <c r="L858">
        <v>0</v>
      </c>
      <c r="M858">
        <v>0</v>
      </c>
      <c r="N858" s="38">
        <v>41.06</v>
      </c>
      <c r="O858" s="38"/>
      <c r="P858" s="38" t="s">
        <v>148</v>
      </c>
      <c r="Q858" s="38"/>
    </row>
    <row r="859" spans="1:17" x14ac:dyDescent="0.25">
      <c r="A859" s="39">
        <v>45418</v>
      </c>
      <c r="B859" s="38" t="s">
        <v>54</v>
      </c>
      <c r="C859" s="38" t="s">
        <v>7</v>
      </c>
      <c r="D859" s="38" t="s">
        <v>55</v>
      </c>
      <c r="E859" s="38" t="s">
        <v>56</v>
      </c>
      <c r="F859" s="38" t="s">
        <v>57</v>
      </c>
      <c r="G859" s="38" t="s">
        <v>138</v>
      </c>
      <c r="H859" s="9" t="s">
        <v>427</v>
      </c>
      <c r="I859" s="38" t="s">
        <v>58</v>
      </c>
      <c r="J859" s="38">
        <v>0</v>
      </c>
      <c r="K859">
        <v>0</v>
      </c>
      <c r="L859">
        <v>0</v>
      </c>
      <c r="M859">
        <v>0</v>
      </c>
      <c r="N859" s="38">
        <v>41.06</v>
      </c>
      <c r="O859" s="38"/>
      <c r="P859" s="38" t="s">
        <v>159</v>
      </c>
      <c r="Q859" s="38"/>
    </row>
    <row r="860" spans="1:17" x14ac:dyDescent="0.25">
      <c r="A860" s="39">
        <v>45418</v>
      </c>
      <c r="B860" s="38" t="s">
        <v>136</v>
      </c>
      <c r="C860" s="38" t="s">
        <v>8</v>
      </c>
      <c r="D860" s="38" t="s">
        <v>174</v>
      </c>
      <c r="E860" s="38" t="s">
        <v>81</v>
      </c>
      <c r="F860" s="38" t="s">
        <v>90</v>
      </c>
      <c r="G860" s="38" t="s">
        <v>138</v>
      </c>
      <c r="H860" s="9" t="s">
        <v>160</v>
      </c>
      <c r="I860" s="38" t="s">
        <v>58</v>
      </c>
      <c r="J860" s="38">
        <v>0</v>
      </c>
      <c r="K860">
        <v>0</v>
      </c>
      <c r="L860">
        <v>0</v>
      </c>
      <c r="M860">
        <v>0</v>
      </c>
      <c r="N860" s="38">
        <v>42144554</v>
      </c>
      <c r="O860" s="38"/>
      <c r="P860" s="38" t="s">
        <v>153</v>
      </c>
      <c r="Q860" s="38"/>
    </row>
    <row r="861" spans="1:17" x14ac:dyDescent="0.25">
      <c r="A861" s="39">
        <v>45418</v>
      </c>
      <c r="B861" t="s">
        <v>135</v>
      </c>
      <c r="C861" s="38" t="s">
        <v>8</v>
      </c>
      <c r="D861" t="s">
        <v>332</v>
      </c>
      <c r="E861" t="s">
        <v>81</v>
      </c>
      <c r="F861" t="s">
        <v>90</v>
      </c>
      <c r="G861" t="s">
        <v>138</v>
      </c>
      <c r="H861" s="9" t="s">
        <v>161</v>
      </c>
      <c r="I861" t="s">
        <v>58</v>
      </c>
      <c r="J861">
        <v>0</v>
      </c>
      <c r="K861">
        <v>0</v>
      </c>
      <c r="L861">
        <v>0</v>
      </c>
      <c r="M861">
        <v>0</v>
      </c>
      <c r="N861">
        <v>24.09</v>
      </c>
      <c r="P861" t="s">
        <v>148</v>
      </c>
      <c r="Q861" s="38"/>
    </row>
    <row r="862" spans="1:17" x14ac:dyDescent="0.25">
      <c r="A862" s="39">
        <v>45418</v>
      </c>
      <c r="B862" t="s">
        <v>134</v>
      </c>
      <c r="C862" s="38" t="s">
        <v>8</v>
      </c>
      <c r="D862" t="s">
        <v>175</v>
      </c>
      <c r="E862" t="s">
        <v>81</v>
      </c>
      <c r="F862" t="s">
        <v>90</v>
      </c>
      <c r="G862" t="s">
        <v>138</v>
      </c>
      <c r="H862" s="9" t="s">
        <v>206</v>
      </c>
      <c r="I862" t="s">
        <v>58</v>
      </c>
      <c r="J862">
        <v>0</v>
      </c>
      <c r="K862">
        <v>0</v>
      </c>
      <c r="L862">
        <v>0</v>
      </c>
      <c r="M862">
        <v>0</v>
      </c>
      <c r="N862">
        <v>0</v>
      </c>
      <c r="P862" t="s">
        <v>148</v>
      </c>
      <c r="Q862" s="38"/>
    </row>
    <row r="863" spans="1:17" x14ac:dyDescent="0.25">
      <c r="A863" s="39">
        <v>45418</v>
      </c>
      <c r="B863" t="s">
        <v>132</v>
      </c>
      <c r="C863" s="38" t="s">
        <v>8</v>
      </c>
      <c r="D863" t="s">
        <v>133</v>
      </c>
      <c r="E863" t="s">
        <v>126</v>
      </c>
      <c r="F863" t="s">
        <v>199</v>
      </c>
      <c r="G863" t="s">
        <v>138</v>
      </c>
      <c r="H863" s="9" t="s">
        <v>162</v>
      </c>
      <c r="I863" t="s">
        <v>58</v>
      </c>
      <c r="J863">
        <v>0</v>
      </c>
      <c r="K863">
        <v>0</v>
      </c>
      <c r="L863">
        <v>0</v>
      </c>
      <c r="M863">
        <v>0</v>
      </c>
      <c r="N863">
        <v>38.369999999999997</v>
      </c>
      <c r="P863" t="s">
        <v>149</v>
      </c>
      <c r="Q863" s="38"/>
    </row>
    <row r="864" spans="1:17" x14ac:dyDescent="0.25">
      <c r="A864" s="39">
        <v>45418</v>
      </c>
      <c r="B864" t="s">
        <v>131</v>
      </c>
      <c r="C864" s="38" t="s">
        <v>8</v>
      </c>
      <c r="D864" t="s">
        <v>396</v>
      </c>
      <c r="E864" t="s">
        <v>60</v>
      </c>
      <c r="F864" t="s">
        <v>90</v>
      </c>
      <c r="G864" t="s">
        <v>138</v>
      </c>
      <c r="H864" s="9" t="s">
        <v>163</v>
      </c>
      <c r="I864" t="s">
        <v>58</v>
      </c>
      <c r="J864">
        <v>0</v>
      </c>
      <c r="K864">
        <v>0</v>
      </c>
      <c r="L864">
        <v>0</v>
      </c>
      <c r="M864">
        <v>0</v>
      </c>
      <c r="N864">
        <v>23.93</v>
      </c>
      <c r="P864" t="s">
        <v>154</v>
      </c>
      <c r="Q864" s="38"/>
    </row>
    <row r="865" spans="1:17" x14ac:dyDescent="0.25">
      <c r="A865" s="39">
        <v>45418</v>
      </c>
      <c r="B865" t="s">
        <v>130</v>
      </c>
      <c r="C865" s="38" t="s">
        <v>8</v>
      </c>
      <c r="D865" t="s">
        <v>191</v>
      </c>
      <c r="E865" t="s">
        <v>81</v>
      </c>
      <c r="F865" t="s">
        <v>285</v>
      </c>
      <c r="G865" t="s">
        <v>138</v>
      </c>
      <c r="H865" s="9" t="s">
        <v>420</v>
      </c>
      <c r="I865" t="s">
        <v>58</v>
      </c>
      <c r="J865">
        <v>0</v>
      </c>
      <c r="K865">
        <v>0</v>
      </c>
      <c r="L865">
        <v>0</v>
      </c>
      <c r="M865">
        <v>0</v>
      </c>
      <c r="N865">
        <v>14.99</v>
      </c>
      <c r="P865" t="s">
        <v>148</v>
      </c>
      <c r="Q865" s="38"/>
    </row>
    <row r="866" spans="1:17" x14ac:dyDescent="0.25">
      <c r="A866" s="39">
        <v>45418</v>
      </c>
      <c r="B866" t="s">
        <v>128</v>
      </c>
      <c r="C866" s="38" t="s">
        <v>8</v>
      </c>
      <c r="D866" t="s">
        <v>129</v>
      </c>
      <c r="E866" t="s">
        <v>126</v>
      </c>
      <c r="F866" t="s">
        <v>199</v>
      </c>
      <c r="G866" t="s">
        <v>138</v>
      </c>
      <c r="H866" s="9" t="s">
        <v>164</v>
      </c>
      <c r="I866" t="s">
        <v>58</v>
      </c>
      <c r="J866">
        <v>0</v>
      </c>
      <c r="K866">
        <v>0</v>
      </c>
      <c r="L866">
        <v>0</v>
      </c>
      <c r="M866">
        <v>0</v>
      </c>
      <c r="N866">
        <v>41.06</v>
      </c>
      <c r="P866" t="s">
        <v>149</v>
      </c>
      <c r="Q866" s="38"/>
    </row>
    <row r="867" spans="1:17" x14ac:dyDescent="0.25">
      <c r="A867" s="39">
        <v>45418</v>
      </c>
      <c r="B867" t="s">
        <v>40</v>
      </c>
      <c r="C867" s="38" t="s">
        <v>8</v>
      </c>
      <c r="D867" t="s">
        <v>397</v>
      </c>
      <c r="E867" t="s">
        <v>60</v>
      </c>
      <c r="F867" t="s">
        <v>200</v>
      </c>
      <c r="G867" t="s">
        <v>138</v>
      </c>
      <c r="H867" s="9" t="s">
        <v>165</v>
      </c>
      <c r="I867" t="s">
        <v>58</v>
      </c>
      <c r="J867">
        <v>0</v>
      </c>
      <c r="K867">
        <v>0</v>
      </c>
      <c r="L867">
        <v>0</v>
      </c>
      <c r="M867">
        <v>0</v>
      </c>
      <c r="N867">
        <v>14.92</v>
      </c>
      <c r="P867" t="s">
        <v>153</v>
      </c>
      <c r="Q867" s="38"/>
    </row>
    <row r="868" spans="1:17" x14ac:dyDescent="0.25">
      <c r="A868" s="39">
        <v>45418</v>
      </c>
      <c r="B868" t="s">
        <v>127</v>
      </c>
      <c r="C868" s="38" t="s">
        <v>8</v>
      </c>
      <c r="D868" t="s">
        <v>203</v>
      </c>
      <c r="E868" t="s">
        <v>81</v>
      </c>
      <c r="F868" t="s">
        <v>285</v>
      </c>
      <c r="G868" t="s">
        <v>138</v>
      </c>
      <c r="H868" s="9" t="s">
        <v>207</v>
      </c>
      <c r="I868" t="s">
        <v>58</v>
      </c>
      <c r="J868">
        <v>0</v>
      </c>
      <c r="K868">
        <v>0</v>
      </c>
      <c r="L868">
        <v>0</v>
      </c>
      <c r="M868">
        <v>0</v>
      </c>
      <c r="N868">
        <v>20.85</v>
      </c>
      <c r="P868" t="s">
        <v>151</v>
      </c>
      <c r="Q868" s="38"/>
    </row>
    <row r="869" spans="1:17" x14ac:dyDescent="0.25">
      <c r="A869" s="39">
        <v>45418</v>
      </c>
      <c r="B869" t="s">
        <v>124</v>
      </c>
      <c r="C869" s="38" t="s">
        <v>8</v>
      </c>
      <c r="D869" t="s">
        <v>340</v>
      </c>
      <c r="E869" t="s">
        <v>126</v>
      </c>
      <c r="F869" t="s">
        <v>199</v>
      </c>
      <c r="G869" t="s">
        <v>138</v>
      </c>
      <c r="H869" s="9" t="s">
        <v>166</v>
      </c>
      <c r="I869" t="s">
        <v>58</v>
      </c>
      <c r="J869">
        <v>0</v>
      </c>
      <c r="K869">
        <v>0</v>
      </c>
      <c r="L869">
        <v>0</v>
      </c>
      <c r="M869">
        <v>0</v>
      </c>
      <c r="N869">
        <v>39863813</v>
      </c>
      <c r="P869" t="s">
        <v>149</v>
      </c>
      <c r="Q869" s="38"/>
    </row>
    <row r="870" spans="1:17" x14ac:dyDescent="0.25">
      <c r="A870" s="39">
        <v>45418</v>
      </c>
      <c r="B870" t="s">
        <v>122</v>
      </c>
      <c r="C870" s="38" t="s">
        <v>8</v>
      </c>
      <c r="D870" t="s">
        <v>356</v>
      </c>
      <c r="E870" t="s">
        <v>81</v>
      </c>
      <c r="F870" t="s">
        <v>90</v>
      </c>
      <c r="G870" t="s">
        <v>138</v>
      </c>
      <c r="H870" s="9" t="s">
        <v>167</v>
      </c>
      <c r="I870" t="s">
        <v>58</v>
      </c>
      <c r="J870">
        <v>0</v>
      </c>
      <c r="K870">
        <v>0</v>
      </c>
      <c r="L870">
        <v>0</v>
      </c>
      <c r="M870">
        <v>0</v>
      </c>
      <c r="N870">
        <v>20.9</v>
      </c>
      <c r="P870" t="s">
        <v>148</v>
      </c>
      <c r="Q870" s="38"/>
    </row>
    <row r="871" spans="1:17" x14ac:dyDescent="0.25">
      <c r="A871" s="39">
        <v>45418</v>
      </c>
      <c r="B871" t="s">
        <v>120</v>
      </c>
      <c r="C871" s="38" t="s">
        <v>8</v>
      </c>
      <c r="D871" t="s">
        <v>333</v>
      </c>
      <c r="E871" t="s">
        <v>375</v>
      </c>
      <c r="F871" t="s">
        <v>285</v>
      </c>
      <c r="G871" t="s">
        <v>138</v>
      </c>
      <c r="H871" s="9" t="s">
        <v>121</v>
      </c>
      <c r="I871" t="s">
        <v>58</v>
      </c>
      <c r="J871">
        <v>0</v>
      </c>
      <c r="K871">
        <v>0</v>
      </c>
      <c r="L871">
        <v>0</v>
      </c>
      <c r="M871">
        <v>0</v>
      </c>
      <c r="N871">
        <v>41.69</v>
      </c>
      <c r="P871" t="s">
        <v>151</v>
      </c>
      <c r="Q871" s="38"/>
    </row>
    <row r="872" spans="1:17" x14ac:dyDescent="0.25">
      <c r="A872" s="39">
        <v>45418</v>
      </c>
      <c r="B872" t="s">
        <v>119</v>
      </c>
      <c r="C872" s="38" t="s">
        <v>8</v>
      </c>
      <c r="D872" t="s">
        <v>178</v>
      </c>
      <c r="E872" t="s">
        <v>399</v>
      </c>
      <c r="F872" t="s">
        <v>192</v>
      </c>
      <c r="G872" t="s">
        <v>138</v>
      </c>
      <c r="H872" s="9" t="s">
        <v>168</v>
      </c>
      <c r="I872" t="s">
        <v>58</v>
      </c>
      <c r="J872">
        <v>0</v>
      </c>
      <c r="K872">
        <v>0</v>
      </c>
      <c r="L872">
        <v>0</v>
      </c>
      <c r="M872">
        <v>0</v>
      </c>
      <c r="N872">
        <v>41.62</v>
      </c>
      <c r="P872" t="s">
        <v>149</v>
      </c>
      <c r="Q872" s="38"/>
    </row>
    <row r="873" spans="1:17" x14ac:dyDescent="0.25">
      <c r="A873" s="39">
        <v>45418</v>
      </c>
      <c r="B873" t="s">
        <v>117</v>
      </c>
      <c r="C873" s="38" t="s">
        <v>8</v>
      </c>
      <c r="D873" t="s">
        <v>349</v>
      </c>
      <c r="E873" t="s">
        <v>398</v>
      </c>
      <c r="F873" t="s">
        <v>90</v>
      </c>
      <c r="G873" t="s">
        <v>138</v>
      </c>
      <c r="H873" s="9" t="s">
        <v>118</v>
      </c>
      <c r="I873" t="s">
        <v>58</v>
      </c>
      <c r="J873">
        <v>0</v>
      </c>
      <c r="K873">
        <v>0</v>
      </c>
      <c r="L873">
        <v>0</v>
      </c>
      <c r="M873">
        <v>0</v>
      </c>
      <c r="N873">
        <v>34.69</v>
      </c>
      <c r="P873" t="s">
        <v>151</v>
      </c>
      <c r="Q873" s="38"/>
    </row>
    <row r="874" spans="1:17" x14ac:dyDescent="0.25">
      <c r="A874" s="39">
        <v>45418</v>
      </c>
      <c r="B874" t="s">
        <v>39</v>
      </c>
      <c r="C874" s="38" t="s">
        <v>8</v>
      </c>
      <c r="D874" t="s">
        <v>177</v>
      </c>
      <c r="E874" t="s">
        <v>377</v>
      </c>
      <c r="F874" t="s">
        <v>90</v>
      </c>
      <c r="G874" t="s">
        <v>138</v>
      </c>
      <c r="H874" s="9" t="s">
        <v>116</v>
      </c>
      <c r="I874" t="s">
        <v>58</v>
      </c>
      <c r="J874">
        <v>0</v>
      </c>
      <c r="K874">
        <v>0</v>
      </c>
      <c r="L874">
        <v>0</v>
      </c>
      <c r="M874">
        <v>0</v>
      </c>
      <c r="N874">
        <v>41.24</v>
      </c>
      <c r="P874" t="s">
        <v>151</v>
      </c>
      <c r="Q874" s="38"/>
    </row>
    <row r="875" spans="1:17" x14ac:dyDescent="0.25">
      <c r="A875" s="39">
        <v>45418</v>
      </c>
      <c r="B875" t="s">
        <v>113</v>
      </c>
      <c r="C875" s="38" t="s">
        <v>8</v>
      </c>
      <c r="D875" t="s">
        <v>188</v>
      </c>
      <c r="E875" t="s">
        <v>126</v>
      </c>
      <c r="F875" t="s">
        <v>199</v>
      </c>
      <c r="G875" t="s">
        <v>138</v>
      </c>
      <c r="H875" s="9" t="s">
        <v>114</v>
      </c>
      <c r="I875" t="s">
        <v>58</v>
      </c>
      <c r="J875">
        <v>0</v>
      </c>
      <c r="K875">
        <v>0</v>
      </c>
      <c r="L875">
        <v>0</v>
      </c>
      <c r="M875">
        <v>0</v>
      </c>
      <c r="N875">
        <v>41.35</v>
      </c>
      <c r="P875" t="s">
        <v>149</v>
      </c>
      <c r="Q875" s="38"/>
    </row>
    <row r="876" spans="1:17" x14ac:dyDescent="0.25">
      <c r="A876" s="39">
        <v>45418</v>
      </c>
      <c r="B876" t="s">
        <v>111</v>
      </c>
      <c r="C876" s="38" t="s">
        <v>8</v>
      </c>
      <c r="D876" t="s">
        <v>189</v>
      </c>
      <c r="E876" t="s">
        <v>81</v>
      </c>
      <c r="F876" t="s">
        <v>285</v>
      </c>
      <c r="G876" t="s">
        <v>138</v>
      </c>
      <c r="H876" s="9" t="s">
        <v>112</v>
      </c>
      <c r="I876" t="s">
        <v>58</v>
      </c>
      <c r="J876">
        <v>0</v>
      </c>
      <c r="K876">
        <v>0</v>
      </c>
      <c r="L876">
        <v>0</v>
      </c>
      <c r="M876">
        <v>0</v>
      </c>
      <c r="N876">
        <v>20.48</v>
      </c>
      <c r="P876" t="s">
        <v>153</v>
      </c>
      <c r="Q876" s="38"/>
    </row>
    <row r="877" spans="1:17" x14ac:dyDescent="0.25">
      <c r="A877" s="39">
        <v>45418</v>
      </c>
      <c r="B877" t="s">
        <v>109</v>
      </c>
      <c r="C877" s="38" t="s">
        <v>8</v>
      </c>
      <c r="D877" t="s">
        <v>142</v>
      </c>
      <c r="E877" t="s">
        <v>56</v>
      </c>
      <c r="F877" t="s">
        <v>199</v>
      </c>
      <c r="G877" t="s">
        <v>138</v>
      </c>
      <c r="H877" s="9" t="s">
        <v>110</v>
      </c>
      <c r="I877" t="s">
        <v>58</v>
      </c>
      <c r="J877">
        <v>0</v>
      </c>
      <c r="K877">
        <v>0</v>
      </c>
      <c r="L877">
        <v>0</v>
      </c>
      <c r="M877">
        <v>0</v>
      </c>
      <c r="N877">
        <v>41.05</v>
      </c>
      <c r="P877" t="s">
        <v>149</v>
      </c>
      <c r="Q877" s="38"/>
    </row>
    <row r="878" spans="1:17" x14ac:dyDescent="0.25">
      <c r="A878" s="39">
        <v>45418</v>
      </c>
      <c r="B878" t="s">
        <v>107</v>
      </c>
      <c r="C878" s="38" t="s">
        <v>8</v>
      </c>
      <c r="D878" t="s">
        <v>401</v>
      </c>
      <c r="E878" t="s">
        <v>56</v>
      </c>
      <c r="F878" t="s">
        <v>93</v>
      </c>
      <c r="G878" t="s">
        <v>138</v>
      </c>
      <c r="H878" s="9" t="s">
        <v>108</v>
      </c>
      <c r="I878" t="s">
        <v>58</v>
      </c>
      <c r="J878">
        <v>0</v>
      </c>
      <c r="K878">
        <v>0</v>
      </c>
      <c r="L878">
        <v>0</v>
      </c>
      <c r="M878">
        <v>0</v>
      </c>
      <c r="N878">
        <v>12.09</v>
      </c>
      <c r="P878" t="s">
        <v>403</v>
      </c>
      <c r="Q878" s="38"/>
    </row>
    <row r="879" spans="1:17" x14ac:dyDescent="0.25">
      <c r="A879" s="39">
        <v>45418</v>
      </c>
      <c r="B879" t="s">
        <v>41</v>
      </c>
      <c r="C879" s="38" t="s">
        <v>8</v>
      </c>
      <c r="D879" t="s">
        <v>123</v>
      </c>
      <c r="E879" t="s">
        <v>81</v>
      </c>
      <c r="F879" t="s">
        <v>285</v>
      </c>
      <c r="G879" t="s">
        <v>138</v>
      </c>
      <c r="H879" s="9" t="s">
        <v>106</v>
      </c>
      <c r="I879" t="s">
        <v>58</v>
      </c>
      <c r="J879">
        <v>0</v>
      </c>
      <c r="K879">
        <v>0</v>
      </c>
      <c r="L879">
        <v>0</v>
      </c>
      <c r="M879">
        <v>0</v>
      </c>
      <c r="N879">
        <v>17.88</v>
      </c>
      <c r="P879" t="s">
        <v>152</v>
      </c>
      <c r="Q879" s="38"/>
    </row>
    <row r="880" spans="1:17" x14ac:dyDescent="0.25">
      <c r="A880" s="39">
        <v>45418</v>
      </c>
      <c r="B880" t="s">
        <v>43</v>
      </c>
      <c r="C880" s="38" t="s">
        <v>8</v>
      </c>
      <c r="D880" t="s">
        <v>282</v>
      </c>
      <c r="E880" t="s">
        <v>275</v>
      </c>
      <c r="F880" t="s">
        <v>276</v>
      </c>
      <c r="G880" t="s">
        <v>138</v>
      </c>
      <c r="H880" s="9" t="s">
        <v>208</v>
      </c>
      <c r="I880" t="s">
        <v>58</v>
      </c>
      <c r="J880">
        <v>0</v>
      </c>
      <c r="K880">
        <v>0</v>
      </c>
      <c r="L880">
        <v>0</v>
      </c>
      <c r="M880">
        <v>0</v>
      </c>
      <c r="N880">
        <v>17.25</v>
      </c>
      <c r="P880" t="s">
        <v>154</v>
      </c>
      <c r="Q880" s="38"/>
    </row>
    <row r="881" spans="1:17" x14ac:dyDescent="0.25">
      <c r="A881" s="39">
        <v>45418</v>
      </c>
      <c r="B881" t="s">
        <v>5</v>
      </c>
      <c r="C881" s="38" t="s">
        <v>8</v>
      </c>
      <c r="D881" t="s">
        <v>283</v>
      </c>
      <c r="E881" t="s">
        <v>60</v>
      </c>
      <c r="F881" t="s">
        <v>285</v>
      </c>
      <c r="G881" t="s">
        <v>138</v>
      </c>
      <c r="H881" s="9" t="s">
        <v>209</v>
      </c>
      <c r="I881" t="s">
        <v>58</v>
      </c>
      <c r="J881">
        <v>0</v>
      </c>
      <c r="K881">
        <v>0</v>
      </c>
      <c r="L881">
        <v>0</v>
      </c>
      <c r="M881">
        <v>0</v>
      </c>
      <c r="N881">
        <v>16.46</v>
      </c>
      <c r="P881" t="s">
        <v>153</v>
      </c>
      <c r="Q881" s="38"/>
    </row>
    <row r="882" spans="1:17" x14ac:dyDescent="0.25">
      <c r="A882" s="39">
        <v>45418</v>
      </c>
      <c r="B882" t="s">
        <v>9</v>
      </c>
      <c r="C882" s="38" t="s">
        <v>8</v>
      </c>
      <c r="D882" t="s">
        <v>189</v>
      </c>
      <c r="E882" t="s">
        <v>360</v>
      </c>
      <c r="F882" t="s">
        <v>276</v>
      </c>
      <c r="G882" t="s">
        <v>138</v>
      </c>
      <c r="H882" s="9" t="s">
        <v>210</v>
      </c>
      <c r="I882" t="s">
        <v>58</v>
      </c>
      <c r="J882">
        <v>0</v>
      </c>
      <c r="K882">
        <v>0</v>
      </c>
      <c r="L882">
        <v>0</v>
      </c>
      <c r="M882">
        <v>0</v>
      </c>
      <c r="N882">
        <v>23.18</v>
      </c>
      <c r="P882" t="s">
        <v>153</v>
      </c>
      <c r="Q882" s="38"/>
    </row>
    <row r="883" spans="1:17" x14ac:dyDescent="0.25">
      <c r="A883" s="39">
        <v>45418</v>
      </c>
      <c r="B883" t="s">
        <v>10</v>
      </c>
      <c r="C883" s="38" t="s">
        <v>8</v>
      </c>
      <c r="D883" t="s">
        <v>263</v>
      </c>
      <c r="E883" t="s">
        <v>342</v>
      </c>
      <c r="F883" t="s">
        <v>90</v>
      </c>
      <c r="G883" t="s">
        <v>138</v>
      </c>
      <c r="H883" s="9" t="s">
        <v>211</v>
      </c>
      <c r="I883" t="s">
        <v>58</v>
      </c>
      <c r="J883">
        <v>0</v>
      </c>
      <c r="K883">
        <v>0</v>
      </c>
      <c r="L883">
        <v>0</v>
      </c>
      <c r="M883">
        <v>0</v>
      </c>
      <c r="N883">
        <v>74.34</v>
      </c>
      <c r="P883" t="s">
        <v>151</v>
      </c>
      <c r="Q883" s="38"/>
    </row>
    <row r="884" spans="1:17" x14ac:dyDescent="0.25">
      <c r="A884" s="39">
        <v>45418</v>
      </c>
      <c r="B884" t="s">
        <v>11</v>
      </c>
      <c r="C884" s="38" t="s">
        <v>8</v>
      </c>
      <c r="D884" t="s">
        <v>205</v>
      </c>
      <c r="E884" t="s">
        <v>60</v>
      </c>
      <c r="F884" t="s">
        <v>93</v>
      </c>
      <c r="G884" t="s">
        <v>138</v>
      </c>
      <c r="H884" s="9" t="s">
        <v>212</v>
      </c>
      <c r="I884" t="s">
        <v>58</v>
      </c>
      <c r="J884">
        <v>0</v>
      </c>
      <c r="K884">
        <v>0</v>
      </c>
      <c r="L884">
        <v>0</v>
      </c>
      <c r="M884">
        <v>0</v>
      </c>
      <c r="N884">
        <v>11.39</v>
      </c>
      <c r="P884" t="s">
        <v>147</v>
      </c>
      <c r="Q884" s="38"/>
    </row>
    <row r="885" spans="1:17" x14ac:dyDescent="0.25">
      <c r="A885" s="39">
        <v>45418</v>
      </c>
      <c r="B885" t="s">
        <v>12</v>
      </c>
      <c r="C885" s="38" t="s">
        <v>8</v>
      </c>
      <c r="D885" t="s">
        <v>286</v>
      </c>
      <c r="E885" t="s">
        <v>60</v>
      </c>
      <c r="F885" t="s">
        <v>285</v>
      </c>
      <c r="G885" t="s">
        <v>138</v>
      </c>
      <c r="H885" s="9" t="s">
        <v>213</v>
      </c>
      <c r="I885" t="s">
        <v>58</v>
      </c>
      <c r="J885">
        <v>0</v>
      </c>
      <c r="K885">
        <v>0</v>
      </c>
      <c r="L885">
        <v>0</v>
      </c>
      <c r="M885">
        <v>0</v>
      </c>
      <c r="N885">
        <v>11.98</v>
      </c>
      <c r="P885" t="s">
        <v>154</v>
      </c>
      <c r="Q885" s="38"/>
    </row>
    <row r="886" spans="1:17" x14ac:dyDescent="0.25">
      <c r="A886" s="39">
        <v>45418</v>
      </c>
      <c r="B886" t="s">
        <v>105</v>
      </c>
      <c r="C886" s="38" t="s">
        <v>8</v>
      </c>
      <c r="D886" t="s">
        <v>267</v>
      </c>
      <c r="E886" t="s">
        <v>60</v>
      </c>
      <c r="F886" t="s">
        <v>93</v>
      </c>
      <c r="G886" t="s">
        <v>138</v>
      </c>
      <c r="H886" s="9" t="s">
        <v>214</v>
      </c>
      <c r="I886" t="s">
        <v>58</v>
      </c>
      <c r="J886">
        <v>0</v>
      </c>
      <c r="K886">
        <v>0</v>
      </c>
      <c r="L886">
        <v>0</v>
      </c>
      <c r="M886">
        <v>0</v>
      </c>
      <c r="N886">
        <v>12.39</v>
      </c>
      <c r="P886" t="s">
        <v>147</v>
      </c>
      <c r="Q886" s="38"/>
    </row>
    <row r="887" spans="1:17" x14ac:dyDescent="0.25">
      <c r="A887" s="39">
        <v>45418</v>
      </c>
      <c r="B887" t="s">
        <v>104</v>
      </c>
      <c r="C887" s="38" t="s">
        <v>8</v>
      </c>
      <c r="D887" t="s">
        <v>143</v>
      </c>
      <c r="E887" t="s">
        <v>60</v>
      </c>
      <c r="F887" t="s">
        <v>285</v>
      </c>
      <c r="G887" t="s">
        <v>138</v>
      </c>
      <c r="H887" s="9" t="s">
        <v>215</v>
      </c>
      <c r="I887" t="s">
        <v>58</v>
      </c>
      <c r="J887">
        <v>0</v>
      </c>
      <c r="K887">
        <v>0</v>
      </c>
      <c r="L887">
        <v>0</v>
      </c>
      <c r="M887">
        <v>0</v>
      </c>
      <c r="N887">
        <v>13.96</v>
      </c>
      <c r="P887" t="s">
        <v>154</v>
      </c>
      <c r="Q887" s="38"/>
    </row>
    <row r="888" spans="1:17" x14ac:dyDescent="0.25">
      <c r="A888" s="39">
        <v>45418</v>
      </c>
      <c r="B888" t="s">
        <v>13</v>
      </c>
      <c r="C888" s="38" t="s">
        <v>8</v>
      </c>
      <c r="D888" t="s">
        <v>350</v>
      </c>
      <c r="E888" t="s">
        <v>60</v>
      </c>
      <c r="F888" t="s">
        <v>93</v>
      </c>
      <c r="G888" t="s">
        <v>138</v>
      </c>
      <c r="H888" s="9" t="s">
        <v>216</v>
      </c>
      <c r="I888" t="s">
        <v>58</v>
      </c>
      <c r="J888">
        <v>0</v>
      </c>
      <c r="K888">
        <v>0</v>
      </c>
      <c r="L888">
        <v>0</v>
      </c>
      <c r="M888">
        <v>0</v>
      </c>
      <c r="N888">
        <v>12.4</v>
      </c>
      <c r="P888" t="s">
        <v>147</v>
      </c>
      <c r="Q888" s="38"/>
    </row>
    <row r="889" spans="1:17" x14ac:dyDescent="0.25">
      <c r="A889" s="39">
        <v>45418</v>
      </c>
      <c r="B889" t="s">
        <v>103</v>
      </c>
      <c r="C889" s="38" t="s">
        <v>8</v>
      </c>
      <c r="D889" t="s">
        <v>179</v>
      </c>
      <c r="E889" t="s">
        <v>81</v>
      </c>
      <c r="F889" t="s">
        <v>90</v>
      </c>
      <c r="G889" t="s">
        <v>138</v>
      </c>
      <c r="H889" s="9" t="s">
        <v>217</v>
      </c>
      <c r="I889" t="s">
        <v>65</v>
      </c>
      <c r="J889">
        <v>0</v>
      </c>
      <c r="K889">
        <v>0</v>
      </c>
      <c r="L889">
        <v>0</v>
      </c>
      <c r="M889">
        <v>0</v>
      </c>
      <c r="N889">
        <v>41.9</v>
      </c>
      <c r="P889" t="s">
        <v>187</v>
      </c>
      <c r="Q889" s="38"/>
    </row>
    <row r="890" spans="1:17" x14ac:dyDescent="0.25">
      <c r="A890" s="39">
        <v>45418</v>
      </c>
      <c r="B890" t="s">
        <v>101</v>
      </c>
      <c r="C890" s="38" t="s">
        <v>8</v>
      </c>
      <c r="D890" t="s">
        <v>405</v>
      </c>
      <c r="E890" t="s">
        <v>81</v>
      </c>
      <c r="F890" t="s">
        <v>285</v>
      </c>
      <c r="G890" t="s">
        <v>138</v>
      </c>
      <c r="H890" s="9" t="s">
        <v>102</v>
      </c>
      <c r="I890" t="s">
        <v>58</v>
      </c>
      <c r="J890">
        <v>0</v>
      </c>
      <c r="K890">
        <v>0</v>
      </c>
      <c r="L890">
        <v>0</v>
      </c>
      <c r="M890">
        <v>0</v>
      </c>
      <c r="N890">
        <v>19.600000000000001</v>
      </c>
      <c r="P890" t="s">
        <v>151</v>
      </c>
      <c r="Q890" s="38"/>
    </row>
    <row r="891" spans="1:17" x14ac:dyDescent="0.25">
      <c r="A891" s="39">
        <v>45418</v>
      </c>
      <c r="B891" t="s">
        <v>99</v>
      </c>
      <c r="C891" s="38" t="s">
        <v>8</v>
      </c>
      <c r="D891" t="s">
        <v>249</v>
      </c>
      <c r="E891" t="s">
        <v>81</v>
      </c>
      <c r="F891" t="s">
        <v>90</v>
      </c>
      <c r="G891" t="s">
        <v>138</v>
      </c>
      <c r="H891" s="9" t="s">
        <v>100</v>
      </c>
      <c r="J891">
        <v>0</v>
      </c>
      <c r="K891">
        <v>0</v>
      </c>
      <c r="L891">
        <v>0</v>
      </c>
      <c r="M891">
        <v>0</v>
      </c>
      <c r="N891">
        <v>41.83</v>
      </c>
      <c r="P891" t="s">
        <v>152</v>
      </c>
      <c r="Q891" s="38"/>
    </row>
    <row r="892" spans="1:17" x14ac:dyDescent="0.25">
      <c r="A892" s="39">
        <v>45418</v>
      </c>
      <c r="B892" t="s">
        <v>97</v>
      </c>
      <c r="C892" s="38" t="s">
        <v>8</v>
      </c>
      <c r="D892" t="s">
        <v>288</v>
      </c>
      <c r="E892" t="s">
        <v>352</v>
      </c>
      <c r="F892" t="s">
        <v>285</v>
      </c>
      <c r="G892" t="s">
        <v>138</v>
      </c>
      <c r="H892" s="9" t="s">
        <v>98</v>
      </c>
      <c r="I892" t="s">
        <v>58</v>
      </c>
      <c r="J892">
        <v>0</v>
      </c>
      <c r="K892">
        <v>0</v>
      </c>
      <c r="L892">
        <v>0</v>
      </c>
      <c r="M892">
        <v>0</v>
      </c>
      <c r="N892">
        <v>22.49</v>
      </c>
      <c r="P892" t="s">
        <v>148</v>
      </c>
      <c r="Q892" s="38"/>
    </row>
    <row r="893" spans="1:17" x14ac:dyDescent="0.25">
      <c r="A893" s="39">
        <v>45418</v>
      </c>
      <c r="B893" t="s">
        <v>95</v>
      </c>
      <c r="C893" s="38" t="s">
        <v>8</v>
      </c>
      <c r="D893" t="s">
        <v>181</v>
      </c>
      <c r="E893" t="s">
        <v>81</v>
      </c>
      <c r="F893" t="s">
        <v>90</v>
      </c>
      <c r="G893" t="s">
        <v>138</v>
      </c>
      <c r="H893" s="9" t="s">
        <v>96</v>
      </c>
      <c r="I893" t="s">
        <v>65</v>
      </c>
      <c r="J893">
        <v>0</v>
      </c>
      <c r="K893">
        <v>0</v>
      </c>
      <c r="L893">
        <v>0</v>
      </c>
      <c r="M893">
        <v>0</v>
      </c>
      <c r="N893">
        <v>20.38</v>
      </c>
      <c r="P893" t="s">
        <v>152</v>
      </c>
      <c r="Q893" s="38"/>
    </row>
    <row r="894" spans="1:17" x14ac:dyDescent="0.25">
      <c r="A894" s="39">
        <v>45418</v>
      </c>
      <c r="B894" t="s">
        <v>14</v>
      </c>
      <c r="C894" s="38" t="s">
        <v>8</v>
      </c>
      <c r="D894" t="s">
        <v>289</v>
      </c>
      <c r="E894" t="s">
        <v>352</v>
      </c>
      <c r="F894" t="s">
        <v>285</v>
      </c>
      <c r="G894" t="s">
        <v>138</v>
      </c>
      <c r="H894" s="9" t="s">
        <v>94</v>
      </c>
      <c r="I894" t="s">
        <v>58</v>
      </c>
      <c r="J894">
        <v>0</v>
      </c>
      <c r="K894">
        <v>0</v>
      </c>
      <c r="L894">
        <v>0</v>
      </c>
      <c r="M894">
        <v>0</v>
      </c>
      <c r="N894">
        <v>25.88</v>
      </c>
      <c r="P894" t="s">
        <v>151</v>
      </c>
      <c r="Q894" s="38"/>
    </row>
    <row r="895" spans="1:17" x14ac:dyDescent="0.25">
      <c r="A895" s="39">
        <v>45418</v>
      </c>
      <c r="B895" t="s">
        <v>91</v>
      </c>
      <c r="C895" s="38" t="s">
        <v>8</v>
      </c>
      <c r="D895" t="s">
        <v>180</v>
      </c>
      <c r="E895" t="s">
        <v>81</v>
      </c>
      <c r="F895" t="s">
        <v>90</v>
      </c>
      <c r="G895" t="s">
        <v>138</v>
      </c>
      <c r="H895" s="9" t="s">
        <v>92</v>
      </c>
      <c r="J895">
        <v>0</v>
      </c>
      <c r="K895">
        <v>0</v>
      </c>
      <c r="L895">
        <v>0</v>
      </c>
      <c r="M895">
        <v>0</v>
      </c>
      <c r="N895">
        <v>16.73</v>
      </c>
      <c r="P895" t="s">
        <v>148</v>
      </c>
      <c r="Q895" s="38"/>
    </row>
    <row r="896" spans="1:17" x14ac:dyDescent="0.25">
      <c r="A896" s="39">
        <v>45418</v>
      </c>
      <c r="B896" t="s">
        <v>15</v>
      </c>
      <c r="C896" s="38" t="s">
        <v>8</v>
      </c>
      <c r="D896" t="s">
        <v>140</v>
      </c>
      <c r="E896" t="s">
        <v>81</v>
      </c>
      <c r="F896" t="s">
        <v>285</v>
      </c>
      <c r="G896" t="s">
        <v>138</v>
      </c>
      <c r="H896" s="9" t="s">
        <v>218</v>
      </c>
      <c r="I896" t="s">
        <v>58</v>
      </c>
      <c r="J896">
        <v>0</v>
      </c>
      <c r="K896">
        <v>0</v>
      </c>
      <c r="L896">
        <v>0</v>
      </c>
      <c r="M896">
        <v>0</v>
      </c>
      <c r="N896">
        <v>20.190000000000001</v>
      </c>
      <c r="P896" t="s">
        <v>148</v>
      </c>
      <c r="Q896" s="38"/>
    </row>
    <row r="897" spans="1:17" x14ac:dyDescent="0.25">
      <c r="A897" s="39">
        <v>45418</v>
      </c>
      <c r="B897" t="s">
        <v>89</v>
      </c>
      <c r="C897" s="38" t="s">
        <v>8</v>
      </c>
      <c r="D897" t="s">
        <v>176</v>
      </c>
      <c r="E897" t="s">
        <v>398</v>
      </c>
      <c r="F897" t="s">
        <v>90</v>
      </c>
      <c r="G897" t="s">
        <v>138</v>
      </c>
      <c r="H897" s="9" t="s">
        <v>219</v>
      </c>
      <c r="I897" t="s">
        <v>65</v>
      </c>
      <c r="J897">
        <v>0</v>
      </c>
      <c r="K897">
        <v>0</v>
      </c>
      <c r="L897">
        <v>0</v>
      </c>
      <c r="M897">
        <v>0</v>
      </c>
      <c r="N897">
        <v>17.670000000000002</v>
      </c>
      <c r="P897" t="s">
        <v>186</v>
      </c>
      <c r="Q897" s="38"/>
    </row>
    <row r="898" spans="1:17" x14ac:dyDescent="0.25">
      <c r="A898" s="39">
        <v>45418</v>
      </c>
      <c r="B898" t="s">
        <v>16</v>
      </c>
      <c r="C898" s="38" t="s">
        <v>8</v>
      </c>
      <c r="D898" t="s">
        <v>407</v>
      </c>
      <c r="E898" t="s">
        <v>360</v>
      </c>
      <c r="F898" t="s">
        <v>253</v>
      </c>
      <c r="G898" t="s">
        <v>138</v>
      </c>
      <c r="H898" s="9" t="s">
        <v>220</v>
      </c>
      <c r="I898" t="s">
        <v>58</v>
      </c>
      <c r="J898">
        <v>0</v>
      </c>
      <c r="K898">
        <v>0</v>
      </c>
      <c r="L898">
        <v>0</v>
      </c>
      <c r="M898">
        <v>0</v>
      </c>
      <c r="N898">
        <v>21.19</v>
      </c>
      <c r="P898" t="s">
        <v>151</v>
      </c>
      <c r="Q898" s="38"/>
    </row>
    <row r="899" spans="1:17" x14ac:dyDescent="0.25">
      <c r="A899" s="39">
        <v>45418</v>
      </c>
      <c r="B899" t="s">
        <v>88</v>
      </c>
      <c r="C899" s="38" t="s">
        <v>8</v>
      </c>
      <c r="D899" t="s">
        <v>311</v>
      </c>
      <c r="E899" t="s">
        <v>60</v>
      </c>
      <c r="F899" t="s">
        <v>253</v>
      </c>
      <c r="G899" t="s">
        <v>138</v>
      </c>
      <c r="H899" s="9" t="s">
        <v>221</v>
      </c>
      <c r="J899">
        <v>0</v>
      </c>
      <c r="K899">
        <v>0</v>
      </c>
      <c r="L899">
        <v>0</v>
      </c>
      <c r="M899">
        <v>0</v>
      </c>
      <c r="N899">
        <v>38.44</v>
      </c>
      <c r="P899" t="s">
        <v>154</v>
      </c>
      <c r="Q899" s="38"/>
    </row>
    <row r="900" spans="1:17" x14ac:dyDescent="0.25">
      <c r="A900" s="39">
        <v>45418</v>
      </c>
      <c r="B900" t="s">
        <v>17</v>
      </c>
      <c r="C900" s="38" t="s">
        <v>8</v>
      </c>
      <c r="D900" t="s">
        <v>272</v>
      </c>
      <c r="E900" t="s">
        <v>275</v>
      </c>
      <c r="F900" t="s">
        <v>276</v>
      </c>
      <c r="G900" t="s">
        <v>138</v>
      </c>
      <c r="H900" s="9" t="s">
        <v>222</v>
      </c>
      <c r="I900" t="s">
        <v>58</v>
      </c>
      <c r="J900">
        <v>0</v>
      </c>
      <c r="K900">
        <v>0</v>
      </c>
      <c r="L900">
        <v>0</v>
      </c>
      <c r="M900">
        <v>0</v>
      </c>
      <c r="N900">
        <v>20.56</v>
      </c>
      <c r="P900" t="s">
        <v>151</v>
      </c>
      <c r="Q900" s="38"/>
    </row>
    <row r="901" spans="1:17" x14ac:dyDescent="0.25">
      <c r="A901" s="39">
        <v>45418</v>
      </c>
      <c r="B901" t="s">
        <v>19</v>
      </c>
      <c r="C901" s="38" t="s">
        <v>8</v>
      </c>
      <c r="D901" t="s">
        <v>343</v>
      </c>
      <c r="E901" t="s">
        <v>81</v>
      </c>
      <c r="F901" t="s">
        <v>253</v>
      </c>
      <c r="G901" t="s">
        <v>138</v>
      </c>
      <c r="H901" s="9" t="s">
        <v>223</v>
      </c>
      <c r="I901" t="s">
        <v>65</v>
      </c>
      <c r="J901">
        <v>0</v>
      </c>
      <c r="K901">
        <v>0</v>
      </c>
      <c r="L901">
        <v>0</v>
      </c>
      <c r="M901">
        <v>0</v>
      </c>
      <c r="N901">
        <v>41.06</v>
      </c>
      <c r="P901" t="s">
        <v>151</v>
      </c>
      <c r="Q901" s="38"/>
    </row>
    <row r="902" spans="1:17" x14ac:dyDescent="0.25">
      <c r="A902" s="39">
        <v>45418</v>
      </c>
      <c r="B902" t="s">
        <v>18</v>
      </c>
      <c r="C902" s="38" t="s">
        <v>8</v>
      </c>
      <c r="D902" t="s">
        <v>268</v>
      </c>
      <c r="E902" t="s">
        <v>408</v>
      </c>
      <c r="F902" t="s">
        <v>253</v>
      </c>
      <c r="G902" t="s">
        <v>138</v>
      </c>
      <c r="H902" s="9" t="s">
        <v>224</v>
      </c>
      <c r="I902" t="s">
        <v>58</v>
      </c>
      <c r="J902">
        <v>0</v>
      </c>
      <c r="K902">
        <v>0</v>
      </c>
      <c r="L902">
        <v>0</v>
      </c>
      <c r="M902">
        <v>0</v>
      </c>
      <c r="N902">
        <v>18.89</v>
      </c>
      <c r="P902" t="s">
        <v>148</v>
      </c>
      <c r="Q902" s="38"/>
    </row>
    <row r="903" spans="1:17" x14ac:dyDescent="0.25">
      <c r="A903" s="39">
        <v>45418</v>
      </c>
      <c r="B903" t="s">
        <v>87</v>
      </c>
      <c r="C903" s="38" t="s">
        <v>8</v>
      </c>
      <c r="G903" t="s">
        <v>138</v>
      </c>
      <c r="H903" s="9" t="s">
        <v>225</v>
      </c>
      <c r="J903">
        <v>0</v>
      </c>
      <c r="K903">
        <v>0</v>
      </c>
      <c r="L903">
        <v>0</v>
      </c>
      <c r="M903">
        <v>0</v>
      </c>
      <c r="N903">
        <v>41146219</v>
      </c>
      <c r="Q903" s="38"/>
    </row>
    <row r="904" spans="1:17" x14ac:dyDescent="0.25">
      <c r="A904" s="39">
        <v>45418</v>
      </c>
      <c r="B904" t="s">
        <v>42</v>
      </c>
      <c r="C904" s="38" t="s">
        <v>8</v>
      </c>
      <c r="D904" t="s">
        <v>246</v>
      </c>
      <c r="E904" t="s">
        <v>81</v>
      </c>
      <c r="F904" t="s">
        <v>285</v>
      </c>
      <c r="G904" t="s">
        <v>138</v>
      </c>
      <c r="H904" s="9" t="s">
        <v>226</v>
      </c>
      <c r="I904" t="s">
        <v>58</v>
      </c>
      <c r="J904">
        <v>0</v>
      </c>
      <c r="K904">
        <v>0</v>
      </c>
      <c r="L904">
        <v>0</v>
      </c>
      <c r="M904">
        <v>0</v>
      </c>
      <c r="N904">
        <v>20.7</v>
      </c>
      <c r="P904" t="s">
        <v>148</v>
      </c>
      <c r="Q904" s="38"/>
    </row>
    <row r="905" spans="1:17" x14ac:dyDescent="0.25">
      <c r="A905" s="39">
        <v>45418</v>
      </c>
      <c r="B905" t="s">
        <v>86</v>
      </c>
      <c r="C905" s="38" t="s">
        <v>8</v>
      </c>
      <c r="D905" t="s">
        <v>271</v>
      </c>
      <c r="E905" t="s">
        <v>275</v>
      </c>
      <c r="F905" t="s">
        <v>276</v>
      </c>
      <c r="G905" t="s">
        <v>138</v>
      </c>
      <c r="H905" s="9" t="s">
        <v>227</v>
      </c>
      <c r="I905" t="s">
        <v>65</v>
      </c>
      <c r="J905">
        <v>0</v>
      </c>
      <c r="K905">
        <v>0</v>
      </c>
      <c r="L905">
        <v>0</v>
      </c>
      <c r="M905">
        <v>0</v>
      </c>
      <c r="N905">
        <v>41.64</v>
      </c>
      <c r="P905" t="s">
        <v>152</v>
      </c>
      <c r="Q905" s="38"/>
    </row>
    <row r="906" spans="1:17" x14ac:dyDescent="0.25">
      <c r="A906" s="39">
        <v>45418</v>
      </c>
      <c r="B906" t="s">
        <v>38</v>
      </c>
      <c r="C906" s="38" t="s">
        <v>8</v>
      </c>
      <c r="D906" t="s">
        <v>141</v>
      </c>
      <c r="E906" t="s">
        <v>81</v>
      </c>
      <c r="F906" t="s">
        <v>285</v>
      </c>
      <c r="G906" t="s">
        <v>138</v>
      </c>
      <c r="H906" s="9" t="s">
        <v>85</v>
      </c>
      <c r="I906" t="s">
        <v>58</v>
      </c>
      <c r="J906">
        <v>0</v>
      </c>
      <c r="K906">
        <v>0</v>
      </c>
      <c r="L906">
        <v>0</v>
      </c>
      <c r="M906">
        <v>0</v>
      </c>
      <c r="N906">
        <v>37.5</v>
      </c>
      <c r="P906" t="s">
        <v>151</v>
      </c>
      <c r="Q906" s="38"/>
    </row>
    <row r="907" spans="1:17" x14ac:dyDescent="0.25">
      <c r="A907" s="39">
        <v>45418</v>
      </c>
      <c r="B907" t="s">
        <v>83</v>
      </c>
      <c r="C907" s="38" t="s">
        <v>8</v>
      </c>
      <c r="G907" t="s">
        <v>138</v>
      </c>
      <c r="H907" s="9" t="s">
        <v>84</v>
      </c>
      <c r="J907">
        <v>0</v>
      </c>
      <c r="K907">
        <v>0</v>
      </c>
      <c r="L907">
        <v>0</v>
      </c>
      <c r="M907">
        <v>0</v>
      </c>
      <c r="N907">
        <v>41.36</v>
      </c>
      <c r="Q907" s="38"/>
    </row>
    <row r="908" spans="1:17" x14ac:dyDescent="0.25">
      <c r="A908" s="39">
        <v>45418</v>
      </c>
      <c r="B908" t="s">
        <v>20</v>
      </c>
      <c r="C908" s="38" t="s">
        <v>8</v>
      </c>
      <c r="D908" t="s">
        <v>351</v>
      </c>
      <c r="E908" t="s">
        <v>352</v>
      </c>
      <c r="F908" t="s">
        <v>285</v>
      </c>
      <c r="G908" t="s">
        <v>138</v>
      </c>
      <c r="H908" s="9" t="s">
        <v>82</v>
      </c>
      <c r="I908" t="s">
        <v>58</v>
      </c>
      <c r="J908">
        <v>0</v>
      </c>
      <c r="K908">
        <v>0</v>
      </c>
      <c r="L908">
        <v>0</v>
      </c>
      <c r="M908">
        <v>0</v>
      </c>
      <c r="N908">
        <v>22.79</v>
      </c>
      <c r="P908" t="s">
        <v>151</v>
      </c>
      <c r="Q908" s="38"/>
    </row>
    <row r="909" spans="1:17" x14ac:dyDescent="0.25">
      <c r="A909" s="39">
        <v>45418</v>
      </c>
      <c r="B909" t="s">
        <v>21</v>
      </c>
      <c r="C909" s="38" t="s">
        <v>8</v>
      </c>
      <c r="D909" t="s">
        <v>291</v>
      </c>
      <c r="E909" t="s">
        <v>352</v>
      </c>
      <c r="F909" t="s">
        <v>285</v>
      </c>
      <c r="G909" t="s">
        <v>138</v>
      </c>
      <c r="H909" s="9" t="s">
        <v>80</v>
      </c>
      <c r="I909" t="s">
        <v>65</v>
      </c>
      <c r="J909">
        <v>0</v>
      </c>
      <c r="K909">
        <v>0</v>
      </c>
      <c r="L909">
        <v>0</v>
      </c>
      <c r="M909">
        <v>0</v>
      </c>
      <c r="N909">
        <v>21.59</v>
      </c>
      <c r="P909" t="s">
        <v>152</v>
      </c>
      <c r="Q909" s="38"/>
    </row>
    <row r="910" spans="1:17" x14ac:dyDescent="0.25">
      <c r="A910" s="39">
        <v>45418</v>
      </c>
      <c r="B910" t="s">
        <v>22</v>
      </c>
      <c r="C910" s="38" t="s">
        <v>8</v>
      </c>
      <c r="D910" t="s">
        <v>353</v>
      </c>
      <c r="E910" t="s">
        <v>352</v>
      </c>
      <c r="F910" t="s">
        <v>285</v>
      </c>
      <c r="G910" t="s">
        <v>138</v>
      </c>
      <c r="H910" s="9" t="s">
        <v>79</v>
      </c>
      <c r="I910" t="s">
        <v>58</v>
      </c>
      <c r="J910">
        <v>0</v>
      </c>
      <c r="K910">
        <v>0</v>
      </c>
      <c r="L910">
        <v>0</v>
      </c>
      <c r="M910">
        <v>0</v>
      </c>
      <c r="N910">
        <v>13.62</v>
      </c>
      <c r="P910" t="s">
        <v>148</v>
      </c>
      <c r="Q910" s="38"/>
    </row>
    <row r="911" spans="1:17" x14ac:dyDescent="0.25">
      <c r="A911" s="39">
        <v>45418</v>
      </c>
      <c r="B911" t="s">
        <v>77</v>
      </c>
      <c r="C911" s="38" t="s">
        <v>8</v>
      </c>
      <c r="G911" t="s">
        <v>138</v>
      </c>
      <c r="H911" s="9" t="s">
        <v>78</v>
      </c>
      <c r="J911">
        <v>0</v>
      </c>
      <c r="K911">
        <v>0</v>
      </c>
      <c r="L911">
        <v>0</v>
      </c>
      <c r="M911">
        <v>0</v>
      </c>
      <c r="N911">
        <v>17.88</v>
      </c>
      <c r="Q911" s="38"/>
    </row>
    <row r="912" spans="1:17" x14ac:dyDescent="0.25">
      <c r="A912" s="39">
        <v>45418</v>
      </c>
      <c r="B912" t="s">
        <v>23</v>
      </c>
      <c r="C912" s="38" t="s">
        <v>8</v>
      </c>
      <c r="D912" t="s">
        <v>409</v>
      </c>
      <c r="E912" t="s">
        <v>352</v>
      </c>
      <c r="F912" t="s">
        <v>285</v>
      </c>
      <c r="G912" t="s">
        <v>138</v>
      </c>
      <c r="H912" s="9" t="s">
        <v>228</v>
      </c>
      <c r="I912" t="s">
        <v>58</v>
      </c>
      <c r="J912">
        <v>0</v>
      </c>
      <c r="K912">
        <v>0</v>
      </c>
      <c r="L912">
        <v>0</v>
      </c>
      <c r="M912">
        <v>0</v>
      </c>
      <c r="N912">
        <v>23.22</v>
      </c>
      <c r="P912" t="s">
        <v>148</v>
      </c>
      <c r="Q912" s="38"/>
    </row>
    <row r="913" spans="1:17" x14ac:dyDescent="0.25">
      <c r="A913" s="39">
        <v>45418</v>
      </c>
      <c r="B913" t="s">
        <v>24</v>
      </c>
      <c r="C913" s="38" t="s">
        <v>8</v>
      </c>
      <c r="D913" t="s">
        <v>344</v>
      </c>
      <c r="E913" t="s">
        <v>379</v>
      </c>
      <c r="F913" t="s">
        <v>253</v>
      </c>
      <c r="G913" t="s">
        <v>138</v>
      </c>
      <c r="H913" s="9" t="s">
        <v>229</v>
      </c>
      <c r="I913" t="s">
        <v>65</v>
      </c>
      <c r="J913">
        <v>0</v>
      </c>
      <c r="K913">
        <v>0</v>
      </c>
      <c r="L913">
        <v>0</v>
      </c>
      <c r="M913">
        <v>0</v>
      </c>
      <c r="N913">
        <v>18.37</v>
      </c>
      <c r="P913" t="s">
        <v>152</v>
      </c>
      <c r="Q913" s="38"/>
    </row>
    <row r="914" spans="1:17" x14ac:dyDescent="0.25">
      <c r="A914" s="39">
        <v>45418</v>
      </c>
      <c r="B914" t="s">
        <v>75</v>
      </c>
      <c r="C914" s="38" t="s">
        <v>8</v>
      </c>
      <c r="D914" t="s">
        <v>410</v>
      </c>
      <c r="E914" t="s">
        <v>202</v>
      </c>
      <c r="F914" t="s">
        <v>346</v>
      </c>
      <c r="G914" t="s">
        <v>138</v>
      </c>
      <c r="H914" s="9" t="s">
        <v>230</v>
      </c>
      <c r="I914" t="s">
        <v>58</v>
      </c>
      <c r="J914">
        <v>0</v>
      </c>
      <c r="K914">
        <v>0</v>
      </c>
      <c r="L914">
        <v>0</v>
      </c>
      <c r="M914">
        <v>0</v>
      </c>
      <c r="N914">
        <v>12.9</v>
      </c>
      <c r="P914" t="s">
        <v>303</v>
      </c>
      <c r="Q914" s="38"/>
    </row>
    <row r="915" spans="1:17" x14ac:dyDescent="0.25">
      <c r="A915" s="39">
        <v>45418</v>
      </c>
      <c r="B915" t="s">
        <v>25</v>
      </c>
      <c r="C915" s="38" t="s">
        <v>8</v>
      </c>
      <c r="D915" t="s">
        <v>383</v>
      </c>
      <c r="E915" t="s">
        <v>81</v>
      </c>
      <c r="F915" t="s">
        <v>285</v>
      </c>
      <c r="G915" t="s">
        <v>138</v>
      </c>
      <c r="H915" s="9" t="s">
        <v>231</v>
      </c>
      <c r="I915" t="s">
        <v>65</v>
      </c>
      <c r="J915">
        <v>0</v>
      </c>
      <c r="K915">
        <v>0</v>
      </c>
      <c r="L915">
        <v>0</v>
      </c>
      <c r="M915">
        <v>0</v>
      </c>
      <c r="N915">
        <v>12.16</v>
      </c>
      <c r="P915" t="s">
        <v>148</v>
      </c>
      <c r="Q915" s="38"/>
    </row>
    <row r="916" spans="1:17" x14ac:dyDescent="0.25">
      <c r="A916" s="39">
        <v>45418</v>
      </c>
      <c r="B916" t="s">
        <v>74</v>
      </c>
      <c r="C916" s="38" t="s">
        <v>8</v>
      </c>
      <c r="D916" t="s">
        <v>292</v>
      </c>
      <c r="E916" t="s">
        <v>60</v>
      </c>
      <c r="F916" t="s">
        <v>346</v>
      </c>
      <c r="G916" t="s">
        <v>138</v>
      </c>
      <c r="H916" s="9" t="s">
        <v>232</v>
      </c>
      <c r="I916" t="s">
        <v>58</v>
      </c>
      <c r="J916">
        <v>0</v>
      </c>
      <c r="K916">
        <v>0</v>
      </c>
      <c r="L916">
        <v>0</v>
      </c>
      <c r="M916">
        <v>0</v>
      </c>
      <c r="N916">
        <v>15.61</v>
      </c>
      <c r="P916" t="s">
        <v>293</v>
      </c>
      <c r="Q916" s="38"/>
    </row>
    <row r="917" spans="1:17" x14ac:dyDescent="0.25">
      <c r="A917" s="39">
        <v>45418</v>
      </c>
      <c r="B917" t="s">
        <v>26</v>
      </c>
      <c r="C917" s="38" t="s">
        <v>8</v>
      </c>
      <c r="D917" t="s">
        <v>294</v>
      </c>
      <c r="E917" t="s">
        <v>56</v>
      </c>
      <c r="F917" t="s">
        <v>184</v>
      </c>
      <c r="G917" t="s">
        <v>138</v>
      </c>
      <c r="H917" s="9" t="s">
        <v>233</v>
      </c>
      <c r="I917" t="s">
        <v>65</v>
      </c>
      <c r="J917">
        <v>0</v>
      </c>
      <c r="K917">
        <v>0</v>
      </c>
      <c r="L917">
        <v>0</v>
      </c>
      <c r="M917">
        <v>0</v>
      </c>
      <c r="N917">
        <v>13.29</v>
      </c>
      <c r="P917" t="s">
        <v>155</v>
      </c>
      <c r="Q917" s="38"/>
    </row>
    <row r="918" spans="1:17" x14ac:dyDescent="0.25">
      <c r="A918" s="39">
        <v>45418</v>
      </c>
      <c r="B918" t="s">
        <v>27</v>
      </c>
      <c r="C918" s="38" t="s">
        <v>8</v>
      </c>
      <c r="D918" t="s">
        <v>384</v>
      </c>
      <c r="E918" t="s">
        <v>366</v>
      </c>
      <c r="F918" t="s">
        <v>346</v>
      </c>
      <c r="G918" t="s">
        <v>138</v>
      </c>
      <c r="H918" s="9" t="s">
        <v>234</v>
      </c>
      <c r="I918" t="s">
        <v>58</v>
      </c>
      <c r="J918">
        <v>0</v>
      </c>
      <c r="K918">
        <v>0</v>
      </c>
      <c r="L918">
        <v>0</v>
      </c>
      <c r="M918">
        <v>0</v>
      </c>
      <c r="N918">
        <v>13.89</v>
      </c>
      <c r="P918" t="s">
        <v>269</v>
      </c>
      <c r="Q918" s="38"/>
    </row>
    <row r="919" spans="1:17" x14ac:dyDescent="0.25">
      <c r="A919" s="39">
        <v>45418</v>
      </c>
      <c r="B919" t="s">
        <v>28</v>
      </c>
      <c r="C919" s="38" t="s">
        <v>8</v>
      </c>
      <c r="D919" t="s">
        <v>411</v>
      </c>
      <c r="E919" t="s">
        <v>56</v>
      </c>
      <c r="F919" t="s">
        <v>338</v>
      </c>
      <c r="G919" t="s">
        <v>138</v>
      </c>
      <c r="H919" s="9" t="s">
        <v>235</v>
      </c>
      <c r="I919" t="s">
        <v>65</v>
      </c>
      <c r="J919">
        <v>0</v>
      </c>
      <c r="K919">
        <v>0</v>
      </c>
      <c r="L919">
        <v>0</v>
      </c>
      <c r="M919">
        <v>0</v>
      </c>
      <c r="N919">
        <v>13.9</v>
      </c>
      <c r="P919" t="s">
        <v>155</v>
      </c>
      <c r="Q919" s="38"/>
    </row>
    <row r="920" spans="1:17" x14ac:dyDescent="0.25">
      <c r="A920" s="39">
        <v>45418</v>
      </c>
      <c r="B920" t="s">
        <v>72</v>
      </c>
      <c r="C920" s="38" t="s">
        <v>8</v>
      </c>
      <c r="D920" t="s">
        <v>322</v>
      </c>
      <c r="E920" t="s">
        <v>202</v>
      </c>
      <c r="F920" t="s">
        <v>346</v>
      </c>
      <c r="G920" t="s">
        <v>138</v>
      </c>
      <c r="H920" s="9" t="s">
        <v>422</v>
      </c>
      <c r="I920" t="s">
        <v>58</v>
      </c>
      <c r="J920">
        <v>0</v>
      </c>
      <c r="K920">
        <v>0</v>
      </c>
      <c r="L920">
        <v>0</v>
      </c>
      <c r="M920">
        <v>0</v>
      </c>
      <c r="N920">
        <v>15.45</v>
      </c>
      <c r="P920" t="s">
        <v>157</v>
      </c>
      <c r="Q920" s="38"/>
    </row>
    <row r="921" spans="1:17" x14ac:dyDescent="0.25">
      <c r="A921" s="39">
        <v>45418</v>
      </c>
      <c r="B921" t="s">
        <v>29</v>
      </c>
      <c r="C921" s="38" t="s">
        <v>8</v>
      </c>
      <c r="D921" t="s">
        <v>315</v>
      </c>
      <c r="E921" t="s">
        <v>56</v>
      </c>
      <c r="F921" t="s">
        <v>338</v>
      </c>
      <c r="G921" t="s">
        <v>138</v>
      </c>
      <c r="H921" s="9" t="s">
        <v>236</v>
      </c>
      <c r="I921" t="s">
        <v>65</v>
      </c>
      <c r="J921">
        <v>0</v>
      </c>
      <c r="K921">
        <v>0</v>
      </c>
      <c r="L921">
        <v>0</v>
      </c>
      <c r="M921">
        <v>0</v>
      </c>
      <c r="N921">
        <v>13.98</v>
      </c>
      <c r="P921" t="s">
        <v>156</v>
      </c>
      <c r="Q921" s="38"/>
    </row>
    <row r="922" spans="1:17" x14ac:dyDescent="0.25">
      <c r="A922" s="39">
        <v>45418</v>
      </c>
      <c r="B922" t="s">
        <v>30</v>
      </c>
      <c r="C922" s="38" t="s">
        <v>8</v>
      </c>
      <c r="D922" t="s">
        <v>305</v>
      </c>
      <c r="E922" t="s">
        <v>81</v>
      </c>
      <c r="F922" t="s">
        <v>90</v>
      </c>
      <c r="G922" t="s">
        <v>138</v>
      </c>
      <c r="H922" s="9" t="s">
        <v>71</v>
      </c>
      <c r="I922" t="s">
        <v>58</v>
      </c>
      <c r="J922">
        <v>0</v>
      </c>
      <c r="K922">
        <v>0</v>
      </c>
      <c r="L922">
        <v>0</v>
      </c>
      <c r="M922">
        <v>0</v>
      </c>
      <c r="N922">
        <v>10.84</v>
      </c>
      <c r="P922" t="s">
        <v>150</v>
      </c>
      <c r="Q922" s="38"/>
    </row>
    <row r="923" spans="1:17" x14ac:dyDescent="0.25">
      <c r="A923" s="39">
        <v>45418</v>
      </c>
      <c r="B923" t="s">
        <v>31</v>
      </c>
      <c r="C923" s="38" t="s">
        <v>8</v>
      </c>
      <c r="E923" t="s">
        <v>56</v>
      </c>
      <c r="G923" t="s">
        <v>138</v>
      </c>
      <c r="H923" s="9" t="s">
        <v>70</v>
      </c>
      <c r="I923" t="s">
        <v>65</v>
      </c>
      <c r="J923">
        <v>0</v>
      </c>
      <c r="K923">
        <v>0</v>
      </c>
      <c r="L923">
        <v>0</v>
      </c>
      <c r="M923">
        <v>0</v>
      </c>
      <c r="N923">
        <v>13.5</v>
      </c>
      <c r="P923" t="s">
        <v>156</v>
      </c>
      <c r="Q923" s="38"/>
    </row>
    <row r="924" spans="1:17" x14ac:dyDescent="0.25">
      <c r="A924" s="39">
        <v>45418</v>
      </c>
      <c r="B924" t="s">
        <v>32</v>
      </c>
      <c r="C924" s="38" t="s">
        <v>8</v>
      </c>
      <c r="D924" t="s">
        <v>413</v>
      </c>
      <c r="E924" t="s">
        <v>202</v>
      </c>
      <c r="F924" t="s">
        <v>346</v>
      </c>
      <c r="G924" t="s">
        <v>138</v>
      </c>
      <c r="H924" s="9" t="s">
        <v>69</v>
      </c>
      <c r="I924" t="s">
        <v>58</v>
      </c>
      <c r="J924">
        <v>0</v>
      </c>
      <c r="K924">
        <v>0</v>
      </c>
      <c r="L924">
        <v>0</v>
      </c>
      <c r="M924">
        <v>0</v>
      </c>
      <c r="N924">
        <v>14.39</v>
      </c>
      <c r="P924" t="s">
        <v>414</v>
      </c>
      <c r="Q924" s="38"/>
    </row>
    <row r="925" spans="1:17" x14ac:dyDescent="0.25">
      <c r="A925" s="39">
        <v>45418</v>
      </c>
      <c r="B925" t="s">
        <v>67</v>
      </c>
      <c r="C925" s="38" t="s">
        <v>8</v>
      </c>
      <c r="D925" t="s">
        <v>354</v>
      </c>
      <c r="E925" t="s">
        <v>56</v>
      </c>
      <c r="F925" t="s">
        <v>367</v>
      </c>
      <c r="G925" t="s">
        <v>138</v>
      </c>
      <c r="H925" s="9" t="s">
        <v>68</v>
      </c>
      <c r="I925" t="s">
        <v>65</v>
      </c>
      <c r="J925">
        <v>0</v>
      </c>
      <c r="K925">
        <v>0</v>
      </c>
      <c r="L925">
        <v>0</v>
      </c>
      <c r="M925">
        <v>0</v>
      </c>
      <c r="N925">
        <v>13.8</v>
      </c>
      <c r="P925" t="s">
        <v>156</v>
      </c>
      <c r="Q925" s="38"/>
    </row>
    <row r="926" spans="1:17" x14ac:dyDescent="0.25">
      <c r="A926" s="39">
        <v>45418</v>
      </c>
      <c r="B926" t="s">
        <v>33</v>
      </c>
      <c r="C926" s="38" t="s">
        <v>8</v>
      </c>
      <c r="D926" t="s">
        <v>277</v>
      </c>
      <c r="E926" t="s">
        <v>73</v>
      </c>
      <c r="F926" t="s">
        <v>346</v>
      </c>
      <c r="G926" t="s">
        <v>138</v>
      </c>
      <c r="H926" s="9" t="s">
        <v>66</v>
      </c>
      <c r="I926" t="s">
        <v>58</v>
      </c>
      <c r="J926">
        <v>0</v>
      </c>
      <c r="K926">
        <v>0</v>
      </c>
      <c r="L926">
        <v>0</v>
      </c>
      <c r="M926">
        <v>0</v>
      </c>
      <c r="N926">
        <v>14.19</v>
      </c>
      <c r="P926" t="s">
        <v>201</v>
      </c>
      <c r="Q926" s="38"/>
    </row>
    <row r="927" spans="1:17" x14ac:dyDescent="0.25">
      <c r="A927" s="39">
        <v>45418</v>
      </c>
      <c r="B927" t="s">
        <v>34</v>
      </c>
      <c r="C927" s="38" t="s">
        <v>8</v>
      </c>
      <c r="D927" t="s">
        <v>415</v>
      </c>
      <c r="E927" t="s">
        <v>56</v>
      </c>
      <c r="F927" t="s">
        <v>346</v>
      </c>
      <c r="G927" t="s">
        <v>138</v>
      </c>
      <c r="H927" s="9" t="s">
        <v>64</v>
      </c>
      <c r="I927" t="s">
        <v>65</v>
      </c>
      <c r="J927">
        <v>0</v>
      </c>
      <c r="K927">
        <v>0</v>
      </c>
      <c r="L927">
        <v>0</v>
      </c>
      <c r="M927">
        <v>0</v>
      </c>
      <c r="N927">
        <v>15.6</v>
      </c>
      <c r="P927" t="s">
        <v>416</v>
      </c>
      <c r="Q927" s="38"/>
    </row>
    <row r="928" spans="1:17" x14ac:dyDescent="0.25">
      <c r="A928" s="39">
        <v>45418</v>
      </c>
      <c r="B928" t="s">
        <v>35</v>
      </c>
      <c r="C928" s="38" t="s">
        <v>8</v>
      </c>
      <c r="D928" t="s">
        <v>331</v>
      </c>
      <c r="E928" t="s">
        <v>60</v>
      </c>
      <c r="F928" t="s">
        <v>346</v>
      </c>
      <c r="G928" t="s">
        <v>138</v>
      </c>
      <c r="H928" s="9" t="s">
        <v>237</v>
      </c>
      <c r="I928" t="s">
        <v>58</v>
      </c>
      <c r="J928">
        <v>0</v>
      </c>
      <c r="K928">
        <v>0</v>
      </c>
      <c r="L928">
        <v>0</v>
      </c>
      <c r="M928">
        <v>0</v>
      </c>
      <c r="N928">
        <v>14.64</v>
      </c>
      <c r="P928" t="s">
        <v>158</v>
      </c>
      <c r="Q928" s="38"/>
    </row>
    <row r="929" spans="1:17" x14ac:dyDescent="0.25">
      <c r="A929" s="39">
        <v>45418</v>
      </c>
      <c r="B929" t="s">
        <v>418</v>
      </c>
      <c r="C929" s="38" t="s">
        <v>8</v>
      </c>
      <c r="G929" t="s">
        <v>138</v>
      </c>
      <c r="H929" s="9" t="s">
        <v>240</v>
      </c>
      <c r="I929" t="s">
        <v>262</v>
      </c>
      <c r="J929">
        <v>0</v>
      </c>
      <c r="K929">
        <v>0</v>
      </c>
      <c r="L929">
        <v>0</v>
      </c>
      <c r="M929">
        <v>0</v>
      </c>
      <c r="N929">
        <v>17.670000000000002</v>
      </c>
      <c r="Q929" s="38"/>
    </row>
    <row r="930" spans="1:17" x14ac:dyDescent="0.25">
      <c r="A930" s="39">
        <v>45418</v>
      </c>
      <c r="B930" t="s">
        <v>419</v>
      </c>
      <c r="C930" s="38" t="s">
        <v>8</v>
      </c>
      <c r="G930" t="s">
        <v>138</v>
      </c>
      <c r="H930" s="9" t="s">
        <v>240</v>
      </c>
      <c r="I930" t="s">
        <v>262</v>
      </c>
      <c r="J930">
        <v>0</v>
      </c>
      <c r="K930">
        <v>0</v>
      </c>
      <c r="L930">
        <v>0</v>
      </c>
      <c r="M930">
        <v>0</v>
      </c>
      <c r="N930">
        <v>13.49</v>
      </c>
      <c r="Q930" s="38"/>
    </row>
    <row r="931" spans="1:17" x14ac:dyDescent="0.25">
      <c r="A931" s="39">
        <v>45418</v>
      </c>
      <c r="B931" t="s">
        <v>36</v>
      </c>
      <c r="C931" s="38" t="s">
        <v>8</v>
      </c>
      <c r="D931" t="s">
        <v>295</v>
      </c>
      <c r="E931" t="s">
        <v>81</v>
      </c>
      <c r="F931" t="s">
        <v>369</v>
      </c>
      <c r="G931" t="s">
        <v>138</v>
      </c>
      <c r="H931" s="9" t="s">
        <v>423</v>
      </c>
      <c r="I931" t="s">
        <v>58</v>
      </c>
      <c r="J931">
        <v>0</v>
      </c>
      <c r="K931">
        <v>0</v>
      </c>
      <c r="L931">
        <v>0</v>
      </c>
      <c r="M931">
        <v>0</v>
      </c>
      <c r="N931">
        <v>38472557</v>
      </c>
      <c r="P931" t="s">
        <v>156</v>
      </c>
      <c r="Q931" s="38"/>
    </row>
    <row r="932" spans="1:17" x14ac:dyDescent="0.25">
      <c r="A932" s="39">
        <v>45418</v>
      </c>
      <c r="B932" t="s">
        <v>256</v>
      </c>
      <c r="C932" s="38" t="s">
        <v>8</v>
      </c>
      <c r="D932" t="s">
        <v>392</v>
      </c>
      <c r="E932" t="s">
        <v>417</v>
      </c>
      <c r="F932" t="s">
        <v>192</v>
      </c>
      <c r="G932" t="s">
        <v>138</v>
      </c>
      <c r="H932" s="9"/>
      <c r="I932" t="s">
        <v>262</v>
      </c>
      <c r="J932">
        <v>0</v>
      </c>
      <c r="K932">
        <v>0</v>
      </c>
      <c r="L932">
        <v>0</v>
      </c>
      <c r="M932">
        <v>0</v>
      </c>
      <c r="N932">
        <v>0</v>
      </c>
      <c r="P932" t="s">
        <v>149</v>
      </c>
      <c r="Q932" s="38"/>
    </row>
    <row r="933" spans="1:17" x14ac:dyDescent="0.25">
      <c r="A933" s="39">
        <v>45418</v>
      </c>
      <c r="B933" t="s">
        <v>257</v>
      </c>
      <c r="C933" s="38" t="s">
        <v>8</v>
      </c>
      <c r="D933" t="s">
        <v>392</v>
      </c>
      <c r="E933" t="s">
        <v>417</v>
      </c>
      <c r="F933" t="s">
        <v>192</v>
      </c>
      <c r="G933" t="s">
        <v>138</v>
      </c>
      <c r="H933" s="9"/>
      <c r="I933" t="s">
        <v>58</v>
      </c>
      <c r="J933">
        <v>0</v>
      </c>
      <c r="K933">
        <v>0</v>
      </c>
      <c r="L933">
        <v>0</v>
      </c>
      <c r="M933">
        <v>0</v>
      </c>
      <c r="N933">
        <v>38.46</v>
      </c>
      <c r="P933" t="s">
        <v>149</v>
      </c>
      <c r="Q933" s="38"/>
    </row>
    <row r="934" spans="1:17" x14ac:dyDescent="0.25">
      <c r="A934" s="39">
        <v>45418</v>
      </c>
      <c r="B934" t="s">
        <v>37</v>
      </c>
      <c r="C934" s="38" t="s">
        <v>8</v>
      </c>
      <c r="D934" t="s">
        <v>347</v>
      </c>
      <c r="E934" t="s">
        <v>348</v>
      </c>
      <c r="F934" t="s">
        <v>346</v>
      </c>
      <c r="G934" t="s">
        <v>138</v>
      </c>
      <c r="H934" s="9" t="s">
        <v>425</v>
      </c>
      <c r="I934" t="s">
        <v>58</v>
      </c>
      <c r="J934">
        <v>0</v>
      </c>
      <c r="K934">
        <v>0</v>
      </c>
      <c r="L934">
        <v>0</v>
      </c>
      <c r="M934">
        <v>0</v>
      </c>
      <c r="N934">
        <v>13.5</v>
      </c>
      <c r="P934" t="s">
        <v>270</v>
      </c>
      <c r="Q934" s="38"/>
    </row>
    <row r="935" spans="1:17" x14ac:dyDescent="0.25">
      <c r="A935" s="39">
        <v>45418</v>
      </c>
      <c r="B935" t="s">
        <v>258</v>
      </c>
      <c r="C935" s="38" t="s">
        <v>8</v>
      </c>
      <c r="G935" t="s">
        <v>138</v>
      </c>
      <c r="H935" s="9" t="s">
        <v>426</v>
      </c>
      <c r="I935" t="s">
        <v>262</v>
      </c>
      <c r="J935">
        <v>0</v>
      </c>
      <c r="K935">
        <v>0</v>
      </c>
      <c r="L935">
        <v>0</v>
      </c>
      <c r="M935">
        <v>0</v>
      </c>
      <c r="N935">
        <v>13.5</v>
      </c>
      <c r="P935" t="s">
        <v>148</v>
      </c>
      <c r="Q935" s="38"/>
    </row>
    <row r="936" spans="1:17" x14ac:dyDescent="0.25">
      <c r="A936" s="39">
        <v>45418</v>
      </c>
      <c r="B936" t="s">
        <v>259</v>
      </c>
      <c r="C936" s="38" t="s">
        <v>8</v>
      </c>
      <c r="G936" t="s">
        <v>138</v>
      </c>
      <c r="H936" s="9" t="s">
        <v>426</v>
      </c>
      <c r="I936" t="s">
        <v>262</v>
      </c>
      <c r="J936">
        <v>0</v>
      </c>
      <c r="K936">
        <v>0</v>
      </c>
      <c r="L936">
        <v>0</v>
      </c>
      <c r="M936">
        <v>0</v>
      </c>
      <c r="N936">
        <v>41.06</v>
      </c>
      <c r="P936" t="s">
        <v>148</v>
      </c>
      <c r="Q936" s="38"/>
    </row>
    <row r="937" spans="1:17" x14ac:dyDescent="0.25">
      <c r="A937" s="39">
        <v>45418</v>
      </c>
      <c r="B937" t="s">
        <v>54</v>
      </c>
      <c r="C937" s="38" t="s">
        <v>8</v>
      </c>
      <c r="D937" t="s">
        <v>55</v>
      </c>
      <c r="E937" t="s">
        <v>56</v>
      </c>
      <c r="F937" t="s">
        <v>57</v>
      </c>
      <c r="G937" t="s">
        <v>138</v>
      </c>
      <c r="H937" s="9" t="s">
        <v>427</v>
      </c>
      <c r="I937" t="s">
        <v>58</v>
      </c>
      <c r="J937">
        <v>0</v>
      </c>
      <c r="K937">
        <v>0</v>
      </c>
      <c r="L937">
        <v>0</v>
      </c>
      <c r="M937">
        <v>0</v>
      </c>
      <c r="N937">
        <v>41.06</v>
      </c>
      <c r="P937" t="s">
        <v>159</v>
      </c>
      <c r="Q937" s="38"/>
    </row>
    <row r="938" spans="1:17" x14ac:dyDescent="0.25">
      <c r="A938" s="39">
        <v>45419</v>
      </c>
      <c r="B938" t="s">
        <v>136</v>
      </c>
      <c r="C938" s="38" t="s">
        <v>6</v>
      </c>
      <c r="D938" t="s">
        <v>174</v>
      </c>
      <c r="E938" t="s">
        <v>81</v>
      </c>
      <c r="F938" t="s">
        <v>90</v>
      </c>
      <c r="G938" t="s">
        <v>138</v>
      </c>
      <c r="H938" s="9" t="s">
        <v>160</v>
      </c>
      <c r="I938" t="s">
        <v>58</v>
      </c>
      <c r="J938">
        <v>0</v>
      </c>
      <c r="K938">
        <v>0</v>
      </c>
      <c r="L938">
        <v>0</v>
      </c>
      <c r="M938">
        <v>0</v>
      </c>
      <c r="N938">
        <v>42144554</v>
      </c>
      <c r="P938" t="s">
        <v>153</v>
      </c>
      <c r="Q938" s="38"/>
    </row>
    <row r="939" spans="1:17" x14ac:dyDescent="0.25">
      <c r="A939" s="39">
        <v>45419</v>
      </c>
      <c r="B939" s="38" t="s">
        <v>135</v>
      </c>
      <c r="C939" s="38" t="s">
        <v>6</v>
      </c>
      <c r="D939" s="38" t="s">
        <v>332</v>
      </c>
      <c r="E939" s="38" t="s">
        <v>81</v>
      </c>
      <c r="F939" s="38" t="s">
        <v>90</v>
      </c>
      <c r="G939" s="38" t="s">
        <v>138</v>
      </c>
      <c r="H939" s="9" t="s">
        <v>161</v>
      </c>
      <c r="I939" s="38" t="s">
        <v>58</v>
      </c>
      <c r="J939" s="38">
        <v>0</v>
      </c>
      <c r="K939">
        <v>0</v>
      </c>
      <c r="L939">
        <v>0</v>
      </c>
      <c r="M939">
        <v>0</v>
      </c>
      <c r="N939" s="38">
        <v>24.09</v>
      </c>
      <c r="O939" s="38"/>
      <c r="P939" s="38" t="s">
        <v>148</v>
      </c>
      <c r="Q939" s="38"/>
    </row>
    <row r="940" spans="1:17" x14ac:dyDescent="0.25">
      <c r="A940" s="39">
        <v>45419</v>
      </c>
      <c r="B940" s="38" t="s">
        <v>134</v>
      </c>
      <c r="C940" s="38" t="s">
        <v>6</v>
      </c>
      <c r="D940" s="38" t="s">
        <v>175</v>
      </c>
      <c r="E940" s="38" t="s">
        <v>81</v>
      </c>
      <c r="F940" s="38" t="s">
        <v>90</v>
      </c>
      <c r="G940" s="38" t="s">
        <v>138</v>
      </c>
      <c r="H940" s="9" t="s">
        <v>206</v>
      </c>
      <c r="I940" s="38" t="s">
        <v>58</v>
      </c>
      <c r="J940" s="38">
        <v>0</v>
      </c>
      <c r="K940">
        <v>0</v>
      </c>
      <c r="L940">
        <v>0</v>
      </c>
      <c r="M940">
        <v>0</v>
      </c>
      <c r="N940" s="38">
        <v>0</v>
      </c>
      <c r="O940" s="38"/>
      <c r="P940" s="38" t="s">
        <v>148</v>
      </c>
      <c r="Q940" s="38"/>
    </row>
    <row r="941" spans="1:17" x14ac:dyDescent="0.25">
      <c r="A941" s="39">
        <v>45419</v>
      </c>
      <c r="B941" s="38" t="s">
        <v>132</v>
      </c>
      <c r="C941" s="38" t="s">
        <v>6</v>
      </c>
      <c r="D941" s="38" t="s">
        <v>133</v>
      </c>
      <c r="E941" s="38" t="s">
        <v>126</v>
      </c>
      <c r="F941" s="38" t="s">
        <v>199</v>
      </c>
      <c r="G941" s="38" t="s">
        <v>138</v>
      </c>
      <c r="H941" s="9" t="s">
        <v>162</v>
      </c>
      <c r="I941" s="38" t="s">
        <v>58</v>
      </c>
      <c r="J941" s="38">
        <v>0</v>
      </c>
      <c r="K941">
        <v>0</v>
      </c>
      <c r="L941">
        <v>0</v>
      </c>
      <c r="M941">
        <v>0</v>
      </c>
      <c r="N941" s="38">
        <v>38.369999999999997</v>
      </c>
      <c r="O941" s="38"/>
      <c r="P941" s="38" t="s">
        <v>149</v>
      </c>
      <c r="Q941" s="38"/>
    </row>
    <row r="942" spans="1:17" x14ac:dyDescent="0.25">
      <c r="A942" s="39">
        <v>45419</v>
      </c>
      <c r="B942" s="38" t="s">
        <v>131</v>
      </c>
      <c r="C942" s="38" t="s">
        <v>6</v>
      </c>
      <c r="D942" s="38" t="s">
        <v>396</v>
      </c>
      <c r="E942" s="38" t="s">
        <v>60</v>
      </c>
      <c r="F942" s="38" t="s">
        <v>90</v>
      </c>
      <c r="G942" s="38" t="s">
        <v>138</v>
      </c>
      <c r="H942" s="9" t="s">
        <v>163</v>
      </c>
      <c r="I942" s="38" t="s">
        <v>58</v>
      </c>
      <c r="J942" s="38">
        <v>0</v>
      </c>
      <c r="K942">
        <v>0</v>
      </c>
      <c r="L942">
        <v>0</v>
      </c>
      <c r="M942">
        <v>0</v>
      </c>
      <c r="N942" s="38">
        <v>23.93</v>
      </c>
      <c r="O942" s="38"/>
      <c r="P942" s="38" t="s">
        <v>154</v>
      </c>
      <c r="Q942" s="38"/>
    </row>
    <row r="943" spans="1:17" x14ac:dyDescent="0.25">
      <c r="A943" s="39">
        <v>45419</v>
      </c>
      <c r="B943" s="38" t="s">
        <v>130</v>
      </c>
      <c r="C943" s="38" t="s">
        <v>6</v>
      </c>
      <c r="D943" s="38" t="s">
        <v>191</v>
      </c>
      <c r="E943" s="38" t="s">
        <v>81</v>
      </c>
      <c r="F943" s="38" t="s">
        <v>285</v>
      </c>
      <c r="G943" s="38" t="s">
        <v>138</v>
      </c>
      <c r="H943" s="9" t="s">
        <v>420</v>
      </c>
      <c r="I943" s="38" t="s">
        <v>58</v>
      </c>
      <c r="J943" s="38">
        <v>0</v>
      </c>
      <c r="K943">
        <v>0</v>
      </c>
      <c r="L943">
        <v>0</v>
      </c>
      <c r="M943">
        <v>0</v>
      </c>
      <c r="N943" s="38">
        <v>14.99</v>
      </c>
      <c r="O943" s="38"/>
      <c r="P943" s="38" t="s">
        <v>148</v>
      </c>
      <c r="Q943" s="38"/>
    </row>
    <row r="944" spans="1:17" x14ac:dyDescent="0.25">
      <c r="A944" s="39">
        <v>45419</v>
      </c>
      <c r="B944" s="38" t="s">
        <v>128</v>
      </c>
      <c r="C944" s="38" t="s">
        <v>6</v>
      </c>
      <c r="D944" s="38" t="s">
        <v>129</v>
      </c>
      <c r="E944" s="38" t="s">
        <v>126</v>
      </c>
      <c r="F944" s="38" t="s">
        <v>199</v>
      </c>
      <c r="G944" s="38" t="s">
        <v>138</v>
      </c>
      <c r="H944" s="9" t="s">
        <v>164</v>
      </c>
      <c r="I944" s="38" t="s">
        <v>58</v>
      </c>
      <c r="J944" s="38">
        <v>0</v>
      </c>
      <c r="K944">
        <v>0</v>
      </c>
      <c r="L944">
        <v>0</v>
      </c>
      <c r="M944">
        <v>0</v>
      </c>
      <c r="N944" s="38">
        <v>41.06</v>
      </c>
      <c r="O944" s="38"/>
      <c r="P944" s="38" t="s">
        <v>149</v>
      </c>
      <c r="Q944" s="38"/>
    </row>
    <row r="945" spans="1:17" x14ac:dyDescent="0.25">
      <c r="A945" s="39">
        <v>45419</v>
      </c>
      <c r="B945" s="38" t="s">
        <v>40</v>
      </c>
      <c r="C945" s="38" t="s">
        <v>6</v>
      </c>
      <c r="D945" s="38" t="s">
        <v>397</v>
      </c>
      <c r="E945" s="38" t="s">
        <v>60</v>
      </c>
      <c r="F945" s="38" t="s">
        <v>200</v>
      </c>
      <c r="G945" s="38" t="s">
        <v>138</v>
      </c>
      <c r="H945" s="9" t="s">
        <v>165</v>
      </c>
      <c r="I945" s="38" t="s">
        <v>58</v>
      </c>
      <c r="J945" s="38">
        <v>0</v>
      </c>
      <c r="K945">
        <v>0</v>
      </c>
      <c r="L945">
        <v>0</v>
      </c>
      <c r="M945">
        <v>0</v>
      </c>
      <c r="N945" s="38">
        <v>14.92</v>
      </c>
      <c r="O945" s="38"/>
      <c r="P945" s="38" t="s">
        <v>153</v>
      </c>
      <c r="Q945" s="38"/>
    </row>
    <row r="946" spans="1:17" x14ac:dyDescent="0.25">
      <c r="A946" s="39">
        <v>45419</v>
      </c>
      <c r="B946" s="38" t="s">
        <v>127</v>
      </c>
      <c r="C946" s="38" t="s">
        <v>6</v>
      </c>
      <c r="D946" s="38" t="s">
        <v>203</v>
      </c>
      <c r="E946" s="38" t="s">
        <v>81</v>
      </c>
      <c r="F946" s="38" t="s">
        <v>285</v>
      </c>
      <c r="G946" s="38" t="s">
        <v>138</v>
      </c>
      <c r="H946" s="9" t="s">
        <v>207</v>
      </c>
      <c r="I946" s="38" t="s">
        <v>58</v>
      </c>
      <c r="J946" s="38">
        <v>0</v>
      </c>
      <c r="K946">
        <v>0</v>
      </c>
      <c r="L946">
        <v>0</v>
      </c>
      <c r="M946">
        <v>0</v>
      </c>
      <c r="N946" s="38">
        <v>20.85</v>
      </c>
      <c r="O946" s="38"/>
      <c r="P946" s="38" t="s">
        <v>151</v>
      </c>
      <c r="Q946" s="38"/>
    </row>
    <row r="947" spans="1:17" x14ac:dyDescent="0.25">
      <c r="A947" s="39">
        <v>45419</v>
      </c>
      <c r="B947" s="38" t="s">
        <v>124</v>
      </c>
      <c r="C947" s="38" t="s">
        <v>6</v>
      </c>
      <c r="D947" s="38" t="s">
        <v>340</v>
      </c>
      <c r="E947" s="38" t="s">
        <v>126</v>
      </c>
      <c r="F947" s="38" t="s">
        <v>199</v>
      </c>
      <c r="G947" s="38" t="s">
        <v>138</v>
      </c>
      <c r="H947" s="9" t="s">
        <v>166</v>
      </c>
      <c r="I947" s="38" t="s">
        <v>58</v>
      </c>
      <c r="J947" s="38">
        <v>0</v>
      </c>
      <c r="K947">
        <v>0</v>
      </c>
      <c r="L947">
        <v>0</v>
      </c>
      <c r="M947">
        <v>0</v>
      </c>
      <c r="N947" s="38">
        <v>39863813</v>
      </c>
      <c r="O947" s="38"/>
      <c r="P947" s="38" t="s">
        <v>149</v>
      </c>
      <c r="Q947" s="38"/>
    </row>
    <row r="948" spans="1:17" x14ac:dyDescent="0.25">
      <c r="A948" s="39">
        <v>45419</v>
      </c>
      <c r="B948" s="38" t="s">
        <v>122</v>
      </c>
      <c r="C948" s="38" t="s">
        <v>6</v>
      </c>
      <c r="D948" s="38" t="s">
        <v>356</v>
      </c>
      <c r="E948" s="38" t="s">
        <v>81</v>
      </c>
      <c r="F948" s="38" t="s">
        <v>90</v>
      </c>
      <c r="G948" s="38" t="s">
        <v>138</v>
      </c>
      <c r="H948" s="9" t="s">
        <v>167</v>
      </c>
      <c r="I948" s="38" t="s">
        <v>58</v>
      </c>
      <c r="J948" s="38">
        <v>0</v>
      </c>
      <c r="K948">
        <v>0</v>
      </c>
      <c r="L948">
        <v>0</v>
      </c>
      <c r="M948">
        <v>0</v>
      </c>
      <c r="N948" s="38">
        <v>20.9</v>
      </c>
      <c r="O948" s="38"/>
      <c r="P948" s="38" t="s">
        <v>148</v>
      </c>
      <c r="Q948" s="38"/>
    </row>
    <row r="949" spans="1:17" x14ac:dyDescent="0.25">
      <c r="A949" s="39">
        <v>45419</v>
      </c>
      <c r="B949" s="38" t="s">
        <v>120</v>
      </c>
      <c r="C949" s="38" t="s">
        <v>6</v>
      </c>
      <c r="D949" s="38" t="s">
        <v>333</v>
      </c>
      <c r="E949" s="38" t="s">
        <v>375</v>
      </c>
      <c r="F949" s="38" t="s">
        <v>285</v>
      </c>
      <c r="G949" s="38" t="s">
        <v>138</v>
      </c>
      <c r="H949" s="9" t="s">
        <v>121</v>
      </c>
      <c r="I949" s="38" t="s">
        <v>58</v>
      </c>
      <c r="J949" s="38">
        <v>0</v>
      </c>
      <c r="K949">
        <v>0</v>
      </c>
      <c r="L949">
        <v>0</v>
      </c>
      <c r="M949">
        <v>0</v>
      </c>
      <c r="N949" s="38">
        <v>41.69</v>
      </c>
      <c r="O949" s="38"/>
      <c r="P949" s="38" t="s">
        <v>151</v>
      </c>
      <c r="Q949" s="38"/>
    </row>
    <row r="950" spans="1:17" x14ac:dyDescent="0.25">
      <c r="A950" s="39">
        <v>45419</v>
      </c>
      <c r="B950" s="38" t="s">
        <v>119</v>
      </c>
      <c r="C950" s="38" t="s">
        <v>6</v>
      </c>
      <c r="D950" s="38" t="s">
        <v>178</v>
      </c>
      <c r="E950" s="38" t="s">
        <v>399</v>
      </c>
      <c r="F950" s="38" t="s">
        <v>192</v>
      </c>
      <c r="G950" s="38" t="s">
        <v>138</v>
      </c>
      <c r="H950" s="9" t="s">
        <v>168</v>
      </c>
      <c r="I950" s="38" t="s">
        <v>58</v>
      </c>
      <c r="J950" s="38">
        <v>0</v>
      </c>
      <c r="K950">
        <v>0</v>
      </c>
      <c r="L950">
        <v>0</v>
      </c>
      <c r="M950">
        <v>0</v>
      </c>
      <c r="N950" s="38">
        <v>41.62</v>
      </c>
      <c r="O950" s="38"/>
      <c r="P950" s="38" t="s">
        <v>149</v>
      </c>
      <c r="Q950" s="38"/>
    </row>
    <row r="951" spans="1:17" x14ac:dyDescent="0.25">
      <c r="A951" s="39">
        <v>45419</v>
      </c>
      <c r="B951" s="38" t="s">
        <v>117</v>
      </c>
      <c r="C951" s="38" t="s">
        <v>6</v>
      </c>
      <c r="D951" s="38" t="s">
        <v>349</v>
      </c>
      <c r="E951" s="38" t="s">
        <v>398</v>
      </c>
      <c r="F951" s="38" t="s">
        <v>90</v>
      </c>
      <c r="G951" s="38" t="s">
        <v>138</v>
      </c>
      <c r="H951" s="9" t="s">
        <v>118</v>
      </c>
      <c r="I951" s="38" t="s">
        <v>58</v>
      </c>
      <c r="J951" s="38">
        <v>0</v>
      </c>
      <c r="K951">
        <v>0</v>
      </c>
      <c r="L951">
        <v>0</v>
      </c>
      <c r="M951">
        <v>0</v>
      </c>
      <c r="N951" s="38">
        <v>34.69</v>
      </c>
      <c r="O951" s="38"/>
      <c r="P951" s="38" t="s">
        <v>151</v>
      </c>
      <c r="Q951" s="38"/>
    </row>
    <row r="952" spans="1:17" x14ac:dyDescent="0.25">
      <c r="A952" s="39">
        <v>45419</v>
      </c>
      <c r="B952" s="38" t="s">
        <v>39</v>
      </c>
      <c r="C952" s="38" t="s">
        <v>6</v>
      </c>
      <c r="D952" s="38" t="s">
        <v>177</v>
      </c>
      <c r="E952" s="38" t="s">
        <v>377</v>
      </c>
      <c r="F952" s="38" t="s">
        <v>90</v>
      </c>
      <c r="G952" s="38" t="s">
        <v>138</v>
      </c>
      <c r="H952" s="9" t="s">
        <v>116</v>
      </c>
      <c r="I952" s="38" t="s">
        <v>58</v>
      </c>
      <c r="J952" s="38">
        <v>0</v>
      </c>
      <c r="K952">
        <v>0</v>
      </c>
      <c r="L952">
        <v>0</v>
      </c>
      <c r="M952">
        <v>0</v>
      </c>
      <c r="N952" s="38">
        <v>41.24</v>
      </c>
      <c r="O952" s="38"/>
      <c r="P952" s="38" t="s">
        <v>151</v>
      </c>
      <c r="Q952" s="38"/>
    </row>
    <row r="953" spans="1:17" x14ac:dyDescent="0.25">
      <c r="A953" s="39">
        <v>45419</v>
      </c>
      <c r="B953" s="38" t="s">
        <v>113</v>
      </c>
      <c r="C953" s="38" t="s">
        <v>6</v>
      </c>
      <c r="D953" s="38" t="s">
        <v>188</v>
      </c>
      <c r="E953" s="38" t="s">
        <v>126</v>
      </c>
      <c r="F953" s="38" t="s">
        <v>199</v>
      </c>
      <c r="G953" s="38" t="s">
        <v>138</v>
      </c>
      <c r="H953" s="9" t="s">
        <v>114</v>
      </c>
      <c r="I953" s="38" t="s">
        <v>58</v>
      </c>
      <c r="J953" s="38">
        <v>0</v>
      </c>
      <c r="K953">
        <v>0</v>
      </c>
      <c r="L953">
        <v>0</v>
      </c>
      <c r="M953">
        <v>0</v>
      </c>
      <c r="N953" s="38">
        <v>41.35</v>
      </c>
      <c r="O953" s="38"/>
      <c r="P953" s="38" t="s">
        <v>149</v>
      </c>
      <c r="Q953" s="38"/>
    </row>
    <row r="954" spans="1:17" x14ac:dyDescent="0.25">
      <c r="A954" s="39">
        <v>45419</v>
      </c>
      <c r="B954" s="38" t="s">
        <v>111</v>
      </c>
      <c r="C954" s="38" t="s">
        <v>6</v>
      </c>
      <c r="D954" s="38" t="s">
        <v>189</v>
      </c>
      <c r="E954" s="38" t="s">
        <v>81</v>
      </c>
      <c r="F954" s="38" t="s">
        <v>285</v>
      </c>
      <c r="G954" s="38" t="s">
        <v>138</v>
      </c>
      <c r="H954" s="9" t="s">
        <v>112</v>
      </c>
      <c r="I954" s="38" t="s">
        <v>58</v>
      </c>
      <c r="J954" s="38">
        <v>0</v>
      </c>
      <c r="K954">
        <v>0</v>
      </c>
      <c r="L954">
        <v>0</v>
      </c>
      <c r="M954">
        <v>0</v>
      </c>
      <c r="N954" s="38">
        <v>20.48</v>
      </c>
      <c r="O954" s="38"/>
      <c r="P954" s="38" t="s">
        <v>153</v>
      </c>
      <c r="Q954" s="38"/>
    </row>
    <row r="955" spans="1:17" x14ac:dyDescent="0.25">
      <c r="A955" s="39">
        <v>45419</v>
      </c>
      <c r="B955" s="38" t="s">
        <v>109</v>
      </c>
      <c r="C955" s="38" t="s">
        <v>6</v>
      </c>
      <c r="D955" s="38" t="s">
        <v>142</v>
      </c>
      <c r="E955" s="38" t="s">
        <v>56</v>
      </c>
      <c r="F955" s="38" t="s">
        <v>199</v>
      </c>
      <c r="G955" s="38" t="s">
        <v>138</v>
      </c>
      <c r="H955" s="9" t="s">
        <v>110</v>
      </c>
      <c r="I955" s="38" t="s">
        <v>58</v>
      </c>
      <c r="J955" s="38">
        <v>0</v>
      </c>
      <c r="K955">
        <v>0</v>
      </c>
      <c r="L955">
        <v>0</v>
      </c>
      <c r="M955">
        <v>0</v>
      </c>
      <c r="N955" s="38">
        <v>41.05</v>
      </c>
      <c r="O955" s="38"/>
      <c r="P955" s="38" t="s">
        <v>149</v>
      </c>
      <c r="Q955" s="38"/>
    </row>
    <row r="956" spans="1:17" x14ac:dyDescent="0.25">
      <c r="A956" s="39">
        <v>45419</v>
      </c>
      <c r="B956" s="38" t="s">
        <v>107</v>
      </c>
      <c r="C956" s="38" t="s">
        <v>6</v>
      </c>
      <c r="D956" s="38" t="s">
        <v>401</v>
      </c>
      <c r="E956" s="38" t="s">
        <v>56</v>
      </c>
      <c r="F956" s="38" t="s">
        <v>93</v>
      </c>
      <c r="G956" s="38" t="s">
        <v>138</v>
      </c>
      <c r="H956" s="9" t="s">
        <v>108</v>
      </c>
      <c r="I956" s="38" t="s">
        <v>58</v>
      </c>
      <c r="J956" s="38">
        <v>0</v>
      </c>
      <c r="K956">
        <v>0</v>
      </c>
      <c r="L956">
        <v>0</v>
      </c>
      <c r="M956">
        <v>0</v>
      </c>
      <c r="N956" s="38">
        <v>12.09</v>
      </c>
      <c r="O956" s="38"/>
      <c r="P956" s="38" t="s">
        <v>403</v>
      </c>
      <c r="Q956" s="38"/>
    </row>
    <row r="957" spans="1:17" x14ac:dyDescent="0.25">
      <c r="A957" s="39">
        <v>45419</v>
      </c>
      <c r="B957" s="38" t="s">
        <v>41</v>
      </c>
      <c r="C957" s="38" t="s">
        <v>6</v>
      </c>
      <c r="D957" s="38" t="s">
        <v>123</v>
      </c>
      <c r="E957" s="38" t="s">
        <v>81</v>
      </c>
      <c r="F957" s="38" t="s">
        <v>285</v>
      </c>
      <c r="G957" s="38" t="s">
        <v>138</v>
      </c>
      <c r="H957" s="9" t="s">
        <v>106</v>
      </c>
      <c r="I957" s="38" t="s">
        <v>58</v>
      </c>
      <c r="J957" s="38">
        <v>0</v>
      </c>
      <c r="K957">
        <v>0</v>
      </c>
      <c r="L957">
        <v>0</v>
      </c>
      <c r="M957">
        <v>0</v>
      </c>
      <c r="N957" s="38">
        <v>17.88</v>
      </c>
      <c r="O957" s="38"/>
      <c r="P957" s="38" t="s">
        <v>152</v>
      </c>
      <c r="Q957" s="38"/>
    </row>
    <row r="958" spans="1:17" x14ac:dyDescent="0.25">
      <c r="A958" s="39">
        <v>45419</v>
      </c>
      <c r="B958" s="38" t="s">
        <v>43</v>
      </c>
      <c r="C958" s="38" t="s">
        <v>6</v>
      </c>
      <c r="D958" s="38" t="s">
        <v>282</v>
      </c>
      <c r="E958" s="38" t="s">
        <v>275</v>
      </c>
      <c r="F958" s="38" t="s">
        <v>276</v>
      </c>
      <c r="G958" s="38" t="s">
        <v>138</v>
      </c>
      <c r="H958" s="9" t="s">
        <v>208</v>
      </c>
      <c r="I958" s="38" t="s">
        <v>58</v>
      </c>
      <c r="J958" s="38">
        <v>0</v>
      </c>
      <c r="K958">
        <v>0</v>
      </c>
      <c r="L958">
        <v>0</v>
      </c>
      <c r="M958">
        <v>0</v>
      </c>
      <c r="N958" s="38">
        <v>17.25</v>
      </c>
      <c r="O958" s="38"/>
      <c r="P958" s="38" t="s">
        <v>154</v>
      </c>
      <c r="Q958" s="38"/>
    </row>
    <row r="959" spans="1:17" x14ac:dyDescent="0.25">
      <c r="A959" s="39">
        <v>45419</v>
      </c>
      <c r="B959" s="38" t="s">
        <v>5</v>
      </c>
      <c r="C959" s="38" t="s">
        <v>6</v>
      </c>
      <c r="D959" s="38" t="s">
        <v>283</v>
      </c>
      <c r="E959" s="38" t="s">
        <v>60</v>
      </c>
      <c r="F959" s="38" t="s">
        <v>285</v>
      </c>
      <c r="G959" s="38" t="s">
        <v>138</v>
      </c>
      <c r="H959" s="9" t="s">
        <v>209</v>
      </c>
      <c r="I959" s="38" t="s">
        <v>58</v>
      </c>
      <c r="J959" s="38">
        <v>0</v>
      </c>
      <c r="K959">
        <v>0</v>
      </c>
      <c r="L959">
        <v>0</v>
      </c>
      <c r="M959">
        <v>0</v>
      </c>
      <c r="N959" s="38">
        <v>16.46</v>
      </c>
      <c r="O959" s="38"/>
      <c r="P959" s="38" t="s">
        <v>153</v>
      </c>
      <c r="Q959" s="38"/>
    </row>
    <row r="960" spans="1:17" x14ac:dyDescent="0.25">
      <c r="A960" s="39">
        <v>45419</v>
      </c>
      <c r="B960" s="38" t="s">
        <v>9</v>
      </c>
      <c r="C960" s="38" t="s">
        <v>6</v>
      </c>
      <c r="D960" s="38" t="s">
        <v>189</v>
      </c>
      <c r="E960" s="38" t="s">
        <v>360</v>
      </c>
      <c r="F960" s="38" t="s">
        <v>276</v>
      </c>
      <c r="G960" s="38" t="s">
        <v>138</v>
      </c>
      <c r="H960" s="9" t="s">
        <v>210</v>
      </c>
      <c r="I960" s="38" t="s">
        <v>58</v>
      </c>
      <c r="J960" s="38">
        <v>0</v>
      </c>
      <c r="K960">
        <v>0</v>
      </c>
      <c r="L960">
        <v>0</v>
      </c>
      <c r="M960">
        <v>0</v>
      </c>
      <c r="N960" s="38">
        <v>23.18</v>
      </c>
      <c r="O960" s="38"/>
      <c r="P960" s="38" t="s">
        <v>153</v>
      </c>
      <c r="Q960" s="38"/>
    </row>
    <row r="961" spans="1:17" x14ac:dyDescent="0.25">
      <c r="A961" s="39">
        <v>45419</v>
      </c>
      <c r="B961" s="38" t="s">
        <v>10</v>
      </c>
      <c r="C961" s="38" t="s">
        <v>6</v>
      </c>
      <c r="D961" s="38" t="s">
        <v>263</v>
      </c>
      <c r="E961" s="38" t="s">
        <v>342</v>
      </c>
      <c r="F961" s="38" t="s">
        <v>90</v>
      </c>
      <c r="G961" s="38" t="s">
        <v>138</v>
      </c>
      <c r="H961" s="9" t="s">
        <v>211</v>
      </c>
      <c r="I961" s="38" t="s">
        <v>58</v>
      </c>
      <c r="J961" s="38">
        <v>0</v>
      </c>
      <c r="K961">
        <v>0</v>
      </c>
      <c r="L961">
        <v>0</v>
      </c>
      <c r="M961">
        <v>0</v>
      </c>
      <c r="N961" s="38">
        <v>74.34</v>
      </c>
      <c r="O961" s="38"/>
      <c r="P961" s="38" t="s">
        <v>151</v>
      </c>
      <c r="Q961" s="38"/>
    </row>
    <row r="962" spans="1:17" x14ac:dyDescent="0.25">
      <c r="A962" s="39">
        <v>45419</v>
      </c>
      <c r="B962" s="38" t="s">
        <v>11</v>
      </c>
      <c r="C962" s="38" t="s">
        <v>6</v>
      </c>
      <c r="D962" s="38" t="s">
        <v>205</v>
      </c>
      <c r="E962" s="38" t="s">
        <v>60</v>
      </c>
      <c r="F962" s="38" t="s">
        <v>93</v>
      </c>
      <c r="G962" s="38" t="s">
        <v>138</v>
      </c>
      <c r="H962" s="9" t="s">
        <v>212</v>
      </c>
      <c r="I962" s="38" t="s">
        <v>58</v>
      </c>
      <c r="J962" s="38">
        <v>0</v>
      </c>
      <c r="K962">
        <v>0</v>
      </c>
      <c r="L962">
        <v>0</v>
      </c>
      <c r="M962">
        <v>0</v>
      </c>
      <c r="N962" s="38">
        <v>11.39</v>
      </c>
      <c r="O962" s="38"/>
      <c r="P962" s="38" t="s">
        <v>147</v>
      </c>
      <c r="Q962" s="38"/>
    </row>
    <row r="963" spans="1:17" x14ac:dyDescent="0.25">
      <c r="A963" s="39">
        <v>45419</v>
      </c>
      <c r="B963" s="38" t="s">
        <v>12</v>
      </c>
      <c r="C963" s="38" t="s">
        <v>6</v>
      </c>
      <c r="D963" s="38" t="s">
        <v>286</v>
      </c>
      <c r="E963" s="38" t="s">
        <v>60</v>
      </c>
      <c r="F963" s="38" t="s">
        <v>285</v>
      </c>
      <c r="G963" s="38" t="s">
        <v>138</v>
      </c>
      <c r="H963" s="9" t="s">
        <v>213</v>
      </c>
      <c r="I963" s="38" t="s">
        <v>58</v>
      </c>
      <c r="J963" s="38">
        <v>0</v>
      </c>
      <c r="K963">
        <v>0</v>
      </c>
      <c r="L963">
        <v>0</v>
      </c>
      <c r="M963">
        <v>0</v>
      </c>
      <c r="N963" s="38">
        <v>11.98</v>
      </c>
      <c r="O963" s="38"/>
      <c r="P963" s="38" t="s">
        <v>154</v>
      </c>
      <c r="Q963" s="38"/>
    </row>
    <row r="964" spans="1:17" x14ac:dyDescent="0.25">
      <c r="A964" s="39">
        <v>45419</v>
      </c>
      <c r="B964" s="38" t="s">
        <v>105</v>
      </c>
      <c r="C964" s="38" t="s">
        <v>6</v>
      </c>
      <c r="D964" s="38" t="s">
        <v>267</v>
      </c>
      <c r="E964" s="38" t="s">
        <v>60</v>
      </c>
      <c r="F964" s="38" t="s">
        <v>93</v>
      </c>
      <c r="G964" s="38" t="s">
        <v>138</v>
      </c>
      <c r="H964" s="9" t="s">
        <v>214</v>
      </c>
      <c r="I964" s="38" t="s">
        <v>58</v>
      </c>
      <c r="J964" s="38">
        <v>0</v>
      </c>
      <c r="K964">
        <v>0</v>
      </c>
      <c r="L964">
        <v>0</v>
      </c>
      <c r="M964">
        <v>0</v>
      </c>
      <c r="N964" s="38">
        <v>12.39</v>
      </c>
      <c r="O964" s="38"/>
      <c r="P964" s="38" t="s">
        <v>147</v>
      </c>
      <c r="Q964" s="38"/>
    </row>
    <row r="965" spans="1:17" x14ac:dyDescent="0.25">
      <c r="A965" s="39">
        <v>45419</v>
      </c>
      <c r="B965" s="38" t="s">
        <v>104</v>
      </c>
      <c r="C965" s="38" t="s">
        <v>6</v>
      </c>
      <c r="D965" s="38" t="s">
        <v>143</v>
      </c>
      <c r="E965" s="38" t="s">
        <v>60</v>
      </c>
      <c r="F965" s="38" t="s">
        <v>285</v>
      </c>
      <c r="G965" s="38" t="s">
        <v>138</v>
      </c>
      <c r="H965" s="9" t="s">
        <v>215</v>
      </c>
      <c r="I965" s="38" t="s">
        <v>58</v>
      </c>
      <c r="J965" s="38">
        <v>0</v>
      </c>
      <c r="K965">
        <v>0</v>
      </c>
      <c r="L965">
        <v>0</v>
      </c>
      <c r="M965">
        <v>0</v>
      </c>
      <c r="N965" s="38">
        <v>13.96</v>
      </c>
      <c r="O965" s="38"/>
      <c r="P965" s="38" t="s">
        <v>154</v>
      </c>
      <c r="Q965" s="38"/>
    </row>
    <row r="966" spans="1:17" x14ac:dyDescent="0.25">
      <c r="A966" s="39">
        <v>45419</v>
      </c>
      <c r="B966" s="38" t="s">
        <v>13</v>
      </c>
      <c r="C966" s="38" t="s">
        <v>6</v>
      </c>
      <c r="D966" s="38" t="s">
        <v>350</v>
      </c>
      <c r="E966" s="38" t="s">
        <v>60</v>
      </c>
      <c r="F966" s="38" t="s">
        <v>93</v>
      </c>
      <c r="G966" s="38" t="s">
        <v>138</v>
      </c>
      <c r="H966" s="9" t="s">
        <v>216</v>
      </c>
      <c r="I966" s="38" t="s">
        <v>58</v>
      </c>
      <c r="J966" s="38">
        <v>0</v>
      </c>
      <c r="K966">
        <v>0</v>
      </c>
      <c r="L966">
        <v>0</v>
      </c>
      <c r="M966">
        <v>0</v>
      </c>
      <c r="N966" s="38">
        <v>12.4</v>
      </c>
      <c r="O966" s="38"/>
      <c r="P966" s="38" t="s">
        <v>147</v>
      </c>
      <c r="Q966" s="38"/>
    </row>
    <row r="967" spans="1:17" x14ac:dyDescent="0.25">
      <c r="A967" s="39">
        <v>45419</v>
      </c>
      <c r="B967" s="38" t="s">
        <v>103</v>
      </c>
      <c r="C967" s="38" t="s">
        <v>6</v>
      </c>
      <c r="D967" s="38" t="s">
        <v>179</v>
      </c>
      <c r="E967" s="38" t="s">
        <v>81</v>
      </c>
      <c r="F967" s="38" t="s">
        <v>90</v>
      </c>
      <c r="G967" s="38" t="s">
        <v>138</v>
      </c>
      <c r="H967" s="9" t="s">
        <v>217</v>
      </c>
      <c r="I967" s="38" t="s">
        <v>65</v>
      </c>
      <c r="J967" s="38">
        <v>0</v>
      </c>
      <c r="K967">
        <v>0</v>
      </c>
      <c r="L967">
        <v>0</v>
      </c>
      <c r="M967">
        <v>0</v>
      </c>
      <c r="N967" s="38">
        <v>41.9</v>
      </c>
      <c r="O967" s="38"/>
      <c r="P967" s="38" t="s">
        <v>187</v>
      </c>
      <c r="Q967" s="38"/>
    </row>
    <row r="968" spans="1:17" x14ac:dyDescent="0.25">
      <c r="A968" s="39">
        <v>45419</v>
      </c>
      <c r="B968" s="38" t="s">
        <v>101</v>
      </c>
      <c r="C968" s="38" t="s">
        <v>6</v>
      </c>
      <c r="D968" s="38" t="s">
        <v>405</v>
      </c>
      <c r="E968" s="38" t="s">
        <v>81</v>
      </c>
      <c r="F968" s="38" t="s">
        <v>285</v>
      </c>
      <c r="G968" s="38" t="s">
        <v>138</v>
      </c>
      <c r="H968" s="9" t="s">
        <v>102</v>
      </c>
      <c r="I968" s="38" t="s">
        <v>58</v>
      </c>
      <c r="J968" s="38">
        <v>0</v>
      </c>
      <c r="K968">
        <v>0</v>
      </c>
      <c r="L968">
        <v>0</v>
      </c>
      <c r="M968">
        <v>0</v>
      </c>
      <c r="N968" s="38">
        <v>19.600000000000001</v>
      </c>
      <c r="O968" s="38"/>
      <c r="P968" s="38" t="s">
        <v>151</v>
      </c>
      <c r="Q968" s="38"/>
    </row>
    <row r="969" spans="1:17" x14ac:dyDescent="0.25">
      <c r="A969" s="39">
        <v>45419</v>
      </c>
      <c r="B969" s="38" t="s">
        <v>99</v>
      </c>
      <c r="C969" s="38" t="s">
        <v>6</v>
      </c>
      <c r="D969" s="38" t="s">
        <v>249</v>
      </c>
      <c r="E969" s="38" t="s">
        <v>81</v>
      </c>
      <c r="F969" s="38" t="s">
        <v>90</v>
      </c>
      <c r="G969" s="38" t="s">
        <v>138</v>
      </c>
      <c r="H969" s="9" t="s">
        <v>100</v>
      </c>
      <c r="I969" s="38"/>
      <c r="J969" s="38">
        <v>0</v>
      </c>
      <c r="K969">
        <v>0</v>
      </c>
      <c r="L969">
        <v>0</v>
      </c>
      <c r="M969">
        <v>0</v>
      </c>
      <c r="N969" s="38">
        <v>41.83</v>
      </c>
      <c r="O969" s="38"/>
      <c r="P969" s="38" t="s">
        <v>152</v>
      </c>
      <c r="Q969" s="38"/>
    </row>
    <row r="970" spans="1:17" x14ac:dyDescent="0.25">
      <c r="A970" s="39">
        <v>45419</v>
      </c>
      <c r="B970" s="38" t="s">
        <v>97</v>
      </c>
      <c r="C970" s="38" t="s">
        <v>6</v>
      </c>
      <c r="D970" s="38" t="s">
        <v>288</v>
      </c>
      <c r="E970" s="38" t="s">
        <v>352</v>
      </c>
      <c r="F970" s="38" t="s">
        <v>285</v>
      </c>
      <c r="G970" s="38" t="s">
        <v>138</v>
      </c>
      <c r="H970" s="9" t="s">
        <v>98</v>
      </c>
      <c r="I970" s="38" t="s">
        <v>58</v>
      </c>
      <c r="J970" s="38">
        <v>0</v>
      </c>
      <c r="K970">
        <v>0</v>
      </c>
      <c r="L970">
        <v>0</v>
      </c>
      <c r="M970">
        <v>0</v>
      </c>
      <c r="N970" s="38">
        <v>22.49</v>
      </c>
      <c r="O970" s="38"/>
      <c r="P970" s="38" t="s">
        <v>148</v>
      </c>
      <c r="Q970" s="38"/>
    </row>
    <row r="971" spans="1:17" x14ac:dyDescent="0.25">
      <c r="A971" s="39">
        <v>45419</v>
      </c>
      <c r="B971" s="38" t="s">
        <v>95</v>
      </c>
      <c r="C971" s="38" t="s">
        <v>6</v>
      </c>
      <c r="D971" s="38" t="s">
        <v>181</v>
      </c>
      <c r="E971" s="38" t="s">
        <v>81</v>
      </c>
      <c r="F971" s="38" t="s">
        <v>90</v>
      </c>
      <c r="G971" s="38" t="s">
        <v>138</v>
      </c>
      <c r="H971" s="9" t="s">
        <v>96</v>
      </c>
      <c r="I971" s="38" t="s">
        <v>65</v>
      </c>
      <c r="J971" s="38">
        <v>0</v>
      </c>
      <c r="K971">
        <v>0</v>
      </c>
      <c r="L971">
        <v>0</v>
      </c>
      <c r="M971">
        <v>0</v>
      </c>
      <c r="N971" s="38">
        <v>20.38</v>
      </c>
      <c r="O971" s="38"/>
      <c r="P971" s="38" t="s">
        <v>152</v>
      </c>
      <c r="Q971" s="38"/>
    </row>
    <row r="972" spans="1:17" x14ac:dyDescent="0.25">
      <c r="A972" s="39">
        <v>45419</v>
      </c>
      <c r="B972" s="38" t="s">
        <v>14</v>
      </c>
      <c r="C972" s="38" t="s">
        <v>6</v>
      </c>
      <c r="D972" s="38" t="s">
        <v>289</v>
      </c>
      <c r="E972" s="38" t="s">
        <v>352</v>
      </c>
      <c r="F972" s="38" t="s">
        <v>285</v>
      </c>
      <c r="G972" s="38" t="s">
        <v>138</v>
      </c>
      <c r="H972" s="9" t="s">
        <v>94</v>
      </c>
      <c r="I972" s="38" t="s">
        <v>58</v>
      </c>
      <c r="J972" s="38">
        <v>0</v>
      </c>
      <c r="K972">
        <v>0</v>
      </c>
      <c r="L972">
        <v>0</v>
      </c>
      <c r="M972">
        <v>0</v>
      </c>
      <c r="N972" s="38">
        <v>25.88</v>
      </c>
      <c r="O972" s="38"/>
      <c r="P972" s="38" t="s">
        <v>151</v>
      </c>
      <c r="Q972" s="38"/>
    </row>
    <row r="973" spans="1:17" x14ac:dyDescent="0.25">
      <c r="A973" s="39">
        <v>45419</v>
      </c>
      <c r="B973" s="38" t="s">
        <v>91</v>
      </c>
      <c r="C973" s="38" t="s">
        <v>6</v>
      </c>
      <c r="D973" s="38" t="s">
        <v>180</v>
      </c>
      <c r="E973" s="38" t="s">
        <v>81</v>
      </c>
      <c r="F973" s="38" t="s">
        <v>90</v>
      </c>
      <c r="G973" s="38" t="s">
        <v>138</v>
      </c>
      <c r="H973" s="9" t="s">
        <v>92</v>
      </c>
      <c r="I973" s="38"/>
      <c r="J973" s="38">
        <v>0</v>
      </c>
      <c r="K973">
        <v>0</v>
      </c>
      <c r="L973">
        <v>0</v>
      </c>
      <c r="M973">
        <v>0</v>
      </c>
      <c r="N973" s="38">
        <v>16.73</v>
      </c>
      <c r="O973" s="38"/>
      <c r="P973" s="38" t="s">
        <v>148</v>
      </c>
      <c r="Q973" s="38"/>
    </row>
    <row r="974" spans="1:17" x14ac:dyDescent="0.25">
      <c r="A974" s="39">
        <v>45419</v>
      </c>
      <c r="B974" s="38" t="s">
        <v>15</v>
      </c>
      <c r="C974" s="38" t="s">
        <v>6</v>
      </c>
      <c r="D974" s="38" t="s">
        <v>140</v>
      </c>
      <c r="E974" s="38" t="s">
        <v>81</v>
      </c>
      <c r="F974" s="38" t="s">
        <v>285</v>
      </c>
      <c r="G974" s="38" t="s">
        <v>138</v>
      </c>
      <c r="H974" s="9" t="s">
        <v>218</v>
      </c>
      <c r="I974" s="38" t="s">
        <v>58</v>
      </c>
      <c r="J974" s="38">
        <v>0</v>
      </c>
      <c r="K974">
        <v>0</v>
      </c>
      <c r="L974">
        <v>0</v>
      </c>
      <c r="M974">
        <v>0</v>
      </c>
      <c r="N974" s="38">
        <v>20.190000000000001</v>
      </c>
      <c r="O974" s="38"/>
      <c r="P974" s="38" t="s">
        <v>148</v>
      </c>
      <c r="Q974" s="38"/>
    </row>
    <row r="975" spans="1:17" x14ac:dyDescent="0.25">
      <c r="A975" s="39">
        <v>45419</v>
      </c>
      <c r="B975" s="38" t="s">
        <v>89</v>
      </c>
      <c r="C975" s="38" t="s">
        <v>6</v>
      </c>
      <c r="D975" s="38" t="s">
        <v>176</v>
      </c>
      <c r="E975" s="38" t="s">
        <v>398</v>
      </c>
      <c r="F975" s="38" t="s">
        <v>90</v>
      </c>
      <c r="G975" s="38" t="s">
        <v>138</v>
      </c>
      <c r="H975" s="9" t="s">
        <v>219</v>
      </c>
      <c r="I975" s="38" t="s">
        <v>65</v>
      </c>
      <c r="J975" s="38">
        <v>0</v>
      </c>
      <c r="K975">
        <v>0</v>
      </c>
      <c r="L975">
        <v>0</v>
      </c>
      <c r="M975">
        <v>0</v>
      </c>
      <c r="N975" s="38">
        <v>17.670000000000002</v>
      </c>
      <c r="O975" s="38"/>
      <c r="P975" s="38" t="s">
        <v>186</v>
      </c>
      <c r="Q975" s="38"/>
    </row>
    <row r="976" spans="1:17" x14ac:dyDescent="0.25">
      <c r="A976" s="39">
        <v>45419</v>
      </c>
      <c r="B976" s="38" t="s">
        <v>16</v>
      </c>
      <c r="C976" s="38" t="s">
        <v>6</v>
      </c>
      <c r="D976" s="38" t="s">
        <v>407</v>
      </c>
      <c r="E976" s="38" t="s">
        <v>360</v>
      </c>
      <c r="F976" s="38" t="s">
        <v>253</v>
      </c>
      <c r="G976" s="38" t="s">
        <v>138</v>
      </c>
      <c r="H976" s="9" t="s">
        <v>220</v>
      </c>
      <c r="I976" s="38" t="s">
        <v>58</v>
      </c>
      <c r="J976" s="38">
        <v>0</v>
      </c>
      <c r="K976">
        <v>0</v>
      </c>
      <c r="L976">
        <v>0</v>
      </c>
      <c r="M976">
        <v>0</v>
      </c>
      <c r="N976" s="38">
        <v>21.19</v>
      </c>
      <c r="O976" s="38"/>
      <c r="P976" s="38" t="s">
        <v>151</v>
      </c>
      <c r="Q976" s="38"/>
    </row>
    <row r="977" spans="1:17" x14ac:dyDescent="0.25">
      <c r="A977" s="39">
        <v>45419</v>
      </c>
      <c r="B977" s="38" t="s">
        <v>88</v>
      </c>
      <c r="C977" s="38" t="s">
        <v>6</v>
      </c>
      <c r="D977" s="38" t="s">
        <v>311</v>
      </c>
      <c r="E977" s="38" t="s">
        <v>60</v>
      </c>
      <c r="F977" s="38" t="s">
        <v>253</v>
      </c>
      <c r="G977" s="38" t="s">
        <v>138</v>
      </c>
      <c r="H977" s="9" t="s">
        <v>221</v>
      </c>
      <c r="I977" s="38"/>
      <c r="J977" s="38">
        <v>0</v>
      </c>
      <c r="K977">
        <v>0</v>
      </c>
      <c r="L977">
        <v>0</v>
      </c>
      <c r="M977">
        <v>0</v>
      </c>
      <c r="N977" s="38">
        <v>38.44</v>
      </c>
      <c r="O977" s="38"/>
      <c r="P977" s="38" t="s">
        <v>154</v>
      </c>
      <c r="Q977" s="38"/>
    </row>
    <row r="978" spans="1:17" x14ac:dyDescent="0.25">
      <c r="A978" s="39">
        <v>45419</v>
      </c>
      <c r="B978" s="38" t="s">
        <v>17</v>
      </c>
      <c r="C978" s="38" t="s">
        <v>6</v>
      </c>
      <c r="D978" s="38" t="s">
        <v>272</v>
      </c>
      <c r="E978" s="38" t="s">
        <v>275</v>
      </c>
      <c r="F978" s="38" t="s">
        <v>276</v>
      </c>
      <c r="G978" s="38" t="s">
        <v>138</v>
      </c>
      <c r="H978" s="9" t="s">
        <v>222</v>
      </c>
      <c r="I978" s="38" t="s">
        <v>58</v>
      </c>
      <c r="J978" s="38">
        <v>0</v>
      </c>
      <c r="K978">
        <v>0</v>
      </c>
      <c r="L978">
        <v>0</v>
      </c>
      <c r="M978">
        <v>0</v>
      </c>
      <c r="N978" s="38">
        <v>20.56</v>
      </c>
      <c r="O978" s="38"/>
      <c r="P978" s="38" t="s">
        <v>151</v>
      </c>
      <c r="Q978" s="38"/>
    </row>
    <row r="979" spans="1:17" x14ac:dyDescent="0.25">
      <c r="A979" s="39">
        <v>45419</v>
      </c>
      <c r="B979" s="38" t="s">
        <v>19</v>
      </c>
      <c r="C979" s="38" t="s">
        <v>6</v>
      </c>
      <c r="D979" s="38" t="s">
        <v>343</v>
      </c>
      <c r="E979" s="38" t="s">
        <v>81</v>
      </c>
      <c r="F979" s="38" t="s">
        <v>253</v>
      </c>
      <c r="G979" s="38" t="s">
        <v>138</v>
      </c>
      <c r="H979" s="9" t="s">
        <v>223</v>
      </c>
      <c r="I979" s="38" t="s">
        <v>65</v>
      </c>
      <c r="J979" s="38">
        <v>0</v>
      </c>
      <c r="K979">
        <v>0</v>
      </c>
      <c r="L979">
        <v>0</v>
      </c>
      <c r="M979">
        <v>0</v>
      </c>
      <c r="N979" s="38">
        <v>41.06</v>
      </c>
      <c r="O979" s="38"/>
      <c r="P979" s="38" t="s">
        <v>151</v>
      </c>
      <c r="Q979" s="38"/>
    </row>
    <row r="980" spans="1:17" x14ac:dyDescent="0.25">
      <c r="A980" s="39">
        <v>45419</v>
      </c>
      <c r="B980" s="38" t="s">
        <v>18</v>
      </c>
      <c r="C980" s="38" t="s">
        <v>6</v>
      </c>
      <c r="D980" s="38" t="s">
        <v>268</v>
      </c>
      <c r="E980" s="38" t="s">
        <v>408</v>
      </c>
      <c r="F980" s="38" t="s">
        <v>253</v>
      </c>
      <c r="G980" s="38" t="s">
        <v>138</v>
      </c>
      <c r="H980" s="9" t="s">
        <v>224</v>
      </c>
      <c r="I980" s="38" t="s">
        <v>58</v>
      </c>
      <c r="J980" s="38">
        <v>0</v>
      </c>
      <c r="K980">
        <v>0</v>
      </c>
      <c r="L980">
        <v>0</v>
      </c>
      <c r="M980">
        <v>0</v>
      </c>
      <c r="N980" s="38">
        <v>18.89</v>
      </c>
      <c r="O980" s="38"/>
      <c r="P980" s="38" t="s">
        <v>148</v>
      </c>
      <c r="Q980" s="38"/>
    </row>
    <row r="981" spans="1:17" x14ac:dyDescent="0.25">
      <c r="A981" s="39">
        <v>45419</v>
      </c>
      <c r="B981" s="38" t="s">
        <v>87</v>
      </c>
      <c r="C981" s="38" t="s">
        <v>6</v>
      </c>
      <c r="D981" s="38"/>
      <c r="E981" s="38"/>
      <c r="F981" s="38"/>
      <c r="G981" s="38" t="s">
        <v>138</v>
      </c>
      <c r="H981" s="9" t="s">
        <v>225</v>
      </c>
      <c r="I981" s="38"/>
      <c r="J981" s="38">
        <v>0</v>
      </c>
      <c r="K981">
        <v>0</v>
      </c>
      <c r="L981">
        <v>0</v>
      </c>
      <c r="M981">
        <v>0</v>
      </c>
      <c r="N981" s="38">
        <v>41146219</v>
      </c>
      <c r="O981" s="38"/>
      <c r="P981" s="38"/>
      <c r="Q981" s="38"/>
    </row>
    <row r="982" spans="1:17" x14ac:dyDescent="0.25">
      <c r="A982" s="39">
        <v>45419</v>
      </c>
      <c r="B982" s="38" t="s">
        <v>42</v>
      </c>
      <c r="C982" s="38" t="s">
        <v>6</v>
      </c>
      <c r="D982" s="38" t="s">
        <v>246</v>
      </c>
      <c r="E982" s="38" t="s">
        <v>81</v>
      </c>
      <c r="F982" s="38" t="s">
        <v>285</v>
      </c>
      <c r="G982" s="38" t="s">
        <v>138</v>
      </c>
      <c r="H982" s="9" t="s">
        <v>226</v>
      </c>
      <c r="I982" s="38" t="s">
        <v>58</v>
      </c>
      <c r="J982" s="38">
        <v>0</v>
      </c>
      <c r="K982">
        <v>0</v>
      </c>
      <c r="L982">
        <v>0</v>
      </c>
      <c r="M982">
        <v>0</v>
      </c>
      <c r="N982" s="38">
        <v>20.7</v>
      </c>
      <c r="O982" s="38"/>
      <c r="P982" s="38" t="s">
        <v>148</v>
      </c>
      <c r="Q982" s="38"/>
    </row>
    <row r="983" spans="1:17" x14ac:dyDescent="0.25">
      <c r="A983" s="39">
        <v>45419</v>
      </c>
      <c r="B983" s="38" t="s">
        <v>86</v>
      </c>
      <c r="C983" s="38" t="s">
        <v>6</v>
      </c>
      <c r="D983" s="38" t="s">
        <v>271</v>
      </c>
      <c r="E983" s="38" t="s">
        <v>275</v>
      </c>
      <c r="F983" s="38" t="s">
        <v>276</v>
      </c>
      <c r="G983" s="38" t="s">
        <v>138</v>
      </c>
      <c r="H983" s="9" t="s">
        <v>227</v>
      </c>
      <c r="I983" s="38" t="s">
        <v>65</v>
      </c>
      <c r="J983" s="38">
        <v>0</v>
      </c>
      <c r="K983">
        <v>0</v>
      </c>
      <c r="L983">
        <v>0</v>
      </c>
      <c r="M983">
        <v>0</v>
      </c>
      <c r="N983" s="38">
        <v>41.64</v>
      </c>
      <c r="O983" s="38"/>
      <c r="P983" s="38" t="s">
        <v>152</v>
      </c>
      <c r="Q983" s="38"/>
    </row>
    <row r="984" spans="1:17" x14ac:dyDescent="0.25">
      <c r="A984" s="39">
        <v>45419</v>
      </c>
      <c r="B984" s="38" t="s">
        <v>38</v>
      </c>
      <c r="C984" s="38" t="s">
        <v>6</v>
      </c>
      <c r="D984" s="38" t="s">
        <v>141</v>
      </c>
      <c r="E984" s="38" t="s">
        <v>81</v>
      </c>
      <c r="F984" s="38" t="s">
        <v>285</v>
      </c>
      <c r="G984" s="38" t="s">
        <v>138</v>
      </c>
      <c r="H984" s="9" t="s">
        <v>85</v>
      </c>
      <c r="I984" s="38" t="s">
        <v>58</v>
      </c>
      <c r="J984" s="38">
        <v>0</v>
      </c>
      <c r="K984">
        <v>0</v>
      </c>
      <c r="L984">
        <v>0</v>
      </c>
      <c r="M984">
        <v>0</v>
      </c>
      <c r="N984" s="38">
        <v>37.5</v>
      </c>
      <c r="O984" s="38"/>
      <c r="P984" s="38" t="s">
        <v>151</v>
      </c>
      <c r="Q984" s="38"/>
    </row>
    <row r="985" spans="1:17" x14ac:dyDescent="0.25">
      <c r="A985" s="39">
        <v>45419</v>
      </c>
      <c r="B985" s="38" t="s">
        <v>83</v>
      </c>
      <c r="C985" s="38" t="s">
        <v>6</v>
      </c>
      <c r="D985" s="38"/>
      <c r="E985" s="38"/>
      <c r="F985" s="38"/>
      <c r="G985" s="38" t="s">
        <v>138</v>
      </c>
      <c r="H985" s="9" t="s">
        <v>84</v>
      </c>
      <c r="I985" s="38"/>
      <c r="J985" s="38">
        <v>0</v>
      </c>
      <c r="K985">
        <v>0</v>
      </c>
      <c r="L985">
        <v>0</v>
      </c>
      <c r="M985">
        <v>0</v>
      </c>
      <c r="N985" s="38">
        <v>41.36</v>
      </c>
      <c r="O985" s="38"/>
      <c r="P985" s="38"/>
      <c r="Q985" s="38"/>
    </row>
    <row r="986" spans="1:17" x14ac:dyDescent="0.25">
      <c r="A986" s="39">
        <v>45419</v>
      </c>
      <c r="B986" s="38" t="s">
        <v>20</v>
      </c>
      <c r="C986" s="38" t="s">
        <v>6</v>
      </c>
      <c r="D986" s="38" t="s">
        <v>351</v>
      </c>
      <c r="E986" s="38" t="s">
        <v>352</v>
      </c>
      <c r="F986" s="38" t="s">
        <v>285</v>
      </c>
      <c r="G986" s="38" t="s">
        <v>138</v>
      </c>
      <c r="H986" s="9" t="s">
        <v>82</v>
      </c>
      <c r="I986" s="38" t="s">
        <v>58</v>
      </c>
      <c r="J986" s="38">
        <v>0</v>
      </c>
      <c r="K986">
        <v>0</v>
      </c>
      <c r="L986">
        <v>0</v>
      </c>
      <c r="M986">
        <v>0</v>
      </c>
      <c r="N986" s="38">
        <v>22.79</v>
      </c>
      <c r="O986" s="38"/>
      <c r="P986" s="38" t="s">
        <v>151</v>
      </c>
      <c r="Q986" s="38"/>
    </row>
    <row r="987" spans="1:17" x14ac:dyDescent="0.25">
      <c r="A987" s="39">
        <v>45419</v>
      </c>
      <c r="B987" s="38" t="s">
        <v>21</v>
      </c>
      <c r="C987" s="38" t="s">
        <v>6</v>
      </c>
      <c r="D987" s="38" t="s">
        <v>291</v>
      </c>
      <c r="E987" s="38" t="s">
        <v>352</v>
      </c>
      <c r="F987" s="38" t="s">
        <v>285</v>
      </c>
      <c r="G987" s="38" t="s">
        <v>138</v>
      </c>
      <c r="H987" s="9" t="s">
        <v>80</v>
      </c>
      <c r="I987" s="38" t="s">
        <v>65</v>
      </c>
      <c r="J987" s="38">
        <v>0</v>
      </c>
      <c r="K987">
        <v>0</v>
      </c>
      <c r="L987">
        <v>0</v>
      </c>
      <c r="M987">
        <v>0</v>
      </c>
      <c r="N987" s="38">
        <v>21.59</v>
      </c>
      <c r="O987" s="38"/>
      <c r="P987" s="38" t="s">
        <v>152</v>
      </c>
      <c r="Q987" s="38"/>
    </row>
    <row r="988" spans="1:17" x14ac:dyDescent="0.25">
      <c r="A988" s="39">
        <v>45419</v>
      </c>
      <c r="B988" s="38" t="s">
        <v>22</v>
      </c>
      <c r="C988" s="38" t="s">
        <v>6</v>
      </c>
      <c r="D988" s="38" t="s">
        <v>353</v>
      </c>
      <c r="E988" s="38" t="s">
        <v>352</v>
      </c>
      <c r="F988" s="38" t="s">
        <v>285</v>
      </c>
      <c r="G988" s="38" t="s">
        <v>138</v>
      </c>
      <c r="H988" s="9" t="s">
        <v>79</v>
      </c>
      <c r="I988" s="38" t="s">
        <v>58</v>
      </c>
      <c r="J988" s="38">
        <v>0</v>
      </c>
      <c r="K988">
        <v>0</v>
      </c>
      <c r="L988">
        <v>0</v>
      </c>
      <c r="M988">
        <v>0</v>
      </c>
      <c r="N988" s="38">
        <v>13.62</v>
      </c>
      <c r="O988" s="38"/>
      <c r="P988" s="38" t="s">
        <v>148</v>
      </c>
      <c r="Q988" s="38"/>
    </row>
    <row r="989" spans="1:17" x14ac:dyDescent="0.25">
      <c r="A989" s="39">
        <v>45419</v>
      </c>
      <c r="B989" s="38" t="s">
        <v>77</v>
      </c>
      <c r="C989" s="38" t="s">
        <v>6</v>
      </c>
      <c r="D989" s="38"/>
      <c r="E989" s="38"/>
      <c r="F989" s="38"/>
      <c r="G989" s="38" t="s">
        <v>138</v>
      </c>
      <c r="H989" s="9" t="s">
        <v>78</v>
      </c>
      <c r="I989" s="38"/>
      <c r="J989" s="38">
        <v>0</v>
      </c>
      <c r="K989">
        <v>0</v>
      </c>
      <c r="L989">
        <v>0</v>
      </c>
      <c r="M989">
        <v>0</v>
      </c>
      <c r="N989" s="38">
        <v>17.88</v>
      </c>
      <c r="O989" s="38"/>
      <c r="P989" s="38"/>
      <c r="Q989" s="38"/>
    </row>
    <row r="990" spans="1:17" x14ac:dyDescent="0.25">
      <c r="A990" s="39">
        <v>45419</v>
      </c>
      <c r="B990" s="38" t="s">
        <v>23</v>
      </c>
      <c r="C990" s="38" t="s">
        <v>6</v>
      </c>
      <c r="D990" s="38" t="s">
        <v>409</v>
      </c>
      <c r="E990" s="38" t="s">
        <v>352</v>
      </c>
      <c r="F990" s="38" t="s">
        <v>285</v>
      </c>
      <c r="G990" s="38" t="s">
        <v>138</v>
      </c>
      <c r="H990" s="9" t="s">
        <v>228</v>
      </c>
      <c r="I990" s="38" t="s">
        <v>58</v>
      </c>
      <c r="J990" s="38">
        <v>0</v>
      </c>
      <c r="K990">
        <v>0</v>
      </c>
      <c r="L990">
        <v>0</v>
      </c>
      <c r="M990">
        <v>0</v>
      </c>
      <c r="N990" s="38">
        <v>23.22</v>
      </c>
      <c r="O990" s="38"/>
      <c r="P990" s="38" t="s">
        <v>148</v>
      </c>
      <c r="Q990" s="38"/>
    </row>
    <row r="991" spans="1:17" x14ac:dyDescent="0.25">
      <c r="A991" s="39">
        <v>45419</v>
      </c>
      <c r="B991" s="38" t="s">
        <v>24</v>
      </c>
      <c r="C991" s="38" t="s">
        <v>6</v>
      </c>
      <c r="D991" s="38" t="s">
        <v>344</v>
      </c>
      <c r="E991" s="38" t="s">
        <v>379</v>
      </c>
      <c r="F991" s="38" t="s">
        <v>253</v>
      </c>
      <c r="G991" s="38" t="s">
        <v>138</v>
      </c>
      <c r="H991" s="9" t="s">
        <v>229</v>
      </c>
      <c r="I991" s="38" t="s">
        <v>65</v>
      </c>
      <c r="J991" s="38">
        <v>0</v>
      </c>
      <c r="K991">
        <v>0</v>
      </c>
      <c r="L991">
        <v>0</v>
      </c>
      <c r="M991">
        <v>0</v>
      </c>
      <c r="N991" s="38">
        <v>18.37</v>
      </c>
      <c r="O991" s="38"/>
      <c r="P991" s="38" t="s">
        <v>152</v>
      </c>
      <c r="Q991" s="38"/>
    </row>
    <row r="992" spans="1:17" x14ac:dyDescent="0.25">
      <c r="A992" s="39">
        <v>45419</v>
      </c>
      <c r="B992" s="38" t="s">
        <v>75</v>
      </c>
      <c r="C992" s="38" t="s">
        <v>6</v>
      </c>
      <c r="D992" s="38" t="s">
        <v>410</v>
      </c>
      <c r="E992" s="38" t="s">
        <v>202</v>
      </c>
      <c r="F992" s="38" t="s">
        <v>346</v>
      </c>
      <c r="G992" s="38" t="s">
        <v>138</v>
      </c>
      <c r="H992" s="9" t="s">
        <v>230</v>
      </c>
      <c r="I992" s="38" t="s">
        <v>58</v>
      </c>
      <c r="J992" s="38">
        <v>0</v>
      </c>
      <c r="K992">
        <v>0</v>
      </c>
      <c r="L992">
        <v>0</v>
      </c>
      <c r="M992">
        <v>0</v>
      </c>
      <c r="N992" s="38">
        <v>12.9</v>
      </c>
      <c r="O992" s="38"/>
      <c r="P992" s="38" t="s">
        <v>303</v>
      </c>
      <c r="Q992" s="38"/>
    </row>
    <row r="993" spans="1:17" x14ac:dyDescent="0.25">
      <c r="A993" s="39">
        <v>45419</v>
      </c>
      <c r="B993" s="38" t="s">
        <v>25</v>
      </c>
      <c r="C993" s="38" t="s">
        <v>6</v>
      </c>
      <c r="D993" s="38" t="s">
        <v>383</v>
      </c>
      <c r="E993" s="38" t="s">
        <v>81</v>
      </c>
      <c r="F993" s="38" t="s">
        <v>285</v>
      </c>
      <c r="G993" s="38" t="s">
        <v>138</v>
      </c>
      <c r="H993" s="9" t="s">
        <v>231</v>
      </c>
      <c r="I993" s="38" t="s">
        <v>65</v>
      </c>
      <c r="J993" s="38">
        <v>0</v>
      </c>
      <c r="K993">
        <v>0</v>
      </c>
      <c r="L993">
        <v>0</v>
      </c>
      <c r="M993">
        <v>0</v>
      </c>
      <c r="N993" s="38">
        <v>12.16</v>
      </c>
      <c r="O993" s="38"/>
      <c r="P993" s="38" t="s">
        <v>148</v>
      </c>
      <c r="Q993" s="38"/>
    </row>
    <row r="994" spans="1:17" x14ac:dyDescent="0.25">
      <c r="A994" s="39">
        <v>45419</v>
      </c>
      <c r="B994" s="38" t="s">
        <v>74</v>
      </c>
      <c r="C994" s="38" t="s">
        <v>6</v>
      </c>
      <c r="D994" s="38" t="s">
        <v>292</v>
      </c>
      <c r="E994" s="38" t="s">
        <v>60</v>
      </c>
      <c r="F994" s="38" t="s">
        <v>346</v>
      </c>
      <c r="G994" s="38" t="s">
        <v>138</v>
      </c>
      <c r="H994" s="9" t="s">
        <v>232</v>
      </c>
      <c r="I994" s="38" t="s">
        <v>58</v>
      </c>
      <c r="J994" s="38">
        <v>0</v>
      </c>
      <c r="K994">
        <v>0</v>
      </c>
      <c r="L994">
        <v>0</v>
      </c>
      <c r="M994">
        <v>0</v>
      </c>
      <c r="N994" s="38">
        <v>15.61</v>
      </c>
      <c r="O994" s="38"/>
      <c r="P994" s="38" t="s">
        <v>293</v>
      </c>
      <c r="Q994" s="38"/>
    </row>
    <row r="995" spans="1:17" x14ac:dyDescent="0.25">
      <c r="A995" s="39">
        <v>45419</v>
      </c>
      <c r="B995" s="38" t="s">
        <v>26</v>
      </c>
      <c r="C995" s="38" t="s">
        <v>6</v>
      </c>
      <c r="D995" s="38" t="s">
        <v>294</v>
      </c>
      <c r="E995" s="38" t="s">
        <v>56</v>
      </c>
      <c r="F995" s="38" t="s">
        <v>184</v>
      </c>
      <c r="G995" s="38" t="s">
        <v>138</v>
      </c>
      <c r="H995" s="9" t="s">
        <v>233</v>
      </c>
      <c r="I995" s="38" t="s">
        <v>65</v>
      </c>
      <c r="J995" s="38">
        <v>0</v>
      </c>
      <c r="K995">
        <v>0</v>
      </c>
      <c r="L995">
        <v>0</v>
      </c>
      <c r="M995">
        <v>0</v>
      </c>
      <c r="N995" s="38">
        <v>13.29</v>
      </c>
      <c r="O995" s="38"/>
      <c r="P995" s="38" t="s">
        <v>155</v>
      </c>
      <c r="Q995" s="38"/>
    </row>
    <row r="996" spans="1:17" x14ac:dyDescent="0.25">
      <c r="A996" s="39">
        <v>45419</v>
      </c>
      <c r="B996" s="38" t="s">
        <v>27</v>
      </c>
      <c r="C996" s="38" t="s">
        <v>6</v>
      </c>
      <c r="D996" s="38" t="s">
        <v>384</v>
      </c>
      <c r="E996" s="38" t="s">
        <v>366</v>
      </c>
      <c r="F996" s="38" t="s">
        <v>346</v>
      </c>
      <c r="G996" s="38" t="s">
        <v>138</v>
      </c>
      <c r="H996" s="9" t="s">
        <v>234</v>
      </c>
      <c r="I996" s="38" t="s">
        <v>58</v>
      </c>
      <c r="J996" s="38">
        <v>0</v>
      </c>
      <c r="K996">
        <v>0</v>
      </c>
      <c r="L996">
        <v>0</v>
      </c>
      <c r="M996">
        <v>0</v>
      </c>
      <c r="N996" s="38">
        <v>13.89</v>
      </c>
      <c r="O996" s="38"/>
      <c r="P996" s="38" t="s">
        <v>269</v>
      </c>
      <c r="Q996" s="38"/>
    </row>
    <row r="997" spans="1:17" x14ac:dyDescent="0.25">
      <c r="A997" s="39">
        <v>45419</v>
      </c>
      <c r="B997" s="38" t="s">
        <v>28</v>
      </c>
      <c r="C997" s="38" t="s">
        <v>6</v>
      </c>
      <c r="D997" s="38" t="s">
        <v>411</v>
      </c>
      <c r="E997" s="38" t="s">
        <v>56</v>
      </c>
      <c r="F997" s="38" t="s">
        <v>338</v>
      </c>
      <c r="G997" s="38" t="s">
        <v>138</v>
      </c>
      <c r="H997" s="9" t="s">
        <v>235</v>
      </c>
      <c r="I997" s="38" t="s">
        <v>65</v>
      </c>
      <c r="J997" s="38">
        <v>0</v>
      </c>
      <c r="K997">
        <v>0</v>
      </c>
      <c r="L997">
        <v>0</v>
      </c>
      <c r="M997">
        <v>0</v>
      </c>
      <c r="N997" s="38">
        <v>13.9</v>
      </c>
      <c r="O997" s="38"/>
      <c r="P997" s="38" t="s">
        <v>155</v>
      </c>
      <c r="Q997" s="38"/>
    </row>
    <row r="998" spans="1:17" x14ac:dyDescent="0.25">
      <c r="A998" s="39">
        <v>45419</v>
      </c>
      <c r="B998" s="38" t="s">
        <v>72</v>
      </c>
      <c r="C998" s="38" t="s">
        <v>6</v>
      </c>
      <c r="D998" s="38" t="s">
        <v>322</v>
      </c>
      <c r="E998" s="38" t="s">
        <v>202</v>
      </c>
      <c r="F998" s="38" t="s">
        <v>346</v>
      </c>
      <c r="G998" s="38" t="s">
        <v>138</v>
      </c>
      <c r="H998" s="9" t="s">
        <v>422</v>
      </c>
      <c r="I998" s="38" t="s">
        <v>58</v>
      </c>
      <c r="J998" s="38">
        <v>0</v>
      </c>
      <c r="K998">
        <v>0</v>
      </c>
      <c r="L998">
        <v>0</v>
      </c>
      <c r="M998">
        <v>0</v>
      </c>
      <c r="N998" s="38">
        <v>15.45</v>
      </c>
      <c r="O998" s="38"/>
      <c r="P998" s="38" t="s">
        <v>157</v>
      </c>
      <c r="Q998" s="38"/>
    </row>
    <row r="999" spans="1:17" x14ac:dyDescent="0.25">
      <c r="A999" s="39">
        <v>45419</v>
      </c>
      <c r="B999" s="38" t="s">
        <v>29</v>
      </c>
      <c r="C999" s="38" t="s">
        <v>6</v>
      </c>
      <c r="D999" s="38" t="s">
        <v>315</v>
      </c>
      <c r="E999" s="38" t="s">
        <v>56</v>
      </c>
      <c r="F999" s="38" t="s">
        <v>338</v>
      </c>
      <c r="G999" s="38" t="s">
        <v>138</v>
      </c>
      <c r="H999" s="9" t="s">
        <v>236</v>
      </c>
      <c r="I999" s="38" t="s">
        <v>65</v>
      </c>
      <c r="J999" s="38">
        <v>0</v>
      </c>
      <c r="K999">
        <v>0</v>
      </c>
      <c r="L999">
        <v>0</v>
      </c>
      <c r="M999">
        <v>0</v>
      </c>
      <c r="N999" s="38">
        <v>13.98</v>
      </c>
      <c r="O999" s="38"/>
      <c r="P999" s="38" t="s">
        <v>156</v>
      </c>
      <c r="Q999" s="38"/>
    </row>
    <row r="1000" spans="1:17" x14ac:dyDescent="0.25">
      <c r="A1000" s="39">
        <v>45419</v>
      </c>
      <c r="B1000" s="38" t="s">
        <v>30</v>
      </c>
      <c r="C1000" s="38" t="s">
        <v>6</v>
      </c>
      <c r="D1000" s="38" t="s">
        <v>305</v>
      </c>
      <c r="E1000" s="38" t="s">
        <v>81</v>
      </c>
      <c r="F1000" s="38" t="s">
        <v>90</v>
      </c>
      <c r="G1000" s="38" t="s">
        <v>138</v>
      </c>
      <c r="H1000" s="9" t="s">
        <v>71</v>
      </c>
      <c r="I1000" s="38" t="s">
        <v>58</v>
      </c>
      <c r="J1000" s="38">
        <v>0</v>
      </c>
      <c r="K1000">
        <v>0</v>
      </c>
      <c r="L1000">
        <v>0</v>
      </c>
      <c r="M1000">
        <v>0</v>
      </c>
      <c r="N1000" s="38">
        <v>10.84</v>
      </c>
      <c r="O1000" s="38"/>
      <c r="P1000" s="38" t="s">
        <v>150</v>
      </c>
      <c r="Q1000" s="38"/>
    </row>
    <row r="1001" spans="1:17" x14ac:dyDescent="0.25">
      <c r="A1001" s="39">
        <v>45419</v>
      </c>
      <c r="B1001" s="38" t="s">
        <v>31</v>
      </c>
      <c r="C1001" s="38" t="s">
        <v>6</v>
      </c>
      <c r="D1001" s="38"/>
      <c r="E1001" s="38" t="s">
        <v>56</v>
      </c>
      <c r="F1001" s="38"/>
      <c r="G1001" s="38" t="s">
        <v>138</v>
      </c>
      <c r="H1001" s="9" t="s">
        <v>70</v>
      </c>
      <c r="I1001" s="38" t="s">
        <v>65</v>
      </c>
      <c r="J1001" s="38">
        <v>0</v>
      </c>
      <c r="K1001">
        <v>0</v>
      </c>
      <c r="L1001">
        <v>0</v>
      </c>
      <c r="M1001">
        <v>0</v>
      </c>
      <c r="N1001" s="38">
        <v>13.5</v>
      </c>
      <c r="O1001" s="38"/>
      <c r="P1001" s="38" t="s">
        <v>156</v>
      </c>
      <c r="Q1001" s="38"/>
    </row>
    <row r="1002" spans="1:17" x14ac:dyDescent="0.25">
      <c r="A1002" s="39">
        <v>45419</v>
      </c>
      <c r="B1002" s="38" t="s">
        <v>32</v>
      </c>
      <c r="C1002" s="38" t="s">
        <v>6</v>
      </c>
      <c r="D1002" s="38" t="s">
        <v>413</v>
      </c>
      <c r="E1002" s="38" t="s">
        <v>202</v>
      </c>
      <c r="F1002" s="38" t="s">
        <v>346</v>
      </c>
      <c r="G1002" s="38" t="s">
        <v>138</v>
      </c>
      <c r="H1002" s="9" t="s">
        <v>69</v>
      </c>
      <c r="I1002" s="38" t="s">
        <v>58</v>
      </c>
      <c r="J1002" s="38">
        <v>0</v>
      </c>
      <c r="K1002">
        <v>0</v>
      </c>
      <c r="L1002">
        <v>0</v>
      </c>
      <c r="M1002">
        <v>0</v>
      </c>
      <c r="N1002" s="38">
        <v>14.39</v>
      </c>
      <c r="O1002" s="38"/>
      <c r="P1002" s="38" t="s">
        <v>414</v>
      </c>
      <c r="Q1002" s="38"/>
    </row>
    <row r="1003" spans="1:17" x14ac:dyDescent="0.25">
      <c r="A1003" s="39">
        <v>45419</v>
      </c>
      <c r="B1003" s="38" t="s">
        <v>67</v>
      </c>
      <c r="C1003" s="38" t="s">
        <v>6</v>
      </c>
      <c r="D1003" s="38" t="s">
        <v>354</v>
      </c>
      <c r="E1003" s="38" t="s">
        <v>56</v>
      </c>
      <c r="F1003" s="38" t="s">
        <v>367</v>
      </c>
      <c r="G1003" s="38" t="s">
        <v>138</v>
      </c>
      <c r="H1003" s="9" t="s">
        <v>68</v>
      </c>
      <c r="I1003" s="38" t="s">
        <v>65</v>
      </c>
      <c r="J1003" s="38">
        <v>0</v>
      </c>
      <c r="K1003">
        <v>0</v>
      </c>
      <c r="L1003">
        <v>0</v>
      </c>
      <c r="M1003">
        <v>0</v>
      </c>
      <c r="N1003" s="38">
        <v>13.8</v>
      </c>
      <c r="O1003" s="38"/>
      <c r="P1003" s="38" t="s">
        <v>156</v>
      </c>
      <c r="Q1003" s="38"/>
    </row>
    <row r="1004" spans="1:17" x14ac:dyDescent="0.25">
      <c r="A1004" s="39">
        <v>45419</v>
      </c>
      <c r="B1004" s="38" t="s">
        <v>33</v>
      </c>
      <c r="C1004" s="38" t="s">
        <v>6</v>
      </c>
      <c r="D1004" s="38" t="s">
        <v>277</v>
      </c>
      <c r="E1004" s="38" t="s">
        <v>73</v>
      </c>
      <c r="F1004" s="38" t="s">
        <v>346</v>
      </c>
      <c r="G1004" s="38" t="s">
        <v>138</v>
      </c>
      <c r="H1004" s="9" t="s">
        <v>66</v>
      </c>
      <c r="I1004" s="38" t="s">
        <v>58</v>
      </c>
      <c r="J1004" s="38">
        <v>0</v>
      </c>
      <c r="K1004">
        <v>0</v>
      </c>
      <c r="L1004">
        <v>0</v>
      </c>
      <c r="M1004">
        <v>0</v>
      </c>
      <c r="N1004" s="38">
        <v>14.19</v>
      </c>
      <c r="O1004" s="38"/>
      <c r="P1004" s="38" t="s">
        <v>201</v>
      </c>
      <c r="Q1004" s="38"/>
    </row>
    <row r="1005" spans="1:17" x14ac:dyDescent="0.25">
      <c r="A1005" s="39">
        <v>45419</v>
      </c>
      <c r="B1005" s="38" t="s">
        <v>34</v>
      </c>
      <c r="C1005" s="38" t="s">
        <v>6</v>
      </c>
      <c r="D1005" s="38" t="s">
        <v>415</v>
      </c>
      <c r="E1005" s="38" t="s">
        <v>56</v>
      </c>
      <c r="F1005" s="38" t="s">
        <v>346</v>
      </c>
      <c r="G1005" s="38" t="s">
        <v>138</v>
      </c>
      <c r="H1005" s="9" t="s">
        <v>64</v>
      </c>
      <c r="I1005" s="38" t="s">
        <v>65</v>
      </c>
      <c r="J1005" s="38">
        <v>0</v>
      </c>
      <c r="K1005">
        <v>0</v>
      </c>
      <c r="L1005">
        <v>0</v>
      </c>
      <c r="M1005">
        <v>0</v>
      </c>
      <c r="N1005" s="38">
        <v>15.6</v>
      </c>
      <c r="O1005" s="38"/>
      <c r="P1005" s="38" t="s">
        <v>416</v>
      </c>
      <c r="Q1005" s="38"/>
    </row>
    <row r="1006" spans="1:17" x14ac:dyDescent="0.25">
      <c r="A1006" s="39">
        <v>45419</v>
      </c>
      <c r="B1006" s="38" t="s">
        <v>35</v>
      </c>
      <c r="C1006" s="38" t="s">
        <v>6</v>
      </c>
      <c r="D1006" s="38" t="s">
        <v>331</v>
      </c>
      <c r="E1006" s="38" t="s">
        <v>60</v>
      </c>
      <c r="F1006" s="38" t="s">
        <v>346</v>
      </c>
      <c r="G1006" s="38" t="s">
        <v>138</v>
      </c>
      <c r="H1006" s="9" t="s">
        <v>237</v>
      </c>
      <c r="I1006" s="38" t="s">
        <v>58</v>
      </c>
      <c r="J1006" s="38">
        <v>0</v>
      </c>
      <c r="K1006">
        <v>0</v>
      </c>
      <c r="L1006">
        <v>0</v>
      </c>
      <c r="M1006">
        <v>0</v>
      </c>
      <c r="N1006" s="38">
        <v>14.64</v>
      </c>
      <c r="O1006" s="38"/>
      <c r="P1006" s="38" t="s">
        <v>158</v>
      </c>
      <c r="Q1006" s="38"/>
    </row>
    <row r="1007" spans="1:17" x14ac:dyDescent="0.25">
      <c r="A1007" s="39">
        <v>45419</v>
      </c>
      <c r="B1007" s="38" t="s">
        <v>418</v>
      </c>
      <c r="C1007" s="38" t="s">
        <v>6</v>
      </c>
      <c r="D1007" s="38"/>
      <c r="E1007" s="38"/>
      <c r="F1007" s="38"/>
      <c r="G1007" s="38" t="s">
        <v>138</v>
      </c>
      <c r="H1007" s="9" t="s">
        <v>240</v>
      </c>
      <c r="I1007" s="38" t="s">
        <v>262</v>
      </c>
      <c r="J1007" s="38">
        <v>0</v>
      </c>
      <c r="K1007">
        <v>0</v>
      </c>
      <c r="L1007">
        <v>0</v>
      </c>
      <c r="M1007">
        <v>0</v>
      </c>
      <c r="N1007" s="38">
        <v>17.670000000000002</v>
      </c>
      <c r="O1007" s="38"/>
      <c r="P1007" s="38"/>
      <c r="Q1007" s="38"/>
    </row>
    <row r="1008" spans="1:17" x14ac:dyDescent="0.25">
      <c r="A1008" s="39">
        <v>45419</v>
      </c>
      <c r="B1008" s="38" t="s">
        <v>419</v>
      </c>
      <c r="C1008" s="38" t="s">
        <v>6</v>
      </c>
      <c r="D1008" s="38"/>
      <c r="E1008" s="38"/>
      <c r="F1008" s="38"/>
      <c r="G1008" s="38" t="s">
        <v>138</v>
      </c>
      <c r="H1008" s="9" t="s">
        <v>240</v>
      </c>
      <c r="I1008" s="38" t="s">
        <v>262</v>
      </c>
      <c r="J1008" s="38">
        <v>0</v>
      </c>
      <c r="K1008">
        <v>0</v>
      </c>
      <c r="L1008">
        <v>0</v>
      </c>
      <c r="M1008">
        <v>0</v>
      </c>
      <c r="N1008" s="38">
        <v>13.49</v>
      </c>
      <c r="O1008" s="38"/>
      <c r="P1008" s="38"/>
      <c r="Q1008" s="38"/>
    </row>
    <row r="1009" spans="1:17" x14ac:dyDescent="0.25">
      <c r="A1009" s="39">
        <v>45419</v>
      </c>
      <c r="B1009" s="38" t="s">
        <v>36</v>
      </c>
      <c r="C1009" s="38" t="s">
        <v>6</v>
      </c>
      <c r="D1009" s="38" t="s">
        <v>295</v>
      </c>
      <c r="E1009" s="38" t="s">
        <v>81</v>
      </c>
      <c r="F1009" s="38" t="s">
        <v>369</v>
      </c>
      <c r="G1009" s="38" t="s">
        <v>138</v>
      </c>
      <c r="H1009" s="9" t="s">
        <v>423</v>
      </c>
      <c r="I1009" s="38" t="s">
        <v>58</v>
      </c>
      <c r="J1009" s="38">
        <v>0</v>
      </c>
      <c r="K1009">
        <v>0</v>
      </c>
      <c r="L1009">
        <v>0</v>
      </c>
      <c r="M1009">
        <v>0</v>
      </c>
      <c r="N1009" s="38">
        <v>38472557</v>
      </c>
      <c r="O1009" s="38"/>
      <c r="P1009" s="38" t="s">
        <v>156</v>
      </c>
      <c r="Q1009" s="38"/>
    </row>
    <row r="1010" spans="1:17" x14ac:dyDescent="0.25">
      <c r="A1010" s="39">
        <v>45419</v>
      </c>
      <c r="B1010" s="38" t="s">
        <v>256</v>
      </c>
      <c r="C1010" s="38" t="s">
        <v>6</v>
      </c>
      <c r="D1010" s="38" t="s">
        <v>392</v>
      </c>
      <c r="E1010" s="38" t="s">
        <v>417</v>
      </c>
      <c r="F1010" s="38" t="s">
        <v>192</v>
      </c>
      <c r="G1010" s="38" t="s">
        <v>138</v>
      </c>
      <c r="H1010" s="9"/>
      <c r="I1010" s="38" t="s">
        <v>262</v>
      </c>
      <c r="J1010" s="38">
        <v>0</v>
      </c>
      <c r="K1010">
        <v>0</v>
      </c>
      <c r="L1010">
        <v>0</v>
      </c>
      <c r="M1010">
        <v>0</v>
      </c>
      <c r="N1010" s="38">
        <v>0</v>
      </c>
      <c r="O1010" s="38"/>
      <c r="P1010" s="38" t="s">
        <v>149</v>
      </c>
      <c r="Q1010" s="38"/>
    </row>
    <row r="1011" spans="1:17" x14ac:dyDescent="0.25">
      <c r="A1011" s="39">
        <v>45419</v>
      </c>
      <c r="B1011" s="38" t="s">
        <v>257</v>
      </c>
      <c r="C1011" s="38" t="s">
        <v>6</v>
      </c>
      <c r="D1011" s="38" t="s">
        <v>392</v>
      </c>
      <c r="E1011" s="38" t="s">
        <v>417</v>
      </c>
      <c r="F1011" s="38" t="s">
        <v>192</v>
      </c>
      <c r="G1011" s="38" t="s">
        <v>138</v>
      </c>
      <c r="H1011" s="9"/>
      <c r="I1011" s="38" t="s">
        <v>58</v>
      </c>
      <c r="J1011" s="38">
        <v>0</v>
      </c>
      <c r="K1011">
        <v>0</v>
      </c>
      <c r="L1011">
        <v>0</v>
      </c>
      <c r="M1011">
        <v>0</v>
      </c>
      <c r="N1011" s="38">
        <v>38.46</v>
      </c>
      <c r="O1011" s="38"/>
      <c r="P1011" s="38" t="s">
        <v>149</v>
      </c>
      <c r="Q1011" s="38"/>
    </row>
    <row r="1012" spans="1:17" x14ac:dyDescent="0.25">
      <c r="A1012" s="39">
        <v>45419</v>
      </c>
      <c r="B1012" s="38" t="s">
        <v>37</v>
      </c>
      <c r="C1012" s="38" t="s">
        <v>6</v>
      </c>
      <c r="D1012" s="38" t="s">
        <v>347</v>
      </c>
      <c r="E1012" s="38" t="s">
        <v>348</v>
      </c>
      <c r="F1012" s="38" t="s">
        <v>346</v>
      </c>
      <c r="G1012" s="38" t="s">
        <v>138</v>
      </c>
      <c r="H1012" s="9" t="s">
        <v>425</v>
      </c>
      <c r="I1012" s="38" t="s">
        <v>58</v>
      </c>
      <c r="J1012" s="38">
        <v>0</v>
      </c>
      <c r="K1012">
        <v>0</v>
      </c>
      <c r="L1012">
        <v>0</v>
      </c>
      <c r="M1012">
        <v>0</v>
      </c>
      <c r="N1012" s="38">
        <v>13.5</v>
      </c>
      <c r="O1012" s="38"/>
      <c r="P1012" s="38" t="s">
        <v>270</v>
      </c>
      <c r="Q1012" s="38"/>
    </row>
    <row r="1013" spans="1:17" x14ac:dyDescent="0.25">
      <c r="A1013" s="39">
        <v>45419</v>
      </c>
      <c r="B1013" s="38" t="s">
        <v>258</v>
      </c>
      <c r="C1013" s="38" t="s">
        <v>6</v>
      </c>
      <c r="D1013" s="38"/>
      <c r="E1013" s="38"/>
      <c r="F1013" s="38"/>
      <c r="G1013" s="38" t="s">
        <v>138</v>
      </c>
      <c r="H1013" s="9" t="s">
        <v>426</v>
      </c>
      <c r="I1013" s="38" t="s">
        <v>262</v>
      </c>
      <c r="J1013" s="38">
        <v>0</v>
      </c>
      <c r="K1013">
        <v>0</v>
      </c>
      <c r="L1013">
        <v>0</v>
      </c>
      <c r="M1013">
        <v>0</v>
      </c>
      <c r="N1013" s="38">
        <v>13.5</v>
      </c>
      <c r="O1013" s="38"/>
      <c r="P1013" s="38" t="s">
        <v>148</v>
      </c>
      <c r="Q1013" s="38"/>
    </row>
    <row r="1014" spans="1:17" x14ac:dyDescent="0.25">
      <c r="A1014" s="39">
        <v>45419</v>
      </c>
      <c r="B1014" s="38" t="s">
        <v>259</v>
      </c>
      <c r="C1014" s="38" t="s">
        <v>6</v>
      </c>
      <c r="D1014" s="38"/>
      <c r="E1014" s="38"/>
      <c r="F1014" s="38"/>
      <c r="G1014" s="38" t="s">
        <v>138</v>
      </c>
      <c r="H1014" s="9" t="s">
        <v>426</v>
      </c>
      <c r="I1014" s="38" t="s">
        <v>262</v>
      </c>
      <c r="J1014" s="38">
        <v>0</v>
      </c>
      <c r="K1014">
        <v>0</v>
      </c>
      <c r="L1014">
        <v>0</v>
      </c>
      <c r="M1014">
        <v>0</v>
      </c>
      <c r="N1014" s="38">
        <v>41.06</v>
      </c>
      <c r="O1014" s="38"/>
      <c r="P1014" s="38" t="s">
        <v>148</v>
      </c>
      <c r="Q1014" s="38"/>
    </row>
    <row r="1015" spans="1:17" x14ac:dyDescent="0.25">
      <c r="A1015" s="39">
        <v>45419</v>
      </c>
      <c r="B1015" s="38" t="s">
        <v>54</v>
      </c>
      <c r="C1015" s="38" t="s">
        <v>6</v>
      </c>
      <c r="D1015" s="38" t="s">
        <v>55</v>
      </c>
      <c r="E1015" s="38" t="s">
        <v>56</v>
      </c>
      <c r="F1015" s="38" t="s">
        <v>57</v>
      </c>
      <c r="G1015" s="38" t="s">
        <v>138</v>
      </c>
      <c r="H1015" s="9" t="s">
        <v>427</v>
      </c>
      <c r="I1015" s="38" t="s">
        <v>58</v>
      </c>
      <c r="J1015" s="38">
        <v>0</v>
      </c>
      <c r="K1015">
        <v>0</v>
      </c>
      <c r="L1015">
        <v>0</v>
      </c>
      <c r="M1015">
        <v>0</v>
      </c>
      <c r="N1015" s="38">
        <v>41.06</v>
      </c>
      <c r="O1015" s="38"/>
      <c r="P1015" s="38" t="s">
        <v>159</v>
      </c>
      <c r="Q1015" s="38"/>
    </row>
    <row r="1016" spans="1:17" x14ac:dyDescent="0.25">
      <c r="A1016" s="39">
        <v>45419</v>
      </c>
      <c r="B1016" s="38" t="s">
        <v>136</v>
      </c>
      <c r="C1016" s="38" t="s">
        <v>7</v>
      </c>
      <c r="D1016" s="38" t="s">
        <v>174</v>
      </c>
      <c r="E1016" s="38" t="s">
        <v>81</v>
      </c>
      <c r="F1016" s="38" t="s">
        <v>90</v>
      </c>
      <c r="G1016" s="38" t="s">
        <v>138</v>
      </c>
      <c r="H1016" s="9" t="s">
        <v>160</v>
      </c>
      <c r="I1016" s="38" t="s">
        <v>58</v>
      </c>
      <c r="J1016" s="38">
        <v>0</v>
      </c>
      <c r="K1016">
        <v>0</v>
      </c>
      <c r="L1016">
        <v>0</v>
      </c>
      <c r="M1016">
        <v>0</v>
      </c>
      <c r="N1016" s="38">
        <v>42144554</v>
      </c>
      <c r="O1016" s="38"/>
      <c r="P1016" s="38" t="s">
        <v>153</v>
      </c>
      <c r="Q1016" s="38"/>
    </row>
    <row r="1017" spans="1:17" x14ac:dyDescent="0.25">
      <c r="A1017" s="39">
        <v>45419</v>
      </c>
      <c r="B1017" s="38" t="s">
        <v>135</v>
      </c>
      <c r="C1017" s="38" t="s">
        <v>7</v>
      </c>
      <c r="D1017" s="38" t="s">
        <v>332</v>
      </c>
      <c r="E1017" s="38" t="s">
        <v>81</v>
      </c>
      <c r="F1017" s="38" t="s">
        <v>90</v>
      </c>
      <c r="G1017" s="38" t="s">
        <v>138</v>
      </c>
      <c r="H1017" s="9" t="s">
        <v>161</v>
      </c>
      <c r="I1017" s="38" t="s">
        <v>58</v>
      </c>
      <c r="J1017" s="38">
        <v>0</v>
      </c>
      <c r="K1017">
        <v>0</v>
      </c>
      <c r="L1017">
        <v>0</v>
      </c>
      <c r="M1017">
        <v>0</v>
      </c>
      <c r="N1017" s="38">
        <v>24.09</v>
      </c>
      <c r="O1017" s="38"/>
      <c r="P1017" s="38" t="s">
        <v>148</v>
      </c>
      <c r="Q1017" s="38"/>
    </row>
    <row r="1018" spans="1:17" x14ac:dyDescent="0.25">
      <c r="A1018" s="39">
        <v>45419</v>
      </c>
      <c r="B1018" s="38" t="s">
        <v>134</v>
      </c>
      <c r="C1018" s="38" t="s">
        <v>7</v>
      </c>
      <c r="D1018" s="38" t="s">
        <v>175</v>
      </c>
      <c r="E1018" s="38" t="s">
        <v>81</v>
      </c>
      <c r="F1018" s="38" t="s">
        <v>90</v>
      </c>
      <c r="G1018" s="38" t="s">
        <v>138</v>
      </c>
      <c r="H1018" s="9" t="s">
        <v>206</v>
      </c>
      <c r="I1018" s="38" t="s">
        <v>58</v>
      </c>
      <c r="J1018" s="38">
        <v>0</v>
      </c>
      <c r="K1018">
        <v>0</v>
      </c>
      <c r="L1018">
        <v>0</v>
      </c>
      <c r="M1018">
        <v>0</v>
      </c>
      <c r="N1018" s="38">
        <v>0</v>
      </c>
      <c r="O1018" s="38"/>
      <c r="P1018" s="38" t="s">
        <v>148</v>
      </c>
      <c r="Q1018" s="38"/>
    </row>
    <row r="1019" spans="1:17" x14ac:dyDescent="0.25">
      <c r="A1019" s="39">
        <v>45419</v>
      </c>
      <c r="B1019" s="38" t="s">
        <v>132</v>
      </c>
      <c r="C1019" s="38" t="s">
        <v>7</v>
      </c>
      <c r="D1019" s="38" t="s">
        <v>133</v>
      </c>
      <c r="E1019" s="38" t="s">
        <v>126</v>
      </c>
      <c r="F1019" s="38" t="s">
        <v>199</v>
      </c>
      <c r="G1019" s="38" t="s">
        <v>138</v>
      </c>
      <c r="H1019" s="9" t="s">
        <v>162</v>
      </c>
      <c r="I1019" s="38" t="s">
        <v>58</v>
      </c>
      <c r="J1019" s="38">
        <v>0</v>
      </c>
      <c r="K1019">
        <v>0</v>
      </c>
      <c r="L1019">
        <v>0</v>
      </c>
      <c r="M1019">
        <v>0</v>
      </c>
      <c r="N1019" s="38">
        <v>38.369999999999997</v>
      </c>
      <c r="O1019" s="38"/>
      <c r="P1019" s="38" t="s">
        <v>149</v>
      </c>
      <c r="Q1019" s="38"/>
    </row>
    <row r="1020" spans="1:17" x14ac:dyDescent="0.25">
      <c r="A1020" s="39">
        <v>45419</v>
      </c>
      <c r="B1020" s="38" t="s">
        <v>131</v>
      </c>
      <c r="C1020" s="38" t="s">
        <v>7</v>
      </c>
      <c r="D1020" s="38" t="s">
        <v>396</v>
      </c>
      <c r="E1020" s="38" t="s">
        <v>60</v>
      </c>
      <c r="F1020" s="38" t="s">
        <v>90</v>
      </c>
      <c r="G1020" s="38" t="s">
        <v>138</v>
      </c>
      <c r="H1020" s="9" t="s">
        <v>163</v>
      </c>
      <c r="I1020" s="38" t="s">
        <v>58</v>
      </c>
      <c r="J1020" s="38">
        <v>0</v>
      </c>
      <c r="K1020">
        <v>0</v>
      </c>
      <c r="L1020">
        <v>0</v>
      </c>
      <c r="M1020">
        <v>0</v>
      </c>
      <c r="N1020" s="38">
        <v>23.93</v>
      </c>
      <c r="O1020" s="38"/>
      <c r="P1020" s="38" t="s">
        <v>154</v>
      </c>
      <c r="Q1020" s="38"/>
    </row>
    <row r="1021" spans="1:17" x14ac:dyDescent="0.25">
      <c r="A1021" s="39">
        <v>45419</v>
      </c>
      <c r="B1021" s="38" t="s">
        <v>130</v>
      </c>
      <c r="C1021" s="38" t="s">
        <v>7</v>
      </c>
      <c r="D1021" s="38" t="s">
        <v>191</v>
      </c>
      <c r="E1021" s="38" t="s">
        <v>81</v>
      </c>
      <c r="F1021" s="38" t="s">
        <v>285</v>
      </c>
      <c r="G1021" s="38" t="s">
        <v>138</v>
      </c>
      <c r="H1021" s="9" t="s">
        <v>420</v>
      </c>
      <c r="I1021" s="38" t="s">
        <v>58</v>
      </c>
      <c r="J1021" s="38">
        <v>0</v>
      </c>
      <c r="K1021">
        <v>0</v>
      </c>
      <c r="L1021">
        <v>0</v>
      </c>
      <c r="M1021">
        <v>0</v>
      </c>
      <c r="N1021" s="38">
        <v>14.99</v>
      </c>
      <c r="O1021" s="38"/>
      <c r="P1021" s="38" t="s">
        <v>148</v>
      </c>
      <c r="Q1021" s="38"/>
    </row>
    <row r="1022" spans="1:17" x14ac:dyDescent="0.25">
      <c r="A1022" s="39">
        <v>45419</v>
      </c>
      <c r="B1022" s="38" t="s">
        <v>128</v>
      </c>
      <c r="C1022" s="38" t="s">
        <v>7</v>
      </c>
      <c r="D1022" s="38" t="s">
        <v>129</v>
      </c>
      <c r="E1022" s="38" t="s">
        <v>126</v>
      </c>
      <c r="F1022" s="38" t="s">
        <v>199</v>
      </c>
      <c r="G1022" s="38" t="s">
        <v>138</v>
      </c>
      <c r="H1022" s="9" t="s">
        <v>164</v>
      </c>
      <c r="I1022" s="38" t="s">
        <v>58</v>
      </c>
      <c r="J1022" s="38">
        <v>0</v>
      </c>
      <c r="K1022">
        <v>0</v>
      </c>
      <c r="L1022">
        <v>0</v>
      </c>
      <c r="M1022">
        <v>0</v>
      </c>
      <c r="N1022" s="38">
        <v>41.06</v>
      </c>
      <c r="O1022" s="38"/>
      <c r="P1022" s="38" t="s">
        <v>149</v>
      </c>
      <c r="Q1022" s="38"/>
    </row>
    <row r="1023" spans="1:17" x14ac:dyDescent="0.25">
      <c r="A1023" s="39">
        <v>45419</v>
      </c>
      <c r="B1023" s="38" t="s">
        <v>40</v>
      </c>
      <c r="C1023" s="38" t="s">
        <v>7</v>
      </c>
      <c r="D1023" s="38" t="s">
        <v>397</v>
      </c>
      <c r="E1023" s="38" t="s">
        <v>60</v>
      </c>
      <c r="F1023" s="38" t="s">
        <v>200</v>
      </c>
      <c r="G1023" s="38" t="s">
        <v>138</v>
      </c>
      <c r="H1023" s="9" t="s">
        <v>165</v>
      </c>
      <c r="I1023" s="38" t="s">
        <v>58</v>
      </c>
      <c r="J1023" s="38">
        <v>0</v>
      </c>
      <c r="K1023">
        <v>0</v>
      </c>
      <c r="L1023">
        <v>0</v>
      </c>
      <c r="M1023">
        <v>0</v>
      </c>
      <c r="N1023" s="38">
        <v>14.92</v>
      </c>
      <c r="O1023" s="38"/>
      <c r="P1023" s="38" t="s">
        <v>153</v>
      </c>
      <c r="Q1023" s="38"/>
    </row>
    <row r="1024" spans="1:17" x14ac:dyDescent="0.25">
      <c r="A1024" s="39">
        <v>45419</v>
      </c>
      <c r="B1024" s="38" t="s">
        <v>127</v>
      </c>
      <c r="C1024" s="38" t="s">
        <v>7</v>
      </c>
      <c r="D1024" s="38" t="s">
        <v>203</v>
      </c>
      <c r="E1024" s="38" t="s">
        <v>81</v>
      </c>
      <c r="F1024" s="38" t="s">
        <v>285</v>
      </c>
      <c r="G1024" s="38" t="s">
        <v>138</v>
      </c>
      <c r="H1024" s="9" t="s">
        <v>207</v>
      </c>
      <c r="I1024" s="38" t="s">
        <v>58</v>
      </c>
      <c r="J1024" s="38">
        <v>0</v>
      </c>
      <c r="K1024">
        <v>0</v>
      </c>
      <c r="L1024">
        <v>0</v>
      </c>
      <c r="M1024">
        <v>0</v>
      </c>
      <c r="N1024" s="38">
        <v>20.85</v>
      </c>
      <c r="O1024" s="38"/>
      <c r="P1024" s="38" t="s">
        <v>151</v>
      </c>
      <c r="Q1024" s="38"/>
    </row>
    <row r="1025" spans="1:17" x14ac:dyDescent="0.25">
      <c r="A1025" s="39">
        <v>45419</v>
      </c>
      <c r="B1025" s="38" t="s">
        <v>124</v>
      </c>
      <c r="C1025" s="38" t="s">
        <v>7</v>
      </c>
      <c r="D1025" s="38" t="s">
        <v>340</v>
      </c>
      <c r="E1025" s="38" t="s">
        <v>126</v>
      </c>
      <c r="F1025" s="38" t="s">
        <v>199</v>
      </c>
      <c r="G1025" s="38" t="s">
        <v>138</v>
      </c>
      <c r="H1025" s="9" t="s">
        <v>166</v>
      </c>
      <c r="I1025" s="38" t="s">
        <v>58</v>
      </c>
      <c r="J1025" s="38">
        <v>0</v>
      </c>
      <c r="K1025">
        <v>0</v>
      </c>
      <c r="L1025">
        <v>0</v>
      </c>
      <c r="M1025">
        <v>0</v>
      </c>
      <c r="N1025" s="38">
        <v>39863813</v>
      </c>
      <c r="O1025" s="38"/>
      <c r="P1025" s="38" t="s">
        <v>149</v>
      </c>
      <c r="Q1025" s="38"/>
    </row>
    <row r="1026" spans="1:17" x14ac:dyDescent="0.25">
      <c r="A1026" s="39">
        <v>45419</v>
      </c>
      <c r="B1026" s="38" t="s">
        <v>122</v>
      </c>
      <c r="C1026" s="38" t="s">
        <v>7</v>
      </c>
      <c r="D1026" s="38" t="s">
        <v>356</v>
      </c>
      <c r="E1026" s="38" t="s">
        <v>81</v>
      </c>
      <c r="F1026" s="38" t="s">
        <v>90</v>
      </c>
      <c r="G1026" s="38" t="s">
        <v>138</v>
      </c>
      <c r="H1026" s="9" t="s">
        <v>167</v>
      </c>
      <c r="I1026" s="38" t="s">
        <v>58</v>
      </c>
      <c r="J1026" s="38">
        <v>0</v>
      </c>
      <c r="K1026">
        <v>0</v>
      </c>
      <c r="L1026">
        <v>0</v>
      </c>
      <c r="M1026">
        <v>0</v>
      </c>
      <c r="N1026" s="38">
        <v>20.9</v>
      </c>
      <c r="O1026" s="38"/>
      <c r="P1026" s="38" t="s">
        <v>148</v>
      </c>
      <c r="Q1026" s="38"/>
    </row>
    <row r="1027" spans="1:17" x14ac:dyDescent="0.25">
      <c r="A1027" s="39">
        <v>45419</v>
      </c>
      <c r="B1027" s="38" t="s">
        <v>120</v>
      </c>
      <c r="C1027" s="38" t="s">
        <v>7</v>
      </c>
      <c r="D1027" s="38" t="s">
        <v>333</v>
      </c>
      <c r="E1027" s="38" t="s">
        <v>375</v>
      </c>
      <c r="F1027" s="38" t="s">
        <v>285</v>
      </c>
      <c r="G1027" s="38" t="s">
        <v>138</v>
      </c>
      <c r="H1027" s="9" t="s">
        <v>121</v>
      </c>
      <c r="I1027" s="38" t="s">
        <v>58</v>
      </c>
      <c r="J1027" s="38">
        <v>0</v>
      </c>
      <c r="K1027">
        <v>0</v>
      </c>
      <c r="L1027">
        <v>0</v>
      </c>
      <c r="M1027">
        <v>0</v>
      </c>
      <c r="N1027" s="38">
        <v>41.69</v>
      </c>
      <c r="O1027" s="38"/>
      <c r="P1027" s="38" t="s">
        <v>151</v>
      </c>
      <c r="Q1027" s="38"/>
    </row>
    <row r="1028" spans="1:17" x14ac:dyDescent="0.25">
      <c r="A1028" s="39">
        <v>45419</v>
      </c>
      <c r="B1028" s="38" t="s">
        <v>119</v>
      </c>
      <c r="C1028" s="38" t="s">
        <v>7</v>
      </c>
      <c r="D1028" s="38" t="s">
        <v>178</v>
      </c>
      <c r="E1028" s="38" t="s">
        <v>399</v>
      </c>
      <c r="F1028" s="38" t="s">
        <v>192</v>
      </c>
      <c r="G1028" s="38" t="s">
        <v>138</v>
      </c>
      <c r="H1028" s="9" t="s">
        <v>168</v>
      </c>
      <c r="I1028" s="38" t="s">
        <v>58</v>
      </c>
      <c r="J1028" s="38">
        <v>0</v>
      </c>
      <c r="K1028">
        <v>0</v>
      </c>
      <c r="L1028">
        <v>0</v>
      </c>
      <c r="M1028">
        <v>0</v>
      </c>
      <c r="N1028" s="38">
        <v>41.62</v>
      </c>
      <c r="O1028" s="38"/>
      <c r="P1028" s="38" t="s">
        <v>149</v>
      </c>
      <c r="Q1028" s="38"/>
    </row>
    <row r="1029" spans="1:17" x14ac:dyDescent="0.25">
      <c r="A1029" s="39">
        <v>45419</v>
      </c>
      <c r="B1029" s="38" t="s">
        <v>117</v>
      </c>
      <c r="C1029" s="38" t="s">
        <v>7</v>
      </c>
      <c r="D1029" s="38" t="s">
        <v>349</v>
      </c>
      <c r="E1029" s="38" t="s">
        <v>398</v>
      </c>
      <c r="F1029" s="38" t="s">
        <v>90</v>
      </c>
      <c r="G1029" s="38" t="s">
        <v>138</v>
      </c>
      <c r="H1029" s="9" t="s">
        <v>118</v>
      </c>
      <c r="I1029" s="38" t="s">
        <v>58</v>
      </c>
      <c r="J1029" s="38">
        <v>0</v>
      </c>
      <c r="K1029">
        <v>0</v>
      </c>
      <c r="L1029">
        <v>0</v>
      </c>
      <c r="M1029">
        <v>0</v>
      </c>
      <c r="N1029" s="38">
        <v>34.69</v>
      </c>
      <c r="O1029" s="38"/>
      <c r="P1029" s="38" t="s">
        <v>151</v>
      </c>
      <c r="Q1029" s="38"/>
    </row>
    <row r="1030" spans="1:17" x14ac:dyDescent="0.25">
      <c r="A1030" s="39">
        <v>45419</v>
      </c>
      <c r="B1030" s="38" t="s">
        <v>39</v>
      </c>
      <c r="C1030" s="38" t="s">
        <v>7</v>
      </c>
      <c r="D1030" s="38" t="s">
        <v>177</v>
      </c>
      <c r="E1030" s="38" t="s">
        <v>377</v>
      </c>
      <c r="F1030" s="38" t="s">
        <v>90</v>
      </c>
      <c r="G1030" s="38" t="s">
        <v>138</v>
      </c>
      <c r="H1030" s="9" t="s">
        <v>116</v>
      </c>
      <c r="I1030" s="38" t="s">
        <v>58</v>
      </c>
      <c r="J1030" s="38">
        <v>0</v>
      </c>
      <c r="K1030">
        <v>0</v>
      </c>
      <c r="L1030">
        <v>0</v>
      </c>
      <c r="M1030">
        <v>0</v>
      </c>
      <c r="N1030" s="38">
        <v>41.24</v>
      </c>
      <c r="O1030" s="38"/>
      <c r="P1030" s="38" t="s">
        <v>151</v>
      </c>
      <c r="Q1030" s="38"/>
    </row>
    <row r="1031" spans="1:17" x14ac:dyDescent="0.25">
      <c r="A1031" s="39">
        <v>45419</v>
      </c>
      <c r="B1031" s="38" t="s">
        <v>113</v>
      </c>
      <c r="C1031" s="38" t="s">
        <v>7</v>
      </c>
      <c r="D1031" s="38" t="s">
        <v>188</v>
      </c>
      <c r="E1031" s="38" t="s">
        <v>126</v>
      </c>
      <c r="F1031" s="38" t="s">
        <v>199</v>
      </c>
      <c r="G1031" s="38" t="s">
        <v>138</v>
      </c>
      <c r="H1031" s="9" t="s">
        <v>114</v>
      </c>
      <c r="I1031" s="38" t="s">
        <v>58</v>
      </c>
      <c r="J1031" s="38">
        <v>0</v>
      </c>
      <c r="K1031">
        <v>0</v>
      </c>
      <c r="L1031">
        <v>0</v>
      </c>
      <c r="M1031">
        <v>0</v>
      </c>
      <c r="N1031" s="38">
        <v>41.35</v>
      </c>
      <c r="O1031" s="38"/>
      <c r="P1031" s="38" t="s">
        <v>149</v>
      </c>
      <c r="Q1031" s="38"/>
    </row>
    <row r="1032" spans="1:17" x14ac:dyDescent="0.25">
      <c r="A1032" s="39">
        <v>45419</v>
      </c>
      <c r="B1032" s="38" t="s">
        <v>111</v>
      </c>
      <c r="C1032" s="38" t="s">
        <v>7</v>
      </c>
      <c r="D1032" s="38" t="s">
        <v>189</v>
      </c>
      <c r="E1032" s="38" t="s">
        <v>81</v>
      </c>
      <c r="F1032" s="38" t="s">
        <v>285</v>
      </c>
      <c r="G1032" s="38" t="s">
        <v>138</v>
      </c>
      <c r="H1032" s="9" t="s">
        <v>112</v>
      </c>
      <c r="I1032" s="38" t="s">
        <v>58</v>
      </c>
      <c r="J1032" s="38">
        <v>0</v>
      </c>
      <c r="K1032">
        <v>0</v>
      </c>
      <c r="L1032">
        <v>0</v>
      </c>
      <c r="M1032">
        <v>0</v>
      </c>
      <c r="N1032" s="38">
        <v>20.48</v>
      </c>
      <c r="O1032" s="38"/>
      <c r="P1032" s="38" t="s">
        <v>153</v>
      </c>
      <c r="Q1032" s="38"/>
    </row>
    <row r="1033" spans="1:17" x14ac:dyDescent="0.25">
      <c r="A1033" s="39">
        <v>45419</v>
      </c>
      <c r="B1033" s="38" t="s">
        <v>109</v>
      </c>
      <c r="C1033" s="38" t="s">
        <v>7</v>
      </c>
      <c r="D1033" s="38" t="s">
        <v>142</v>
      </c>
      <c r="E1033" s="38" t="s">
        <v>56</v>
      </c>
      <c r="F1033" s="38" t="s">
        <v>199</v>
      </c>
      <c r="G1033" s="38" t="s">
        <v>138</v>
      </c>
      <c r="H1033" s="9" t="s">
        <v>110</v>
      </c>
      <c r="I1033" s="38" t="s">
        <v>58</v>
      </c>
      <c r="J1033" s="38">
        <v>0</v>
      </c>
      <c r="K1033">
        <v>0</v>
      </c>
      <c r="L1033">
        <v>0</v>
      </c>
      <c r="M1033">
        <v>0</v>
      </c>
      <c r="N1033" s="38">
        <v>41.05</v>
      </c>
      <c r="O1033" s="38"/>
      <c r="P1033" s="38" t="s">
        <v>149</v>
      </c>
      <c r="Q1033" s="38"/>
    </row>
    <row r="1034" spans="1:17" x14ac:dyDescent="0.25">
      <c r="A1034" s="39">
        <v>45419</v>
      </c>
      <c r="B1034" s="38" t="s">
        <v>107</v>
      </c>
      <c r="C1034" s="38" t="s">
        <v>7</v>
      </c>
      <c r="D1034" s="38" t="s">
        <v>401</v>
      </c>
      <c r="E1034" s="38" t="s">
        <v>56</v>
      </c>
      <c r="F1034" s="38" t="s">
        <v>93</v>
      </c>
      <c r="G1034" s="38" t="s">
        <v>138</v>
      </c>
      <c r="H1034" s="9" t="s">
        <v>108</v>
      </c>
      <c r="I1034" s="38" t="s">
        <v>58</v>
      </c>
      <c r="J1034" s="38">
        <v>0</v>
      </c>
      <c r="K1034">
        <v>0</v>
      </c>
      <c r="L1034">
        <v>0</v>
      </c>
      <c r="M1034">
        <v>0</v>
      </c>
      <c r="N1034" s="38">
        <v>12.09</v>
      </c>
      <c r="O1034" s="38"/>
      <c r="P1034" s="38" t="s">
        <v>403</v>
      </c>
      <c r="Q1034" s="38"/>
    </row>
    <row r="1035" spans="1:17" x14ac:dyDescent="0.25">
      <c r="A1035" s="39">
        <v>45419</v>
      </c>
      <c r="B1035" s="38" t="s">
        <v>41</v>
      </c>
      <c r="C1035" s="38" t="s">
        <v>7</v>
      </c>
      <c r="D1035" s="38" t="s">
        <v>123</v>
      </c>
      <c r="E1035" s="38" t="s">
        <v>81</v>
      </c>
      <c r="F1035" s="38" t="s">
        <v>285</v>
      </c>
      <c r="G1035" s="38" t="s">
        <v>138</v>
      </c>
      <c r="H1035" s="9" t="s">
        <v>106</v>
      </c>
      <c r="I1035" s="38" t="s">
        <v>58</v>
      </c>
      <c r="J1035" s="38">
        <v>0</v>
      </c>
      <c r="K1035">
        <v>0</v>
      </c>
      <c r="L1035">
        <v>0</v>
      </c>
      <c r="M1035">
        <v>0</v>
      </c>
      <c r="N1035" s="38">
        <v>17.88</v>
      </c>
      <c r="O1035" s="38"/>
      <c r="P1035" s="38" t="s">
        <v>152</v>
      </c>
      <c r="Q1035" s="38"/>
    </row>
    <row r="1036" spans="1:17" x14ac:dyDescent="0.25">
      <c r="A1036" s="39">
        <v>45419</v>
      </c>
      <c r="B1036" s="38" t="s">
        <v>43</v>
      </c>
      <c r="C1036" s="38" t="s">
        <v>7</v>
      </c>
      <c r="D1036" s="38" t="s">
        <v>282</v>
      </c>
      <c r="E1036" s="38" t="s">
        <v>275</v>
      </c>
      <c r="F1036" s="38" t="s">
        <v>276</v>
      </c>
      <c r="G1036" s="38" t="s">
        <v>138</v>
      </c>
      <c r="H1036" s="9" t="s">
        <v>208</v>
      </c>
      <c r="I1036" s="38" t="s">
        <v>58</v>
      </c>
      <c r="J1036" s="38">
        <v>0</v>
      </c>
      <c r="K1036">
        <v>0</v>
      </c>
      <c r="L1036">
        <v>0</v>
      </c>
      <c r="M1036">
        <v>0</v>
      </c>
      <c r="N1036" s="38">
        <v>17.25</v>
      </c>
      <c r="O1036" s="38"/>
      <c r="P1036" s="38" t="s">
        <v>154</v>
      </c>
      <c r="Q1036" s="38"/>
    </row>
    <row r="1037" spans="1:17" x14ac:dyDescent="0.25">
      <c r="A1037" s="39">
        <v>45419</v>
      </c>
      <c r="B1037" s="38" t="s">
        <v>5</v>
      </c>
      <c r="C1037" s="38" t="s">
        <v>7</v>
      </c>
      <c r="D1037" s="38" t="s">
        <v>283</v>
      </c>
      <c r="E1037" s="38" t="s">
        <v>60</v>
      </c>
      <c r="F1037" s="38" t="s">
        <v>285</v>
      </c>
      <c r="G1037" s="38" t="s">
        <v>138</v>
      </c>
      <c r="H1037" s="9" t="s">
        <v>209</v>
      </c>
      <c r="I1037" s="38" t="s">
        <v>58</v>
      </c>
      <c r="J1037" s="38">
        <v>0</v>
      </c>
      <c r="K1037">
        <v>0</v>
      </c>
      <c r="L1037">
        <v>0</v>
      </c>
      <c r="M1037">
        <v>0</v>
      </c>
      <c r="N1037" s="38">
        <v>16.46</v>
      </c>
      <c r="O1037" s="38"/>
      <c r="P1037" s="38" t="s">
        <v>153</v>
      </c>
      <c r="Q1037" s="38"/>
    </row>
    <row r="1038" spans="1:17" x14ac:dyDescent="0.25">
      <c r="A1038" s="39">
        <v>45419</v>
      </c>
      <c r="B1038" s="38" t="s">
        <v>9</v>
      </c>
      <c r="C1038" s="38" t="s">
        <v>7</v>
      </c>
      <c r="D1038" s="38" t="s">
        <v>189</v>
      </c>
      <c r="E1038" s="38" t="s">
        <v>360</v>
      </c>
      <c r="F1038" s="38" t="s">
        <v>276</v>
      </c>
      <c r="G1038" s="38" t="s">
        <v>138</v>
      </c>
      <c r="H1038" s="9" t="s">
        <v>210</v>
      </c>
      <c r="I1038" s="38" t="s">
        <v>58</v>
      </c>
      <c r="J1038" s="38">
        <v>0</v>
      </c>
      <c r="K1038">
        <v>0</v>
      </c>
      <c r="L1038">
        <v>0</v>
      </c>
      <c r="M1038">
        <v>0</v>
      </c>
      <c r="N1038" s="38">
        <v>23.18</v>
      </c>
      <c r="O1038" s="38"/>
      <c r="P1038" s="38" t="s">
        <v>153</v>
      </c>
      <c r="Q1038" s="38"/>
    </row>
    <row r="1039" spans="1:17" x14ac:dyDescent="0.25">
      <c r="A1039" s="39">
        <v>45419</v>
      </c>
      <c r="B1039" s="38" t="s">
        <v>10</v>
      </c>
      <c r="C1039" s="38" t="s">
        <v>7</v>
      </c>
      <c r="D1039" s="38" t="s">
        <v>263</v>
      </c>
      <c r="E1039" s="38" t="s">
        <v>342</v>
      </c>
      <c r="F1039" s="38" t="s">
        <v>90</v>
      </c>
      <c r="G1039" s="38" t="s">
        <v>138</v>
      </c>
      <c r="H1039" s="9" t="s">
        <v>211</v>
      </c>
      <c r="I1039" s="38" t="s">
        <v>58</v>
      </c>
      <c r="J1039" s="38">
        <v>0</v>
      </c>
      <c r="K1039">
        <v>0</v>
      </c>
      <c r="L1039">
        <v>0</v>
      </c>
      <c r="M1039">
        <v>0</v>
      </c>
      <c r="N1039" s="38">
        <v>74.34</v>
      </c>
      <c r="O1039" s="38"/>
      <c r="P1039" s="38" t="s">
        <v>151</v>
      </c>
      <c r="Q1039" s="38"/>
    </row>
    <row r="1040" spans="1:17" x14ac:dyDescent="0.25">
      <c r="A1040" s="39">
        <v>45419</v>
      </c>
      <c r="B1040" s="38" t="s">
        <v>11</v>
      </c>
      <c r="C1040" s="38" t="s">
        <v>7</v>
      </c>
      <c r="D1040" s="38" t="s">
        <v>205</v>
      </c>
      <c r="E1040" s="38" t="s">
        <v>60</v>
      </c>
      <c r="F1040" s="38" t="s">
        <v>93</v>
      </c>
      <c r="G1040" s="38" t="s">
        <v>138</v>
      </c>
      <c r="H1040" s="9" t="s">
        <v>212</v>
      </c>
      <c r="I1040" s="38" t="s">
        <v>58</v>
      </c>
      <c r="J1040" s="38">
        <v>0</v>
      </c>
      <c r="K1040">
        <v>0</v>
      </c>
      <c r="L1040">
        <v>0</v>
      </c>
      <c r="M1040">
        <v>0</v>
      </c>
      <c r="N1040" s="38">
        <v>11.39</v>
      </c>
      <c r="O1040" s="38"/>
      <c r="P1040" s="38" t="s">
        <v>147</v>
      </c>
      <c r="Q1040" s="38"/>
    </row>
    <row r="1041" spans="1:17" x14ac:dyDescent="0.25">
      <c r="A1041" s="39">
        <v>45419</v>
      </c>
      <c r="B1041" s="38" t="s">
        <v>12</v>
      </c>
      <c r="C1041" s="38" t="s">
        <v>7</v>
      </c>
      <c r="D1041" s="38" t="s">
        <v>286</v>
      </c>
      <c r="E1041" s="38" t="s">
        <v>60</v>
      </c>
      <c r="F1041" s="38" t="s">
        <v>285</v>
      </c>
      <c r="G1041" s="38" t="s">
        <v>138</v>
      </c>
      <c r="H1041" s="9" t="s">
        <v>213</v>
      </c>
      <c r="I1041" s="38" t="s">
        <v>58</v>
      </c>
      <c r="J1041" s="38">
        <v>0</v>
      </c>
      <c r="K1041">
        <v>0</v>
      </c>
      <c r="L1041">
        <v>0</v>
      </c>
      <c r="M1041">
        <v>0</v>
      </c>
      <c r="N1041" s="38">
        <v>11.98</v>
      </c>
      <c r="O1041" s="38"/>
      <c r="P1041" s="38" t="s">
        <v>154</v>
      </c>
      <c r="Q1041" s="38"/>
    </row>
    <row r="1042" spans="1:17" x14ac:dyDescent="0.25">
      <c r="A1042" s="39">
        <v>45419</v>
      </c>
      <c r="B1042" s="38" t="s">
        <v>105</v>
      </c>
      <c r="C1042" s="38" t="s">
        <v>7</v>
      </c>
      <c r="D1042" s="38" t="s">
        <v>267</v>
      </c>
      <c r="E1042" s="38" t="s">
        <v>60</v>
      </c>
      <c r="F1042" s="38" t="s">
        <v>93</v>
      </c>
      <c r="G1042" s="38" t="s">
        <v>138</v>
      </c>
      <c r="H1042" s="9" t="s">
        <v>214</v>
      </c>
      <c r="I1042" s="38" t="s">
        <v>58</v>
      </c>
      <c r="J1042" s="38">
        <v>0</v>
      </c>
      <c r="K1042">
        <v>0</v>
      </c>
      <c r="L1042">
        <v>0</v>
      </c>
      <c r="M1042">
        <v>0</v>
      </c>
      <c r="N1042" s="38">
        <v>12.39</v>
      </c>
      <c r="O1042" s="38"/>
      <c r="P1042" s="38" t="s">
        <v>147</v>
      </c>
      <c r="Q1042" s="38"/>
    </row>
    <row r="1043" spans="1:17" x14ac:dyDescent="0.25">
      <c r="A1043" s="39">
        <v>45419</v>
      </c>
      <c r="B1043" s="38" t="s">
        <v>104</v>
      </c>
      <c r="C1043" s="38" t="s">
        <v>7</v>
      </c>
      <c r="D1043" s="38" t="s">
        <v>143</v>
      </c>
      <c r="E1043" s="38" t="s">
        <v>60</v>
      </c>
      <c r="F1043" s="38" t="s">
        <v>285</v>
      </c>
      <c r="G1043" s="38" t="s">
        <v>138</v>
      </c>
      <c r="H1043" s="9" t="s">
        <v>215</v>
      </c>
      <c r="I1043" s="38" t="s">
        <v>58</v>
      </c>
      <c r="J1043" s="38">
        <v>0</v>
      </c>
      <c r="K1043">
        <v>0</v>
      </c>
      <c r="L1043">
        <v>0</v>
      </c>
      <c r="M1043">
        <v>0</v>
      </c>
      <c r="N1043" s="38">
        <v>13.96</v>
      </c>
      <c r="O1043" s="38"/>
      <c r="P1043" s="38" t="s">
        <v>154</v>
      </c>
      <c r="Q1043" s="38"/>
    </row>
    <row r="1044" spans="1:17" x14ac:dyDescent="0.25">
      <c r="A1044" s="39">
        <v>45419</v>
      </c>
      <c r="B1044" s="38" t="s">
        <v>13</v>
      </c>
      <c r="C1044" s="38" t="s">
        <v>7</v>
      </c>
      <c r="D1044" s="38" t="s">
        <v>350</v>
      </c>
      <c r="E1044" s="38" t="s">
        <v>60</v>
      </c>
      <c r="F1044" s="38" t="s">
        <v>93</v>
      </c>
      <c r="G1044" s="38" t="s">
        <v>138</v>
      </c>
      <c r="H1044" s="9" t="s">
        <v>216</v>
      </c>
      <c r="I1044" s="38" t="s">
        <v>58</v>
      </c>
      <c r="J1044" s="38">
        <v>0</v>
      </c>
      <c r="K1044">
        <v>0</v>
      </c>
      <c r="L1044">
        <v>0</v>
      </c>
      <c r="M1044">
        <v>0</v>
      </c>
      <c r="N1044" s="38">
        <v>12.4</v>
      </c>
      <c r="O1044" s="38"/>
      <c r="P1044" s="38" t="s">
        <v>147</v>
      </c>
      <c r="Q1044" s="38"/>
    </row>
    <row r="1045" spans="1:17" x14ac:dyDescent="0.25">
      <c r="A1045" s="39">
        <v>45419</v>
      </c>
      <c r="B1045" s="38" t="s">
        <v>103</v>
      </c>
      <c r="C1045" s="38" t="s">
        <v>7</v>
      </c>
      <c r="D1045" s="38" t="s">
        <v>179</v>
      </c>
      <c r="E1045" s="38" t="s">
        <v>81</v>
      </c>
      <c r="F1045" s="38" t="s">
        <v>90</v>
      </c>
      <c r="G1045" s="38" t="s">
        <v>138</v>
      </c>
      <c r="H1045" s="9" t="s">
        <v>217</v>
      </c>
      <c r="I1045" s="38" t="s">
        <v>65</v>
      </c>
      <c r="J1045" s="38">
        <v>0</v>
      </c>
      <c r="K1045">
        <v>0</v>
      </c>
      <c r="L1045">
        <v>0</v>
      </c>
      <c r="M1045">
        <v>0</v>
      </c>
      <c r="N1045" s="38">
        <v>41.9</v>
      </c>
      <c r="O1045" s="38"/>
      <c r="P1045" s="38" t="s">
        <v>187</v>
      </c>
      <c r="Q1045" s="38"/>
    </row>
    <row r="1046" spans="1:17" x14ac:dyDescent="0.25">
      <c r="A1046" s="39">
        <v>45419</v>
      </c>
      <c r="B1046" s="38" t="s">
        <v>101</v>
      </c>
      <c r="C1046" s="38" t="s">
        <v>7</v>
      </c>
      <c r="D1046" s="38" t="s">
        <v>405</v>
      </c>
      <c r="E1046" s="38" t="s">
        <v>81</v>
      </c>
      <c r="F1046" s="38" t="s">
        <v>285</v>
      </c>
      <c r="G1046" s="38" t="s">
        <v>138</v>
      </c>
      <c r="H1046" s="9" t="s">
        <v>102</v>
      </c>
      <c r="I1046" s="38" t="s">
        <v>58</v>
      </c>
      <c r="J1046" s="38">
        <v>0</v>
      </c>
      <c r="K1046">
        <v>0</v>
      </c>
      <c r="L1046">
        <v>0</v>
      </c>
      <c r="M1046">
        <v>0</v>
      </c>
      <c r="N1046" s="38">
        <v>19.600000000000001</v>
      </c>
      <c r="O1046" s="38"/>
      <c r="P1046" s="38" t="s">
        <v>151</v>
      </c>
      <c r="Q1046" s="38"/>
    </row>
    <row r="1047" spans="1:17" x14ac:dyDescent="0.25">
      <c r="A1047" s="39">
        <v>45419</v>
      </c>
      <c r="B1047" s="38" t="s">
        <v>99</v>
      </c>
      <c r="C1047" s="38" t="s">
        <v>7</v>
      </c>
      <c r="D1047" s="38" t="s">
        <v>249</v>
      </c>
      <c r="E1047" s="38" t="s">
        <v>81</v>
      </c>
      <c r="F1047" s="38" t="s">
        <v>90</v>
      </c>
      <c r="G1047" s="38" t="s">
        <v>138</v>
      </c>
      <c r="H1047" s="9" t="s">
        <v>100</v>
      </c>
      <c r="I1047" s="38"/>
      <c r="J1047" s="38">
        <v>0</v>
      </c>
      <c r="K1047">
        <v>0</v>
      </c>
      <c r="L1047">
        <v>0</v>
      </c>
      <c r="M1047">
        <v>0</v>
      </c>
      <c r="N1047" s="38">
        <v>41.83</v>
      </c>
      <c r="O1047" s="38"/>
      <c r="P1047" s="38" t="s">
        <v>152</v>
      </c>
      <c r="Q1047" s="38"/>
    </row>
    <row r="1048" spans="1:17" x14ac:dyDescent="0.25">
      <c r="A1048" s="39">
        <v>45419</v>
      </c>
      <c r="B1048" s="38" t="s">
        <v>97</v>
      </c>
      <c r="C1048" s="38" t="s">
        <v>7</v>
      </c>
      <c r="D1048" s="38" t="s">
        <v>288</v>
      </c>
      <c r="E1048" s="38" t="s">
        <v>352</v>
      </c>
      <c r="F1048" s="38" t="s">
        <v>285</v>
      </c>
      <c r="G1048" s="38" t="s">
        <v>138</v>
      </c>
      <c r="H1048" s="9" t="s">
        <v>98</v>
      </c>
      <c r="I1048" s="38" t="s">
        <v>58</v>
      </c>
      <c r="J1048" s="38">
        <v>0</v>
      </c>
      <c r="K1048">
        <v>0</v>
      </c>
      <c r="L1048">
        <v>0</v>
      </c>
      <c r="M1048">
        <v>0</v>
      </c>
      <c r="N1048" s="38">
        <v>22.49</v>
      </c>
      <c r="O1048" s="38"/>
      <c r="P1048" s="38" t="s">
        <v>148</v>
      </c>
      <c r="Q1048" s="38"/>
    </row>
    <row r="1049" spans="1:17" x14ac:dyDescent="0.25">
      <c r="A1049" s="39">
        <v>45419</v>
      </c>
      <c r="B1049" s="38" t="s">
        <v>95</v>
      </c>
      <c r="C1049" s="38" t="s">
        <v>7</v>
      </c>
      <c r="D1049" s="38" t="s">
        <v>181</v>
      </c>
      <c r="E1049" s="38" t="s">
        <v>81</v>
      </c>
      <c r="F1049" s="38" t="s">
        <v>90</v>
      </c>
      <c r="G1049" s="38" t="s">
        <v>138</v>
      </c>
      <c r="H1049" s="9" t="s">
        <v>96</v>
      </c>
      <c r="I1049" s="38" t="s">
        <v>65</v>
      </c>
      <c r="J1049" s="38">
        <v>0</v>
      </c>
      <c r="K1049">
        <v>0</v>
      </c>
      <c r="L1049">
        <v>0</v>
      </c>
      <c r="M1049">
        <v>0</v>
      </c>
      <c r="N1049" s="38">
        <v>20.38</v>
      </c>
      <c r="O1049" s="38"/>
      <c r="P1049" s="38" t="s">
        <v>152</v>
      </c>
      <c r="Q1049" s="38"/>
    </row>
    <row r="1050" spans="1:17" x14ac:dyDescent="0.25">
      <c r="A1050" s="39">
        <v>45419</v>
      </c>
      <c r="B1050" s="38" t="s">
        <v>14</v>
      </c>
      <c r="C1050" s="38" t="s">
        <v>7</v>
      </c>
      <c r="D1050" s="38" t="s">
        <v>289</v>
      </c>
      <c r="E1050" s="38" t="s">
        <v>352</v>
      </c>
      <c r="F1050" s="38" t="s">
        <v>285</v>
      </c>
      <c r="G1050" s="38" t="s">
        <v>138</v>
      </c>
      <c r="H1050" s="9" t="s">
        <v>94</v>
      </c>
      <c r="I1050" s="38" t="s">
        <v>58</v>
      </c>
      <c r="J1050" s="38">
        <v>0</v>
      </c>
      <c r="K1050">
        <v>0</v>
      </c>
      <c r="L1050">
        <v>0</v>
      </c>
      <c r="M1050">
        <v>0</v>
      </c>
      <c r="N1050" s="38">
        <v>25.88</v>
      </c>
      <c r="O1050" s="38"/>
      <c r="P1050" s="38" t="s">
        <v>151</v>
      </c>
      <c r="Q1050" s="38"/>
    </row>
    <row r="1051" spans="1:17" x14ac:dyDescent="0.25">
      <c r="A1051" s="39">
        <v>45419</v>
      </c>
      <c r="B1051" s="38" t="s">
        <v>91</v>
      </c>
      <c r="C1051" s="38" t="s">
        <v>7</v>
      </c>
      <c r="D1051" s="38" t="s">
        <v>180</v>
      </c>
      <c r="E1051" s="38" t="s">
        <v>81</v>
      </c>
      <c r="F1051" s="38" t="s">
        <v>90</v>
      </c>
      <c r="G1051" s="38" t="s">
        <v>138</v>
      </c>
      <c r="H1051" s="9" t="s">
        <v>92</v>
      </c>
      <c r="I1051" s="38"/>
      <c r="J1051" s="38">
        <v>0</v>
      </c>
      <c r="K1051">
        <v>0</v>
      </c>
      <c r="L1051">
        <v>0</v>
      </c>
      <c r="M1051">
        <v>0</v>
      </c>
      <c r="N1051" s="38">
        <v>16.73</v>
      </c>
      <c r="O1051" s="38"/>
      <c r="P1051" s="38" t="s">
        <v>148</v>
      </c>
      <c r="Q1051" s="38"/>
    </row>
    <row r="1052" spans="1:17" x14ac:dyDescent="0.25">
      <c r="A1052" s="39">
        <v>45419</v>
      </c>
      <c r="B1052" s="38" t="s">
        <v>15</v>
      </c>
      <c r="C1052" s="38" t="s">
        <v>7</v>
      </c>
      <c r="D1052" s="38" t="s">
        <v>140</v>
      </c>
      <c r="E1052" s="38" t="s">
        <v>81</v>
      </c>
      <c r="F1052" s="38" t="s">
        <v>285</v>
      </c>
      <c r="G1052" s="38" t="s">
        <v>138</v>
      </c>
      <c r="H1052" s="9" t="s">
        <v>218</v>
      </c>
      <c r="I1052" s="38" t="s">
        <v>58</v>
      </c>
      <c r="J1052" s="38">
        <v>0</v>
      </c>
      <c r="K1052">
        <v>0</v>
      </c>
      <c r="L1052">
        <v>0</v>
      </c>
      <c r="M1052">
        <v>0</v>
      </c>
      <c r="N1052" s="38">
        <v>20.190000000000001</v>
      </c>
      <c r="O1052" s="38"/>
      <c r="P1052" s="38" t="s">
        <v>148</v>
      </c>
      <c r="Q1052" s="38"/>
    </row>
    <row r="1053" spans="1:17" x14ac:dyDescent="0.25">
      <c r="A1053" s="39">
        <v>45419</v>
      </c>
      <c r="B1053" s="38" t="s">
        <v>89</v>
      </c>
      <c r="C1053" s="38" t="s">
        <v>7</v>
      </c>
      <c r="D1053" s="38" t="s">
        <v>176</v>
      </c>
      <c r="E1053" s="38" t="s">
        <v>398</v>
      </c>
      <c r="F1053" s="38" t="s">
        <v>90</v>
      </c>
      <c r="G1053" s="38" t="s">
        <v>138</v>
      </c>
      <c r="H1053" s="9" t="s">
        <v>219</v>
      </c>
      <c r="I1053" s="38" t="s">
        <v>65</v>
      </c>
      <c r="J1053" s="38">
        <v>0</v>
      </c>
      <c r="K1053">
        <v>0</v>
      </c>
      <c r="L1053">
        <v>0</v>
      </c>
      <c r="M1053">
        <v>0</v>
      </c>
      <c r="N1053" s="38">
        <v>17.670000000000002</v>
      </c>
      <c r="O1053" s="38"/>
      <c r="P1053" s="38" t="s">
        <v>186</v>
      </c>
      <c r="Q1053" s="38"/>
    </row>
    <row r="1054" spans="1:17" x14ac:dyDescent="0.25">
      <c r="A1054" s="39">
        <v>45419</v>
      </c>
      <c r="B1054" s="38" t="s">
        <v>16</v>
      </c>
      <c r="C1054" s="38" t="s">
        <v>7</v>
      </c>
      <c r="D1054" s="38" t="s">
        <v>407</v>
      </c>
      <c r="E1054" s="38" t="s">
        <v>360</v>
      </c>
      <c r="F1054" s="38" t="s">
        <v>253</v>
      </c>
      <c r="G1054" s="38" t="s">
        <v>138</v>
      </c>
      <c r="H1054" s="9" t="s">
        <v>220</v>
      </c>
      <c r="I1054" s="38" t="s">
        <v>58</v>
      </c>
      <c r="J1054" s="38">
        <v>0</v>
      </c>
      <c r="K1054">
        <v>0</v>
      </c>
      <c r="L1054">
        <v>0</v>
      </c>
      <c r="M1054">
        <v>0</v>
      </c>
      <c r="N1054" s="38">
        <v>21.19</v>
      </c>
      <c r="O1054" s="38"/>
      <c r="P1054" s="38" t="s">
        <v>151</v>
      </c>
      <c r="Q1054" s="38"/>
    </row>
    <row r="1055" spans="1:17" x14ac:dyDescent="0.25">
      <c r="A1055" s="39">
        <v>45419</v>
      </c>
      <c r="B1055" s="38" t="s">
        <v>88</v>
      </c>
      <c r="C1055" s="38" t="s">
        <v>7</v>
      </c>
      <c r="D1055" s="38" t="s">
        <v>311</v>
      </c>
      <c r="E1055" s="38" t="s">
        <v>60</v>
      </c>
      <c r="F1055" s="38" t="s">
        <v>253</v>
      </c>
      <c r="G1055" s="38" t="s">
        <v>138</v>
      </c>
      <c r="H1055" s="9" t="s">
        <v>221</v>
      </c>
      <c r="I1055" s="38"/>
      <c r="J1055" s="38">
        <v>0</v>
      </c>
      <c r="K1055">
        <v>0</v>
      </c>
      <c r="L1055">
        <v>0</v>
      </c>
      <c r="M1055">
        <v>0</v>
      </c>
      <c r="N1055" s="38">
        <v>38.44</v>
      </c>
      <c r="O1055" s="38"/>
      <c r="P1055" s="38" t="s">
        <v>154</v>
      </c>
      <c r="Q1055" s="38"/>
    </row>
    <row r="1056" spans="1:17" x14ac:dyDescent="0.25">
      <c r="A1056" s="39">
        <v>45419</v>
      </c>
      <c r="B1056" s="38" t="s">
        <v>17</v>
      </c>
      <c r="C1056" s="38" t="s">
        <v>7</v>
      </c>
      <c r="D1056" s="38" t="s">
        <v>272</v>
      </c>
      <c r="E1056" s="38" t="s">
        <v>275</v>
      </c>
      <c r="F1056" s="38" t="s">
        <v>276</v>
      </c>
      <c r="G1056" s="38" t="s">
        <v>138</v>
      </c>
      <c r="H1056" s="9" t="s">
        <v>222</v>
      </c>
      <c r="I1056" s="38" t="s">
        <v>58</v>
      </c>
      <c r="J1056" s="38">
        <v>0</v>
      </c>
      <c r="K1056">
        <v>0</v>
      </c>
      <c r="L1056">
        <v>0</v>
      </c>
      <c r="M1056">
        <v>0</v>
      </c>
      <c r="N1056" s="38">
        <v>20.56</v>
      </c>
      <c r="O1056" s="38"/>
      <c r="P1056" s="38" t="s">
        <v>151</v>
      </c>
      <c r="Q1056" s="38"/>
    </row>
    <row r="1057" spans="1:17" x14ac:dyDescent="0.25">
      <c r="A1057" s="39">
        <v>45419</v>
      </c>
      <c r="B1057" s="38" t="s">
        <v>19</v>
      </c>
      <c r="C1057" s="38" t="s">
        <v>7</v>
      </c>
      <c r="D1057" s="38" t="s">
        <v>343</v>
      </c>
      <c r="E1057" s="38" t="s">
        <v>81</v>
      </c>
      <c r="F1057" s="38" t="s">
        <v>253</v>
      </c>
      <c r="G1057" s="38" t="s">
        <v>138</v>
      </c>
      <c r="H1057" s="9" t="s">
        <v>223</v>
      </c>
      <c r="I1057" s="38" t="s">
        <v>65</v>
      </c>
      <c r="J1057" s="38">
        <v>0</v>
      </c>
      <c r="K1057">
        <v>0</v>
      </c>
      <c r="L1057">
        <v>0</v>
      </c>
      <c r="M1057">
        <v>0</v>
      </c>
      <c r="N1057" s="38">
        <v>41.06</v>
      </c>
      <c r="O1057" s="38"/>
      <c r="P1057" s="38" t="s">
        <v>151</v>
      </c>
      <c r="Q1057" s="38"/>
    </row>
    <row r="1058" spans="1:17" x14ac:dyDescent="0.25">
      <c r="A1058" s="39">
        <v>45419</v>
      </c>
      <c r="B1058" s="38" t="s">
        <v>18</v>
      </c>
      <c r="C1058" s="38" t="s">
        <v>7</v>
      </c>
      <c r="D1058" s="38" t="s">
        <v>268</v>
      </c>
      <c r="E1058" s="38" t="s">
        <v>408</v>
      </c>
      <c r="F1058" s="38" t="s">
        <v>253</v>
      </c>
      <c r="G1058" s="38" t="s">
        <v>138</v>
      </c>
      <c r="H1058" s="9" t="s">
        <v>224</v>
      </c>
      <c r="I1058" s="38" t="s">
        <v>58</v>
      </c>
      <c r="J1058" s="38">
        <v>0</v>
      </c>
      <c r="K1058">
        <v>0</v>
      </c>
      <c r="L1058">
        <v>0</v>
      </c>
      <c r="M1058">
        <v>0</v>
      </c>
      <c r="N1058" s="38">
        <v>18.89</v>
      </c>
      <c r="O1058" s="38"/>
      <c r="P1058" s="38" t="s">
        <v>148</v>
      </c>
      <c r="Q1058" s="38"/>
    </row>
    <row r="1059" spans="1:17" x14ac:dyDescent="0.25">
      <c r="A1059" s="39">
        <v>45419</v>
      </c>
      <c r="B1059" s="38" t="s">
        <v>87</v>
      </c>
      <c r="C1059" s="38" t="s">
        <v>7</v>
      </c>
      <c r="D1059" s="38"/>
      <c r="E1059" s="38"/>
      <c r="F1059" s="38"/>
      <c r="G1059" s="38" t="s">
        <v>138</v>
      </c>
      <c r="H1059" s="9" t="s">
        <v>225</v>
      </c>
      <c r="I1059" s="38"/>
      <c r="J1059" s="38">
        <v>0</v>
      </c>
      <c r="K1059">
        <v>0</v>
      </c>
      <c r="L1059">
        <v>0</v>
      </c>
      <c r="M1059">
        <v>0</v>
      </c>
      <c r="N1059" s="38">
        <v>41146219</v>
      </c>
      <c r="O1059" s="38"/>
      <c r="P1059" s="38"/>
      <c r="Q1059" s="38"/>
    </row>
    <row r="1060" spans="1:17" x14ac:dyDescent="0.25">
      <c r="A1060" s="39">
        <v>45419</v>
      </c>
      <c r="B1060" s="38" t="s">
        <v>42</v>
      </c>
      <c r="C1060" s="38" t="s">
        <v>7</v>
      </c>
      <c r="D1060" s="38" t="s">
        <v>246</v>
      </c>
      <c r="E1060" s="38" t="s">
        <v>81</v>
      </c>
      <c r="F1060" s="38" t="s">
        <v>285</v>
      </c>
      <c r="G1060" s="38" t="s">
        <v>138</v>
      </c>
      <c r="H1060" s="9" t="s">
        <v>226</v>
      </c>
      <c r="I1060" s="38" t="s">
        <v>58</v>
      </c>
      <c r="J1060" s="38">
        <v>0</v>
      </c>
      <c r="K1060">
        <v>0</v>
      </c>
      <c r="L1060">
        <v>0</v>
      </c>
      <c r="M1060">
        <v>0</v>
      </c>
      <c r="N1060" s="38">
        <v>20.7</v>
      </c>
      <c r="O1060" s="38"/>
      <c r="P1060" s="38" t="s">
        <v>148</v>
      </c>
      <c r="Q1060" s="38"/>
    </row>
    <row r="1061" spans="1:17" x14ac:dyDescent="0.25">
      <c r="A1061" s="39">
        <v>45419</v>
      </c>
      <c r="B1061" s="38" t="s">
        <v>86</v>
      </c>
      <c r="C1061" s="38" t="s">
        <v>7</v>
      </c>
      <c r="D1061" s="38" t="s">
        <v>271</v>
      </c>
      <c r="E1061" s="38" t="s">
        <v>275</v>
      </c>
      <c r="F1061" s="38" t="s">
        <v>276</v>
      </c>
      <c r="G1061" s="38" t="s">
        <v>138</v>
      </c>
      <c r="H1061" s="9" t="s">
        <v>227</v>
      </c>
      <c r="I1061" s="38" t="s">
        <v>65</v>
      </c>
      <c r="J1061" s="38">
        <v>0</v>
      </c>
      <c r="K1061">
        <v>0</v>
      </c>
      <c r="L1061">
        <v>0</v>
      </c>
      <c r="M1061">
        <v>0</v>
      </c>
      <c r="N1061" s="38">
        <v>41.64</v>
      </c>
      <c r="O1061" s="38"/>
      <c r="P1061" s="38" t="s">
        <v>152</v>
      </c>
      <c r="Q1061" s="38"/>
    </row>
    <row r="1062" spans="1:17" x14ac:dyDescent="0.25">
      <c r="A1062" s="39">
        <v>45419</v>
      </c>
      <c r="B1062" s="38" t="s">
        <v>38</v>
      </c>
      <c r="C1062" s="38" t="s">
        <v>7</v>
      </c>
      <c r="D1062" s="38" t="s">
        <v>141</v>
      </c>
      <c r="E1062" s="38" t="s">
        <v>81</v>
      </c>
      <c r="F1062" s="38" t="s">
        <v>285</v>
      </c>
      <c r="G1062" s="38" t="s">
        <v>138</v>
      </c>
      <c r="H1062" s="9" t="s">
        <v>85</v>
      </c>
      <c r="I1062" s="38" t="s">
        <v>58</v>
      </c>
      <c r="J1062" s="38">
        <v>0</v>
      </c>
      <c r="K1062">
        <v>0</v>
      </c>
      <c r="L1062">
        <v>0</v>
      </c>
      <c r="M1062">
        <v>0</v>
      </c>
      <c r="N1062" s="38">
        <v>37.5</v>
      </c>
      <c r="O1062" s="38"/>
      <c r="P1062" s="38" t="s">
        <v>151</v>
      </c>
      <c r="Q1062" s="38"/>
    </row>
    <row r="1063" spans="1:17" x14ac:dyDescent="0.25">
      <c r="A1063" s="39">
        <v>45419</v>
      </c>
      <c r="B1063" s="38" t="s">
        <v>83</v>
      </c>
      <c r="C1063" s="38" t="s">
        <v>7</v>
      </c>
      <c r="D1063" s="38"/>
      <c r="E1063" s="38"/>
      <c r="F1063" s="38"/>
      <c r="G1063" s="38" t="s">
        <v>138</v>
      </c>
      <c r="H1063" s="9" t="s">
        <v>84</v>
      </c>
      <c r="I1063" s="38"/>
      <c r="J1063" s="38">
        <v>0</v>
      </c>
      <c r="K1063">
        <v>0</v>
      </c>
      <c r="L1063">
        <v>0</v>
      </c>
      <c r="M1063">
        <v>0</v>
      </c>
      <c r="N1063" s="38">
        <v>41.36</v>
      </c>
      <c r="O1063" s="38"/>
      <c r="P1063" s="38"/>
      <c r="Q1063" s="38"/>
    </row>
    <row r="1064" spans="1:17" x14ac:dyDescent="0.25">
      <c r="A1064" s="39">
        <v>45419</v>
      </c>
      <c r="B1064" s="38" t="s">
        <v>20</v>
      </c>
      <c r="C1064" s="38" t="s">
        <v>7</v>
      </c>
      <c r="D1064" s="38" t="s">
        <v>351</v>
      </c>
      <c r="E1064" s="38" t="s">
        <v>352</v>
      </c>
      <c r="F1064" s="38" t="s">
        <v>285</v>
      </c>
      <c r="G1064" s="38" t="s">
        <v>138</v>
      </c>
      <c r="H1064" s="9" t="s">
        <v>82</v>
      </c>
      <c r="I1064" s="38" t="s">
        <v>58</v>
      </c>
      <c r="J1064" s="38">
        <v>0</v>
      </c>
      <c r="K1064">
        <v>0</v>
      </c>
      <c r="L1064">
        <v>0</v>
      </c>
      <c r="M1064">
        <v>0</v>
      </c>
      <c r="N1064" s="38">
        <v>22.79</v>
      </c>
      <c r="O1064" s="38"/>
      <c r="P1064" s="38" t="s">
        <v>151</v>
      </c>
      <c r="Q1064" s="38"/>
    </row>
    <row r="1065" spans="1:17" x14ac:dyDescent="0.25">
      <c r="A1065" s="39">
        <v>45419</v>
      </c>
      <c r="B1065" s="38" t="s">
        <v>21</v>
      </c>
      <c r="C1065" s="38" t="s">
        <v>7</v>
      </c>
      <c r="D1065" s="38" t="s">
        <v>291</v>
      </c>
      <c r="E1065" s="38" t="s">
        <v>352</v>
      </c>
      <c r="F1065" s="38" t="s">
        <v>285</v>
      </c>
      <c r="G1065" s="38" t="s">
        <v>138</v>
      </c>
      <c r="H1065" s="9" t="s">
        <v>80</v>
      </c>
      <c r="I1065" s="38" t="s">
        <v>65</v>
      </c>
      <c r="J1065" s="38">
        <v>0</v>
      </c>
      <c r="K1065">
        <v>0</v>
      </c>
      <c r="L1065">
        <v>0</v>
      </c>
      <c r="M1065">
        <v>0</v>
      </c>
      <c r="N1065" s="38">
        <v>21.59</v>
      </c>
      <c r="O1065" s="38"/>
      <c r="P1065" s="38" t="s">
        <v>152</v>
      </c>
      <c r="Q1065" s="38"/>
    </row>
    <row r="1066" spans="1:17" x14ac:dyDescent="0.25">
      <c r="A1066" s="39">
        <v>45419</v>
      </c>
      <c r="B1066" s="38" t="s">
        <v>22</v>
      </c>
      <c r="C1066" s="38" t="s">
        <v>7</v>
      </c>
      <c r="D1066" s="38" t="s">
        <v>353</v>
      </c>
      <c r="E1066" s="38" t="s">
        <v>352</v>
      </c>
      <c r="F1066" s="38" t="s">
        <v>285</v>
      </c>
      <c r="G1066" s="38" t="s">
        <v>138</v>
      </c>
      <c r="H1066" s="9" t="s">
        <v>79</v>
      </c>
      <c r="I1066" s="38" t="s">
        <v>58</v>
      </c>
      <c r="J1066" s="38">
        <v>0</v>
      </c>
      <c r="K1066">
        <v>0</v>
      </c>
      <c r="L1066">
        <v>0</v>
      </c>
      <c r="M1066">
        <v>0</v>
      </c>
      <c r="N1066" s="38">
        <v>13.62</v>
      </c>
      <c r="O1066" s="38"/>
      <c r="P1066" s="38" t="s">
        <v>148</v>
      </c>
      <c r="Q1066" s="38"/>
    </row>
    <row r="1067" spans="1:17" x14ac:dyDescent="0.25">
      <c r="A1067" s="39">
        <v>45419</v>
      </c>
      <c r="B1067" s="38" t="s">
        <v>77</v>
      </c>
      <c r="C1067" s="38" t="s">
        <v>7</v>
      </c>
      <c r="D1067" s="38"/>
      <c r="E1067" s="38"/>
      <c r="F1067" s="38"/>
      <c r="G1067" s="38" t="s">
        <v>138</v>
      </c>
      <c r="H1067" s="9" t="s">
        <v>78</v>
      </c>
      <c r="I1067" s="38"/>
      <c r="J1067" s="38">
        <v>0</v>
      </c>
      <c r="K1067">
        <v>0</v>
      </c>
      <c r="L1067">
        <v>0</v>
      </c>
      <c r="M1067">
        <v>0</v>
      </c>
      <c r="N1067" s="38">
        <v>17.88</v>
      </c>
      <c r="O1067" s="38"/>
      <c r="P1067" s="38"/>
      <c r="Q1067" s="38"/>
    </row>
    <row r="1068" spans="1:17" x14ac:dyDescent="0.25">
      <c r="A1068" s="39">
        <v>45419</v>
      </c>
      <c r="B1068" s="38" t="s">
        <v>23</v>
      </c>
      <c r="C1068" s="38" t="s">
        <v>7</v>
      </c>
      <c r="D1068" s="38" t="s">
        <v>409</v>
      </c>
      <c r="E1068" s="38" t="s">
        <v>352</v>
      </c>
      <c r="F1068" s="38" t="s">
        <v>285</v>
      </c>
      <c r="G1068" s="38" t="s">
        <v>138</v>
      </c>
      <c r="H1068" s="9" t="s">
        <v>228</v>
      </c>
      <c r="I1068" s="38" t="s">
        <v>58</v>
      </c>
      <c r="J1068" s="38">
        <v>0</v>
      </c>
      <c r="K1068">
        <v>0</v>
      </c>
      <c r="L1068">
        <v>0</v>
      </c>
      <c r="M1068">
        <v>0</v>
      </c>
      <c r="N1068" s="38">
        <v>23.22</v>
      </c>
      <c r="O1068" s="38"/>
      <c r="P1068" s="38" t="s">
        <v>148</v>
      </c>
      <c r="Q1068" s="38"/>
    </row>
    <row r="1069" spans="1:17" x14ac:dyDescent="0.25">
      <c r="A1069" s="39">
        <v>45419</v>
      </c>
      <c r="B1069" s="38" t="s">
        <v>24</v>
      </c>
      <c r="C1069" s="38" t="s">
        <v>7</v>
      </c>
      <c r="D1069" s="38" t="s">
        <v>344</v>
      </c>
      <c r="E1069" s="38" t="s">
        <v>379</v>
      </c>
      <c r="F1069" s="38" t="s">
        <v>253</v>
      </c>
      <c r="G1069" s="38" t="s">
        <v>138</v>
      </c>
      <c r="H1069" s="9" t="s">
        <v>229</v>
      </c>
      <c r="I1069" s="38" t="s">
        <v>65</v>
      </c>
      <c r="J1069" s="38">
        <v>0</v>
      </c>
      <c r="K1069">
        <v>0</v>
      </c>
      <c r="L1069">
        <v>0</v>
      </c>
      <c r="M1069">
        <v>0</v>
      </c>
      <c r="N1069" s="38">
        <v>18.37</v>
      </c>
      <c r="O1069" s="38"/>
      <c r="P1069" s="38" t="s">
        <v>152</v>
      </c>
      <c r="Q1069" s="38"/>
    </row>
    <row r="1070" spans="1:17" x14ac:dyDescent="0.25">
      <c r="A1070" s="39">
        <v>45419</v>
      </c>
      <c r="B1070" s="38" t="s">
        <v>75</v>
      </c>
      <c r="C1070" s="38" t="s">
        <v>7</v>
      </c>
      <c r="D1070" s="38" t="s">
        <v>410</v>
      </c>
      <c r="E1070" s="38" t="s">
        <v>202</v>
      </c>
      <c r="F1070" s="38" t="s">
        <v>346</v>
      </c>
      <c r="G1070" s="38" t="s">
        <v>138</v>
      </c>
      <c r="H1070" s="9" t="s">
        <v>230</v>
      </c>
      <c r="I1070" s="38" t="s">
        <v>58</v>
      </c>
      <c r="J1070" s="38">
        <v>0</v>
      </c>
      <c r="K1070">
        <v>0</v>
      </c>
      <c r="L1070">
        <v>0</v>
      </c>
      <c r="M1070">
        <v>0</v>
      </c>
      <c r="N1070" s="38">
        <v>12.9</v>
      </c>
      <c r="O1070" s="38"/>
      <c r="P1070" s="38" t="s">
        <v>303</v>
      </c>
      <c r="Q1070" s="38"/>
    </row>
    <row r="1071" spans="1:17" x14ac:dyDescent="0.25">
      <c r="A1071" s="39">
        <v>45419</v>
      </c>
      <c r="B1071" s="38" t="s">
        <v>25</v>
      </c>
      <c r="C1071" s="38" t="s">
        <v>7</v>
      </c>
      <c r="D1071" s="38" t="s">
        <v>383</v>
      </c>
      <c r="E1071" s="38" t="s">
        <v>81</v>
      </c>
      <c r="F1071" s="38" t="s">
        <v>285</v>
      </c>
      <c r="G1071" s="38" t="s">
        <v>138</v>
      </c>
      <c r="H1071" s="9" t="s">
        <v>231</v>
      </c>
      <c r="I1071" s="38" t="s">
        <v>65</v>
      </c>
      <c r="J1071" s="38">
        <v>0</v>
      </c>
      <c r="K1071">
        <v>0</v>
      </c>
      <c r="L1071">
        <v>0</v>
      </c>
      <c r="M1071">
        <v>0</v>
      </c>
      <c r="N1071" s="38">
        <v>12.16</v>
      </c>
      <c r="O1071" s="38"/>
      <c r="P1071" s="38" t="s">
        <v>148</v>
      </c>
      <c r="Q1071" s="38"/>
    </row>
    <row r="1072" spans="1:17" x14ac:dyDescent="0.25">
      <c r="A1072" s="39">
        <v>45419</v>
      </c>
      <c r="B1072" s="38" t="s">
        <v>74</v>
      </c>
      <c r="C1072" s="38" t="s">
        <v>7</v>
      </c>
      <c r="D1072" s="38" t="s">
        <v>292</v>
      </c>
      <c r="E1072" s="38" t="s">
        <v>60</v>
      </c>
      <c r="F1072" s="38" t="s">
        <v>346</v>
      </c>
      <c r="G1072" s="38" t="s">
        <v>138</v>
      </c>
      <c r="H1072" s="9" t="s">
        <v>232</v>
      </c>
      <c r="I1072" s="38" t="s">
        <v>58</v>
      </c>
      <c r="J1072" s="38">
        <v>0</v>
      </c>
      <c r="K1072">
        <v>0</v>
      </c>
      <c r="L1072">
        <v>0</v>
      </c>
      <c r="M1072">
        <v>0</v>
      </c>
      <c r="N1072" s="38">
        <v>15.61</v>
      </c>
      <c r="O1072" s="38"/>
      <c r="P1072" s="38" t="s">
        <v>293</v>
      </c>
      <c r="Q1072" s="38"/>
    </row>
    <row r="1073" spans="1:17" x14ac:dyDescent="0.25">
      <c r="A1073" s="39">
        <v>45419</v>
      </c>
      <c r="B1073" s="38" t="s">
        <v>26</v>
      </c>
      <c r="C1073" s="38" t="s">
        <v>7</v>
      </c>
      <c r="D1073" s="38" t="s">
        <v>294</v>
      </c>
      <c r="E1073" s="38" t="s">
        <v>56</v>
      </c>
      <c r="F1073" s="38" t="s">
        <v>184</v>
      </c>
      <c r="G1073" s="38" t="s">
        <v>138</v>
      </c>
      <c r="H1073" s="9" t="s">
        <v>233</v>
      </c>
      <c r="I1073" s="38" t="s">
        <v>65</v>
      </c>
      <c r="J1073" s="38">
        <v>0</v>
      </c>
      <c r="K1073">
        <v>0</v>
      </c>
      <c r="L1073">
        <v>0</v>
      </c>
      <c r="M1073">
        <v>0</v>
      </c>
      <c r="N1073" s="38">
        <v>13.29</v>
      </c>
      <c r="O1073" s="38"/>
      <c r="P1073" s="38" t="s">
        <v>155</v>
      </c>
      <c r="Q1073" s="38"/>
    </row>
    <row r="1074" spans="1:17" x14ac:dyDescent="0.25">
      <c r="A1074" s="39">
        <v>45419</v>
      </c>
      <c r="B1074" s="38" t="s">
        <v>27</v>
      </c>
      <c r="C1074" s="38" t="s">
        <v>7</v>
      </c>
      <c r="D1074" s="38" t="s">
        <v>384</v>
      </c>
      <c r="E1074" s="38" t="s">
        <v>366</v>
      </c>
      <c r="F1074" s="38" t="s">
        <v>346</v>
      </c>
      <c r="G1074" s="38" t="s">
        <v>138</v>
      </c>
      <c r="H1074" s="9" t="s">
        <v>234</v>
      </c>
      <c r="I1074" s="38" t="s">
        <v>58</v>
      </c>
      <c r="J1074" s="38">
        <v>0</v>
      </c>
      <c r="K1074">
        <v>0</v>
      </c>
      <c r="L1074">
        <v>0</v>
      </c>
      <c r="M1074">
        <v>0</v>
      </c>
      <c r="N1074" s="38">
        <v>13.89</v>
      </c>
      <c r="O1074" s="38"/>
      <c r="P1074" s="38" t="s">
        <v>269</v>
      </c>
      <c r="Q1074" s="38"/>
    </row>
    <row r="1075" spans="1:17" x14ac:dyDescent="0.25">
      <c r="A1075" s="39">
        <v>45419</v>
      </c>
      <c r="B1075" s="38" t="s">
        <v>28</v>
      </c>
      <c r="C1075" s="38" t="s">
        <v>7</v>
      </c>
      <c r="D1075" s="38" t="s">
        <v>411</v>
      </c>
      <c r="E1075" s="38" t="s">
        <v>56</v>
      </c>
      <c r="F1075" s="38" t="s">
        <v>338</v>
      </c>
      <c r="G1075" s="38" t="s">
        <v>138</v>
      </c>
      <c r="H1075" s="9" t="s">
        <v>235</v>
      </c>
      <c r="I1075" s="38" t="s">
        <v>65</v>
      </c>
      <c r="J1075" s="38">
        <v>0</v>
      </c>
      <c r="K1075">
        <v>0</v>
      </c>
      <c r="L1075">
        <v>0</v>
      </c>
      <c r="M1075">
        <v>0</v>
      </c>
      <c r="N1075" s="38">
        <v>13.9</v>
      </c>
      <c r="O1075" s="38"/>
      <c r="P1075" s="38" t="s">
        <v>155</v>
      </c>
      <c r="Q1075" s="38"/>
    </row>
    <row r="1076" spans="1:17" x14ac:dyDescent="0.25">
      <c r="A1076" s="39">
        <v>45419</v>
      </c>
      <c r="B1076" s="38" t="s">
        <v>72</v>
      </c>
      <c r="C1076" s="38" t="s">
        <v>7</v>
      </c>
      <c r="D1076" s="38" t="s">
        <v>322</v>
      </c>
      <c r="E1076" s="38" t="s">
        <v>202</v>
      </c>
      <c r="F1076" s="38" t="s">
        <v>346</v>
      </c>
      <c r="G1076" s="38" t="s">
        <v>138</v>
      </c>
      <c r="H1076" s="9" t="s">
        <v>422</v>
      </c>
      <c r="I1076" s="38" t="s">
        <v>58</v>
      </c>
      <c r="J1076" s="38">
        <v>0</v>
      </c>
      <c r="K1076">
        <v>0</v>
      </c>
      <c r="L1076">
        <v>0</v>
      </c>
      <c r="M1076">
        <v>0</v>
      </c>
      <c r="N1076" s="38">
        <v>15.45</v>
      </c>
      <c r="O1076" s="38"/>
      <c r="P1076" s="38" t="s">
        <v>157</v>
      </c>
      <c r="Q1076" s="38"/>
    </row>
    <row r="1077" spans="1:17" x14ac:dyDescent="0.25">
      <c r="A1077" s="39">
        <v>45419</v>
      </c>
      <c r="B1077" s="38" t="s">
        <v>29</v>
      </c>
      <c r="C1077" s="38" t="s">
        <v>7</v>
      </c>
      <c r="D1077" s="38" t="s">
        <v>315</v>
      </c>
      <c r="E1077" s="38" t="s">
        <v>56</v>
      </c>
      <c r="F1077" s="38" t="s">
        <v>338</v>
      </c>
      <c r="G1077" s="38" t="s">
        <v>138</v>
      </c>
      <c r="H1077" s="9" t="s">
        <v>236</v>
      </c>
      <c r="I1077" s="38" t="s">
        <v>65</v>
      </c>
      <c r="J1077" s="38">
        <v>0</v>
      </c>
      <c r="K1077">
        <v>0</v>
      </c>
      <c r="L1077">
        <v>0</v>
      </c>
      <c r="M1077">
        <v>0</v>
      </c>
      <c r="N1077" s="38">
        <v>13.98</v>
      </c>
      <c r="O1077" s="38"/>
      <c r="P1077" s="38" t="s">
        <v>156</v>
      </c>
      <c r="Q1077" s="38"/>
    </row>
    <row r="1078" spans="1:17" x14ac:dyDescent="0.25">
      <c r="A1078" s="39">
        <v>45419</v>
      </c>
      <c r="B1078" s="38" t="s">
        <v>30</v>
      </c>
      <c r="C1078" s="38" t="s">
        <v>7</v>
      </c>
      <c r="D1078" s="38" t="s">
        <v>305</v>
      </c>
      <c r="E1078" s="38" t="s">
        <v>81</v>
      </c>
      <c r="F1078" s="38" t="s">
        <v>90</v>
      </c>
      <c r="G1078" s="38" t="s">
        <v>138</v>
      </c>
      <c r="H1078" s="9" t="s">
        <v>71</v>
      </c>
      <c r="I1078" s="38" t="s">
        <v>58</v>
      </c>
      <c r="J1078" s="38">
        <v>0</v>
      </c>
      <c r="K1078">
        <v>0</v>
      </c>
      <c r="L1078">
        <v>0</v>
      </c>
      <c r="M1078">
        <v>0</v>
      </c>
      <c r="N1078" s="38">
        <v>10.84</v>
      </c>
      <c r="O1078" s="38"/>
      <c r="P1078" s="38" t="s">
        <v>150</v>
      </c>
      <c r="Q1078" s="38"/>
    </row>
    <row r="1079" spans="1:17" x14ac:dyDescent="0.25">
      <c r="A1079" s="39">
        <v>45419</v>
      </c>
      <c r="B1079" s="38" t="s">
        <v>31</v>
      </c>
      <c r="C1079" s="38" t="s">
        <v>7</v>
      </c>
      <c r="D1079" s="38"/>
      <c r="E1079" s="38" t="s">
        <v>56</v>
      </c>
      <c r="F1079" s="38"/>
      <c r="G1079" s="38" t="s">
        <v>138</v>
      </c>
      <c r="H1079" s="9" t="s">
        <v>70</v>
      </c>
      <c r="I1079" s="38" t="s">
        <v>65</v>
      </c>
      <c r="J1079" s="38">
        <v>0</v>
      </c>
      <c r="K1079">
        <v>0</v>
      </c>
      <c r="L1079">
        <v>0</v>
      </c>
      <c r="M1079">
        <v>0</v>
      </c>
      <c r="N1079" s="38">
        <v>13.5</v>
      </c>
      <c r="O1079" s="38"/>
      <c r="P1079" s="38" t="s">
        <v>156</v>
      </c>
      <c r="Q1079" s="38"/>
    </row>
    <row r="1080" spans="1:17" x14ac:dyDescent="0.25">
      <c r="A1080" s="39">
        <v>45419</v>
      </c>
      <c r="B1080" s="38" t="s">
        <v>32</v>
      </c>
      <c r="C1080" s="38" t="s">
        <v>7</v>
      </c>
      <c r="D1080" s="38" t="s">
        <v>413</v>
      </c>
      <c r="E1080" s="38" t="s">
        <v>202</v>
      </c>
      <c r="F1080" s="38" t="s">
        <v>346</v>
      </c>
      <c r="G1080" s="38" t="s">
        <v>138</v>
      </c>
      <c r="H1080" s="9" t="s">
        <v>69</v>
      </c>
      <c r="I1080" s="38" t="s">
        <v>58</v>
      </c>
      <c r="J1080" s="38">
        <v>0</v>
      </c>
      <c r="K1080">
        <v>0</v>
      </c>
      <c r="L1080">
        <v>0</v>
      </c>
      <c r="M1080">
        <v>0</v>
      </c>
      <c r="N1080" s="38">
        <v>14.39</v>
      </c>
      <c r="O1080" s="38"/>
      <c r="P1080" s="38" t="s">
        <v>414</v>
      </c>
      <c r="Q1080" s="38"/>
    </row>
    <row r="1081" spans="1:17" x14ac:dyDescent="0.25">
      <c r="A1081" s="39">
        <v>45419</v>
      </c>
      <c r="B1081" s="38" t="s">
        <v>67</v>
      </c>
      <c r="C1081" s="38" t="s">
        <v>7</v>
      </c>
      <c r="D1081" s="38" t="s">
        <v>354</v>
      </c>
      <c r="E1081" s="38" t="s">
        <v>56</v>
      </c>
      <c r="F1081" s="38" t="s">
        <v>367</v>
      </c>
      <c r="G1081" s="38" t="s">
        <v>138</v>
      </c>
      <c r="H1081" s="9" t="s">
        <v>68</v>
      </c>
      <c r="I1081" s="38" t="s">
        <v>65</v>
      </c>
      <c r="J1081" s="38">
        <v>0</v>
      </c>
      <c r="K1081">
        <v>0</v>
      </c>
      <c r="L1081">
        <v>0</v>
      </c>
      <c r="M1081">
        <v>0</v>
      </c>
      <c r="N1081" s="38">
        <v>13.8</v>
      </c>
      <c r="O1081" s="38"/>
      <c r="P1081" s="38" t="s">
        <v>156</v>
      </c>
      <c r="Q1081" s="38"/>
    </row>
    <row r="1082" spans="1:17" x14ac:dyDescent="0.25">
      <c r="A1082" s="39">
        <v>45419</v>
      </c>
      <c r="B1082" s="38" t="s">
        <v>33</v>
      </c>
      <c r="C1082" s="38" t="s">
        <v>7</v>
      </c>
      <c r="D1082" s="38" t="s">
        <v>277</v>
      </c>
      <c r="E1082" s="38" t="s">
        <v>73</v>
      </c>
      <c r="F1082" s="38" t="s">
        <v>346</v>
      </c>
      <c r="G1082" s="38" t="s">
        <v>138</v>
      </c>
      <c r="H1082" s="9" t="s">
        <v>66</v>
      </c>
      <c r="I1082" s="38" t="s">
        <v>58</v>
      </c>
      <c r="J1082" s="38">
        <v>0</v>
      </c>
      <c r="K1082">
        <v>0</v>
      </c>
      <c r="L1082">
        <v>0</v>
      </c>
      <c r="M1082">
        <v>0</v>
      </c>
      <c r="N1082" s="38">
        <v>14.19</v>
      </c>
      <c r="O1082" s="38"/>
      <c r="P1082" s="38" t="s">
        <v>201</v>
      </c>
      <c r="Q1082" s="38"/>
    </row>
    <row r="1083" spans="1:17" x14ac:dyDescent="0.25">
      <c r="A1083" s="39">
        <v>45419</v>
      </c>
      <c r="B1083" s="38" t="s">
        <v>34</v>
      </c>
      <c r="C1083" s="38" t="s">
        <v>7</v>
      </c>
      <c r="D1083" s="38" t="s">
        <v>415</v>
      </c>
      <c r="E1083" s="38" t="s">
        <v>56</v>
      </c>
      <c r="F1083" s="38" t="s">
        <v>346</v>
      </c>
      <c r="G1083" s="38" t="s">
        <v>138</v>
      </c>
      <c r="H1083" s="9" t="s">
        <v>64</v>
      </c>
      <c r="I1083" s="38" t="s">
        <v>65</v>
      </c>
      <c r="J1083" s="38">
        <v>0</v>
      </c>
      <c r="K1083">
        <v>0</v>
      </c>
      <c r="L1083">
        <v>0</v>
      </c>
      <c r="M1083">
        <v>0</v>
      </c>
      <c r="N1083" s="38">
        <v>15.6</v>
      </c>
      <c r="O1083" s="38"/>
      <c r="P1083" s="38" t="s">
        <v>416</v>
      </c>
      <c r="Q1083" s="38"/>
    </row>
    <row r="1084" spans="1:17" x14ac:dyDescent="0.25">
      <c r="A1084" s="39">
        <v>45419</v>
      </c>
      <c r="B1084" s="38" t="s">
        <v>35</v>
      </c>
      <c r="C1084" s="38" t="s">
        <v>7</v>
      </c>
      <c r="D1084" s="38" t="s">
        <v>331</v>
      </c>
      <c r="E1084" s="38" t="s">
        <v>60</v>
      </c>
      <c r="F1084" s="38" t="s">
        <v>346</v>
      </c>
      <c r="G1084" s="38" t="s">
        <v>138</v>
      </c>
      <c r="H1084" s="9" t="s">
        <v>237</v>
      </c>
      <c r="I1084" s="38" t="s">
        <v>58</v>
      </c>
      <c r="J1084" s="38">
        <v>0</v>
      </c>
      <c r="K1084">
        <v>0</v>
      </c>
      <c r="L1084">
        <v>0</v>
      </c>
      <c r="M1084">
        <v>0</v>
      </c>
      <c r="N1084" s="38">
        <v>14.64</v>
      </c>
      <c r="O1084" s="38"/>
      <c r="P1084" s="38" t="s">
        <v>158</v>
      </c>
      <c r="Q1084" s="38"/>
    </row>
    <row r="1085" spans="1:17" x14ac:dyDescent="0.25">
      <c r="A1085" s="39">
        <v>45419</v>
      </c>
      <c r="B1085" s="38" t="s">
        <v>418</v>
      </c>
      <c r="C1085" s="38" t="s">
        <v>7</v>
      </c>
      <c r="D1085" s="38"/>
      <c r="E1085" s="38"/>
      <c r="F1085" s="38"/>
      <c r="G1085" s="38" t="s">
        <v>138</v>
      </c>
      <c r="H1085" s="9" t="s">
        <v>240</v>
      </c>
      <c r="I1085" s="38" t="s">
        <v>262</v>
      </c>
      <c r="J1085" s="38">
        <v>0</v>
      </c>
      <c r="K1085">
        <v>0</v>
      </c>
      <c r="L1085">
        <v>0</v>
      </c>
      <c r="M1085">
        <v>0</v>
      </c>
      <c r="N1085" s="38">
        <v>17.670000000000002</v>
      </c>
      <c r="O1085" s="38"/>
      <c r="P1085" s="38"/>
      <c r="Q1085" s="38"/>
    </row>
    <row r="1086" spans="1:17" x14ac:dyDescent="0.25">
      <c r="A1086" s="39">
        <v>45419</v>
      </c>
      <c r="B1086" s="38" t="s">
        <v>419</v>
      </c>
      <c r="C1086" s="38" t="s">
        <v>7</v>
      </c>
      <c r="D1086" s="38"/>
      <c r="E1086" s="38"/>
      <c r="F1086" s="38"/>
      <c r="G1086" s="38" t="s">
        <v>138</v>
      </c>
      <c r="H1086" s="9" t="s">
        <v>240</v>
      </c>
      <c r="I1086" s="38" t="s">
        <v>262</v>
      </c>
      <c r="J1086" s="38">
        <v>0</v>
      </c>
      <c r="K1086">
        <v>0</v>
      </c>
      <c r="L1086">
        <v>0</v>
      </c>
      <c r="M1086">
        <v>0</v>
      </c>
      <c r="N1086" s="38">
        <v>13.49</v>
      </c>
      <c r="O1086" s="38"/>
      <c r="P1086" s="38"/>
      <c r="Q1086" s="38"/>
    </row>
    <row r="1087" spans="1:17" x14ac:dyDescent="0.25">
      <c r="A1087" s="39">
        <v>45419</v>
      </c>
      <c r="B1087" s="38" t="s">
        <v>36</v>
      </c>
      <c r="C1087" s="38" t="s">
        <v>7</v>
      </c>
      <c r="D1087" s="38" t="s">
        <v>295</v>
      </c>
      <c r="E1087" s="38" t="s">
        <v>81</v>
      </c>
      <c r="F1087" s="38" t="s">
        <v>369</v>
      </c>
      <c r="G1087" s="38" t="s">
        <v>138</v>
      </c>
      <c r="H1087" s="9" t="s">
        <v>423</v>
      </c>
      <c r="I1087" s="38" t="s">
        <v>58</v>
      </c>
      <c r="J1087" s="38">
        <v>0</v>
      </c>
      <c r="K1087">
        <v>0</v>
      </c>
      <c r="L1087">
        <v>0</v>
      </c>
      <c r="M1087">
        <v>0</v>
      </c>
      <c r="N1087" s="38">
        <v>38472557</v>
      </c>
      <c r="O1087" s="38"/>
      <c r="P1087" s="38" t="s">
        <v>156</v>
      </c>
      <c r="Q1087" s="38"/>
    </row>
    <row r="1088" spans="1:17" x14ac:dyDescent="0.25">
      <c r="A1088" s="39">
        <v>45419</v>
      </c>
      <c r="B1088" s="38" t="s">
        <v>256</v>
      </c>
      <c r="C1088" s="38" t="s">
        <v>7</v>
      </c>
      <c r="D1088" s="38" t="s">
        <v>392</v>
      </c>
      <c r="E1088" s="38" t="s">
        <v>417</v>
      </c>
      <c r="F1088" s="38" t="s">
        <v>192</v>
      </c>
      <c r="G1088" s="38" t="s">
        <v>138</v>
      </c>
      <c r="H1088" s="9"/>
      <c r="I1088" s="38" t="s">
        <v>262</v>
      </c>
      <c r="J1088" s="38">
        <v>0</v>
      </c>
      <c r="K1088">
        <v>0</v>
      </c>
      <c r="L1088">
        <v>0</v>
      </c>
      <c r="M1088">
        <v>0</v>
      </c>
      <c r="N1088" s="38">
        <v>0</v>
      </c>
      <c r="O1088" s="38"/>
      <c r="P1088" s="38" t="s">
        <v>149</v>
      </c>
      <c r="Q1088" s="38"/>
    </row>
    <row r="1089" spans="1:17" x14ac:dyDescent="0.25">
      <c r="A1089" s="39">
        <v>45419</v>
      </c>
      <c r="B1089" s="38" t="s">
        <v>257</v>
      </c>
      <c r="C1089" s="38" t="s">
        <v>7</v>
      </c>
      <c r="D1089" s="38" t="s">
        <v>392</v>
      </c>
      <c r="E1089" s="38" t="s">
        <v>417</v>
      </c>
      <c r="F1089" s="38" t="s">
        <v>192</v>
      </c>
      <c r="G1089" s="38" t="s">
        <v>138</v>
      </c>
      <c r="H1089" s="9"/>
      <c r="I1089" s="38" t="s">
        <v>58</v>
      </c>
      <c r="J1089" s="38">
        <v>0</v>
      </c>
      <c r="K1089">
        <v>0</v>
      </c>
      <c r="L1089">
        <v>0</v>
      </c>
      <c r="M1089">
        <v>0</v>
      </c>
      <c r="N1089" s="38">
        <v>38.46</v>
      </c>
      <c r="O1089" s="38"/>
      <c r="P1089" s="38" t="s">
        <v>149</v>
      </c>
      <c r="Q1089" s="38"/>
    </row>
    <row r="1090" spans="1:17" x14ac:dyDescent="0.25">
      <c r="A1090" s="39">
        <v>45419</v>
      </c>
      <c r="B1090" s="38" t="s">
        <v>37</v>
      </c>
      <c r="C1090" s="38" t="s">
        <v>7</v>
      </c>
      <c r="D1090" s="38" t="s">
        <v>347</v>
      </c>
      <c r="E1090" s="38" t="s">
        <v>348</v>
      </c>
      <c r="F1090" s="38" t="s">
        <v>346</v>
      </c>
      <c r="G1090" s="38" t="s">
        <v>138</v>
      </c>
      <c r="H1090" s="9" t="s">
        <v>425</v>
      </c>
      <c r="I1090" s="38" t="s">
        <v>58</v>
      </c>
      <c r="J1090" s="38">
        <v>0</v>
      </c>
      <c r="K1090">
        <v>0</v>
      </c>
      <c r="L1090">
        <v>0</v>
      </c>
      <c r="M1090">
        <v>0</v>
      </c>
      <c r="N1090" s="38">
        <v>13.5</v>
      </c>
      <c r="O1090" s="38"/>
      <c r="P1090" s="38" t="s">
        <v>270</v>
      </c>
      <c r="Q1090" s="38"/>
    </row>
    <row r="1091" spans="1:17" x14ac:dyDescent="0.25">
      <c r="A1091" s="39">
        <v>45419</v>
      </c>
      <c r="B1091" s="38" t="s">
        <v>258</v>
      </c>
      <c r="C1091" s="38" t="s">
        <v>7</v>
      </c>
      <c r="D1091" s="38"/>
      <c r="E1091" s="38"/>
      <c r="F1091" s="38"/>
      <c r="G1091" s="38" t="s">
        <v>138</v>
      </c>
      <c r="H1091" s="9" t="s">
        <v>426</v>
      </c>
      <c r="I1091" s="38" t="s">
        <v>262</v>
      </c>
      <c r="J1091" s="38">
        <v>0</v>
      </c>
      <c r="K1091">
        <v>0</v>
      </c>
      <c r="L1091">
        <v>0</v>
      </c>
      <c r="M1091">
        <v>0</v>
      </c>
      <c r="N1091" s="38">
        <v>13.5</v>
      </c>
      <c r="O1091" s="38"/>
      <c r="P1091" s="38" t="s">
        <v>148</v>
      </c>
      <c r="Q1091" s="38"/>
    </row>
    <row r="1092" spans="1:17" x14ac:dyDescent="0.25">
      <c r="A1092" s="39">
        <v>45419</v>
      </c>
      <c r="B1092" s="38" t="s">
        <v>259</v>
      </c>
      <c r="C1092" s="38" t="s">
        <v>7</v>
      </c>
      <c r="D1092" s="38"/>
      <c r="E1092" s="38"/>
      <c r="F1092" s="38"/>
      <c r="G1092" s="38" t="s">
        <v>138</v>
      </c>
      <c r="H1092" s="9" t="s">
        <v>426</v>
      </c>
      <c r="I1092" s="38" t="s">
        <v>262</v>
      </c>
      <c r="J1092" s="38">
        <v>0</v>
      </c>
      <c r="K1092">
        <v>0</v>
      </c>
      <c r="L1092">
        <v>0</v>
      </c>
      <c r="M1092">
        <v>0</v>
      </c>
      <c r="N1092" s="38">
        <v>41.06</v>
      </c>
      <c r="O1092" s="38"/>
      <c r="P1092" s="38" t="s">
        <v>148</v>
      </c>
      <c r="Q1092" s="38"/>
    </row>
    <row r="1093" spans="1:17" x14ac:dyDescent="0.25">
      <c r="A1093" s="39">
        <v>45419</v>
      </c>
      <c r="B1093" s="38" t="s">
        <v>54</v>
      </c>
      <c r="C1093" s="38" t="s">
        <v>7</v>
      </c>
      <c r="D1093" s="38" t="s">
        <v>55</v>
      </c>
      <c r="E1093" s="38" t="s">
        <v>56</v>
      </c>
      <c r="F1093" s="38" t="s">
        <v>57</v>
      </c>
      <c r="G1093" s="38" t="s">
        <v>138</v>
      </c>
      <c r="H1093" s="9" t="s">
        <v>427</v>
      </c>
      <c r="I1093" s="38" t="s">
        <v>58</v>
      </c>
      <c r="J1093" s="38">
        <v>0</v>
      </c>
      <c r="K1093">
        <v>0</v>
      </c>
      <c r="L1093">
        <v>0</v>
      </c>
      <c r="M1093">
        <v>0</v>
      </c>
      <c r="N1093" s="38">
        <v>41.06</v>
      </c>
      <c r="O1093" s="38"/>
      <c r="P1093" s="38" t="s">
        <v>159</v>
      </c>
      <c r="Q1093" s="38"/>
    </row>
    <row r="1094" spans="1:17" x14ac:dyDescent="0.25">
      <c r="A1094" s="39">
        <v>45419</v>
      </c>
      <c r="B1094" s="38" t="s">
        <v>136</v>
      </c>
      <c r="C1094" s="38" t="s">
        <v>8</v>
      </c>
      <c r="D1094" s="38" t="s">
        <v>174</v>
      </c>
      <c r="E1094" s="38" t="s">
        <v>81</v>
      </c>
      <c r="F1094" s="38" t="s">
        <v>90</v>
      </c>
      <c r="G1094" s="38" t="s">
        <v>138</v>
      </c>
      <c r="H1094" s="9" t="s">
        <v>160</v>
      </c>
      <c r="I1094" s="38" t="s">
        <v>58</v>
      </c>
      <c r="J1094" s="38">
        <v>0</v>
      </c>
      <c r="K1094">
        <v>0</v>
      </c>
      <c r="L1094">
        <v>0</v>
      </c>
      <c r="M1094">
        <v>0</v>
      </c>
      <c r="N1094" s="38">
        <v>42144554</v>
      </c>
      <c r="O1094" s="38"/>
      <c r="P1094" s="38" t="s">
        <v>153</v>
      </c>
      <c r="Q1094" s="38"/>
    </row>
    <row r="1095" spans="1:17" x14ac:dyDescent="0.25">
      <c r="A1095" s="39">
        <v>45419</v>
      </c>
      <c r="B1095" t="s">
        <v>135</v>
      </c>
      <c r="C1095" s="38" t="s">
        <v>8</v>
      </c>
      <c r="D1095" t="s">
        <v>332</v>
      </c>
      <c r="E1095" t="s">
        <v>81</v>
      </c>
      <c r="F1095" t="s">
        <v>90</v>
      </c>
      <c r="G1095" t="s">
        <v>138</v>
      </c>
      <c r="H1095" s="9" t="s">
        <v>161</v>
      </c>
      <c r="I1095" t="s">
        <v>58</v>
      </c>
      <c r="J1095">
        <v>0</v>
      </c>
      <c r="K1095">
        <v>0</v>
      </c>
      <c r="L1095">
        <v>0</v>
      </c>
      <c r="M1095">
        <v>0</v>
      </c>
      <c r="N1095">
        <v>24.09</v>
      </c>
      <c r="P1095" t="s">
        <v>148</v>
      </c>
      <c r="Q1095" s="38"/>
    </row>
    <row r="1096" spans="1:17" x14ac:dyDescent="0.25">
      <c r="A1096" s="39">
        <v>45419</v>
      </c>
      <c r="B1096" t="s">
        <v>134</v>
      </c>
      <c r="C1096" s="38" t="s">
        <v>8</v>
      </c>
      <c r="D1096" t="s">
        <v>175</v>
      </c>
      <c r="E1096" t="s">
        <v>81</v>
      </c>
      <c r="F1096" t="s">
        <v>90</v>
      </c>
      <c r="G1096" t="s">
        <v>138</v>
      </c>
      <c r="H1096" s="9" t="s">
        <v>206</v>
      </c>
      <c r="I1096" t="s">
        <v>58</v>
      </c>
      <c r="J1096">
        <v>0</v>
      </c>
      <c r="K1096">
        <v>0</v>
      </c>
      <c r="L1096">
        <v>0</v>
      </c>
      <c r="M1096">
        <v>0</v>
      </c>
      <c r="N1096">
        <v>0</v>
      </c>
      <c r="P1096" t="s">
        <v>148</v>
      </c>
      <c r="Q1096" s="38"/>
    </row>
    <row r="1097" spans="1:17" x14ac:dyDescent="0.25">
      <c r="A1097" s="39">
        <v>45419</v>
      </c>
      <c r="B1097" t="s">
        <v>132</v>
      </c>
      <c r="C1097" s="38" t="s">
        <v>8</v>
      </c>
      <c r="D1097" t="s">
        <v>133</v>
      </c>
      <c r="E1097" t="s">
        <v>126</v>
      </c>
      <c r="F1097" t="s">
        <v>199</v>
      </c>
      <c r="G1097" t="s">
        <v>138</v>
      </c>
      <c r="H1097" s="9" t="s">
        <v>162</v>
      </c>
      <c r="I1097" t="s">
        <v>58</v>
      </c>
      <c r="J1097">
        <v>0</v>
      </c>
      <c r="K1097">
        <v>0</v>
      </c>
      <c r="L1097">
        <v>0</v>
      </c>
      <c r="M1097">
        <v>0</v>
      </c>
      <c r="N1097">
        <v>38.369999999999997</v>
      </c>
      <c r="P1097" t="s">
        <v>149</v>
      </c>
      <c r="Q1097" s="38"/>
    </row>
    <row r="1098" spans="1:17" x14ac:dyDescent="0.25">
      <c r="A1098" s="39">
        <v>45419</v>
      </c>
      <c r="B1098" t="s">
        <v>131</v>
      </c>
      <c r="C1098" s="38" t="s">
        <v>8</v>
      </c>
      <c r="D1098" t="s">
        <v>396</v>
      </c>
      <c r="E1098" t="s">
        <v>60</v>
      </c>
      <c r="F1098" t="s">
        <v>90</v>
      </c>
      <c r="G1098" t="s">
        <v>138</v>
      </c>
      <c r="H1098" s="9" t="s">
        <v>163</v>
      </c>
      <c r="I1098" t="s">
        <v>58</v>
      </c>
      <c r="J1098">
        <v>0</v>
      </c>
      <c r="K1098">
        <v>0</v>
      </c>
      <c r="L1098">
        <v>0</v>
      </c>
      <c r="M1098">
        <v>0</v>
      </c>
      <c r="N1098">
        <v>23.93</v>
      </c>
      <c r="P1098" t="s">
        <v>154</v>
      </c>
      <c r="Q1098" s="38"/>
    </row>
    <row r="1099" spans="1:17" x14ac:dyDescent="0.25">
      <c r="A1099" s="39">
        <v>45419</v>
      </c>
      <c r="B1099" t="s">
        <v>130</v>
      </c>
      <c r="C1099" s="38" t="s">
        <v>8</v>
      </c>
      <c r="D1099" t="s">
        <v>191</v>
      </c>
      <c r="E1099" t="s">
        <v>81</v>
      </c>
      <c r="F1099" t="s">
        <v>285</v>
      </c>
      <c r="G1099" t="s">
        <v>138</v>
      </c>
      <c r="H1099" s="9" t="s">
        <v>420</v>
      </c>
      <c r="I1099" t="s">
        <v>58</v>
      </c>
      <c r="J1099">
        <v>0</v>
      </c>
      <c r="K1099">
        <v>0</v>
      </c>
      <c r="L1099">
        <v>0</v>
      </c>
      <c r="M1099">
        <v>0</v>
      </c>
      <c r="N1099">
        <v>14.99</v>
      </c>
      <c r="P1099" t="s">
        <v>148</v>
      </c>
      <c r="Q1099" s="38"/>
    </row>
    <row r="1100" spans="1:17" x14ac:dyDescent="0.25">
      <c r="A1100" s="39">
        <v>45419</v>
      </c>
      <c r="B1100" t="s">
        <v>128</v>
      </c>
      <c r="C1100" s="38" t="s">
        <v>8</v>
      </c>
      <c r="D1100" t="s">
        <v>129</v>
      </c>
      <c r="E1100" t="s">
        <v>126</v>
      </c>
      <c r="F1100" t="s">
        <v>199</v>
      </c>
      <c r="G1100" t="s">
        <v>138</v>
      </c>
      <c r="H1100" s="9" t="s">
        <v>164</v>
      </c>
      <c r="I1100" t="s">
        <v>58</v>
      </c>
      <c r="J1100">
        <v>0</v>
      </c>
      <c r="K1100">
        <v>0</v>
      </c>
      <c r="L1100">
        <v>0</v>
      </c>
      <c r="M1100">
        <v>0</v>
      </c>
      <c r="N1100">
        <v>41.06</v>
      </c>
      <c r="P1100" t="s">
        <v>149</v>
      </c>
      <c r="Q1100" s="38"/>
    </row>
    <row r="1101" spans="1:17" x14ac:dyDescent="0.25">
      <c r="A1101" s="39">
        <v>45419</v>
      </c>
      <c r="B1101" t="s">
        <v>40</v>
      </c>
      <c r="C1101" s="38" t="s">
        <v>8</v>
      </c>
      <c r="D1101" t="s">
        <v>397</v>
      </c>
      <c r="E1101" t="s">
        <v>60</v>
      </c>
      <c r="F1101" t="s">
        <v>200</v>
      </c>
      <c r="G1101" t="s">
        <v>138</v>
      </c>
      <c r="H1101" s="9" t="s">
        <v>165</v>
      </c>
      <c r="I1101" t="s">
        <v>58</v>
      </c>
      <c r="J1101">
        <v>0</v>
      </c>
      <c r="K1101">
        <v>0</v>
      </c>
      <c r="L1101">
        <v>0</v>
      </c>
      <c r="M1101">
        <v>0</v>
      </c>
      <c r="N1101">
        <v>14.92</v>
      </c>
      <c r="P1101" t="s">
        <v>153</v>
      </c>
      <c r="Q1101" s="38"/>
    </row>
    <row r="1102" spans="1:17" x14ac:dyDescent="0.25">
      <c r="A1102" s="39">
        <v>45419</v>
      </c>
      <c r="B1102" t="s">
        <v>127</v>
      </c>
      <c r="C1102" s="38" t="s">
        <v>8</v>
      </c>
      <c r="D1102" t="s">
        <v>203</v>
      </c>
      <c r="E1102" t="s">
        <v>81</v>
      </c>
      <c r="F1102" t="s">
        <v>285</v>
      </c>
      <c r="G1102" t="s">
        <v>138</v>
      </c>
      <c r="H1102" s="9" t="s">
        <v>207</v>
      </c>
      <c r="I1102" t="s">
        <v>58</v>
      </c>
      <c r="J1102">
        <v>0</v>
      </c>
      <c r="K1102">
        <v>0</v>
      </c>
      <c r="L1102">
        <v>0</v>
      </c>
      <c r="M1102">
        <v>0</v>
      </c>
      <c r="N1102">
        <v>20.85</v>
      </c>
      <c r="P1102" t="s">
        <v>151</v>
      </c>
      <c r="Q1102" s="38"/>
    </row>
    <row r="1103" spans="1:17" x14ac:dyDescent="0.25">
      <c r="A1103" s="39">
        <v>45419</v>
      </c>
      <c r="B1103" t="s">
        <v>124</v>
      </c>
      <c r="C1103" s="38" t="s">
        <v>8</v>
      </c>
      <c r="D1103" t="s">
        <v>340</v>
      </c>
      <c r="E1103" t="s">
        <v>126</v>
      </c>
      <c r="F1103" t="s">
        <v>199</v>
      </c>
      <c r="G1103" t="s">
        <v>138</v>
      </c>
      <c r="H1103" s="9" t="s">
        <v>166</v>
      </c>
      <c r="I1103" t="s">
        <v>58</v>
      </c>
      <c r="J1103">
        <v>0</v>
      </c>
      <c r="K1103">
        <v>0</v>
      </c>
      <c r="L1103">
        <v>0</v>
      </c>
      <c r="M1103">
        <v>0</v>
      </c>
      <c r="N1103">
        <v>39863813</v>
      </c>
      <c r="P1103" t="s">
        <v>149</v>
      </c>
      <c r="Q1103" s="38"/>
    </row>
    <row r="1104" spans="1:17" x14ac:dyDescent="0.25">
      <c r="A1104" s="39">
        <v>45419</v>
      </c>
      <c r="B1104" t="s">
        <v>122</v>
      </c>
      <c r="C1104" s="38" t="s">
        <v>8</v>
      </c>
      <c r="D1104" t="s">
        <v>356</v>
      </c>
      <c r="E1104" t="s">
        <v>81</v>
      </c>
      <c r="F1104" t="s">
        <v>90</v>
      </c>
      <c r="G1104" t="s">
        <v>138</v>
      </c>
      <c r="H1104" s="9" t="s">
        <v>167</v>
      </c>
      <c r="I1104" t="s">
        <v>58</v>
      </c>
      <c r="J1104">
        <v>0</v>
      </c>
      <c r="K1104">
        <v>0</v>
      </c>
      <c r="L1104">
        <v>0</v>
      </c>
      <c r="M1104">
        <v>0</v>
      </c>
      <c r="N1104">
        <v>20.9</v>
      </c>
      <c r="P1104" t="s">
        <v>148</v>
      </c>
      <c r="Q1104" s="38"/>
    </row>
    <row r="1105" spans="1:17" x14ac:dyDescent="0.25">
      <c r="A1105" s="39">
        <v>45419</v>
      </c>
      <c r="B1105" t="s">
        <v>120</v>
      </c>
      <c r="C1105" s="38" t="s">
        <v>8</v>
      </c>
      <c r="D1105" t="s">
        <v>333</v>
      </c>
      <c r="E1105" t="s">
        <v>375</v>
      </c>
      <c r="F1105" t="s">
        <v>285</v>
      </c>
      <c r="G1105" t="s">
        <v>138</v>
      </c>
      <c r="H1105" s="9" t="s">
        <v>121</v>
      </c>
      <c r="I1105" t="s">
        <v>58</v>
      </c>
      <c r="J1105">
        <v>0</v>
      </c>
      <c r="K1105">
        <v>0</v>
      </c>
      <c r="L1105">
        <v>0</v>
      </c>
      <c r="M1105">
        <v>0</v>
      </c>
      <c r="N1105">
        <v>41.69</v>
      </c>
      <c r="P1105" t="s">
        <v>151</v>
      </c>
      <c r="Q1105" s="38"/>
    </row>
    <row r="1106" spans="1:17" x14ac:dyDescent="0.25">
      <c r="A1106" s="39">
        <v>45419</v>
      </c>
      <c r="B1106" t="s">
        <v>119</v>
      </c>
      <c r="C1106" s="38" t="s">
        <v>8</v>
      </c>
      <c r="D1106" t="s">
        <v>178</v>
      </c>
      <c r="E1106" t="s">
        <v>399</v>
      </c>
      <c r="F1106" t="s">
        <v>192</v>
      </c>
      <c r="G1106" t="s">
        <v>138</v>
      </c>
      <c r="H1106" s="9" t="s">
        <v>168</v>
      </c>
      <c r="I1106" t="s">
        <v>58</v>
      </c>
      <c r="J1106">
        <v>0</v>
      </c>
      <c r="K1106">
        <v>0</v>
      </c>
      <c r="L1106">
        <v>0</v>
      </c>
      <c r="M1106">
        <v>0</v>
      </c>
      <c r="N1106">
        <v>41.62</v>
      </c>
      <c r="P1106" t="s">
        <v>149</v>
      </c>
      <c r="Q1106" s="38"/>
    </row>
    <row r="1107" spans="1:17" x14ac:dyDescent="0.25">
      <c r="A1107" s="39">
        <v>45419</v>
      </c>
      <c r="B1107" t="s">
        <v>117</v>
      </c>
      <c r="C1107" s="38" t="s">
        <v>8</v>
      </c>
      <c r="D1107" t="s">
        <v>349</v>
      </c>
      <c r="E1107" t="s">
        <v>398</v>
      </c>
      <c r="F1107" t="s">
        <v>90</v>
      </c>
      <c r="G1107" t="s">
        <v>138</v>
      </c>
      <c r="H1107" s="9" t="s">
        <v>118</v>
      </c>
      <c r="I1107" t="s">
        <v>58</v>
      </c>
      <c r="J1107">
        <v>0</v>
      </c>
      <c r="K1107">
        <v>0</v>
      </c>
      <c r="L1107">
        <v>0</v>
      </c>
      <c r="M1107">
        <v>0</v>
      </c>
      <c r="N1107">
        <v>34.69</v>
      </c>
      <c r="P1107" t="s">
        <v>151</v>
      </c>
      <c r="Q1107" s="38"/>
    </row>
    <row r="1108" spans="1:17" x14ac:dyDescent="0.25">
      <c r="A1108" s="39">
        <v>45419</v>
      </c>
      <c r="B1108" t="s">
        <v>39</v>
      </c>
      <c r="C1108" s="38" t="s">
        <v>8</v>
      </c>
      <c r="D1108" t="s">
        <v>177</v>
      </c>
      <c r="E1108" t="s">
        <v>377</v>
      </c>
      <c r="F1108" t="s">
        <v>90</v>
      </c>
      <c r="G1108" t="s">
        <v>138</v>
      </c>
      <c r="H1108" s="9" t="s">
        <v>116</v>
      </c>
      <c r="I1108" t="s">
        <v>58</v>
      </c>
      <c r="J1108">
        <v>0</v>
      </c>
      <c r="K1108">
        <v>0</v>
      </c>
      <c r="L1108">
        <v>0</v>
      </c>
      <c r="M1108">
        <v>0</v>
      </c>
      <c r="N1108">
        <v>41.24</v>
      </c>
      <c r="P1108" t="s">
        <v>151</v>
      </c>
      <c r="Q1108" s="38"/>
    </row>
    <row r="1109" spans="1:17" x14ac:dyDescent="0.25">
      <c r="A1109" s="39">
        <v>45419</v>
      </c>
      <c r="B1109" t="s">
        <v>113</v>
      </c>
      <c r="C1109" s="38" t="s">
        <v>8</v>
      </c>
      <c r="D1109" t="s">
        <v>188</v>
      </c>
      <c r="E1109" t="s">
        <v>126</v>
      </c>
      <c r="F1109" t="s">
        <v>199</v>
      </c>
      <c r="G1109" t="s">
        <v>138</v>
      </c>
      <c r="H1109" s="9" t="s">
        <v>114</v>
      </c>
      <c r="I1109" t="s">
        <v>58</v>
      </c>
      <c r="J1109">
        <v>0</v>
      </c>
      <c r="K1109">
        <v>0</v>
      </c>
      <c r="L1109">
        <v>0</v>
      </c>
      <c r="M1109">
        <v>0</v>
      </c>
      <c r="N1109">
        <v>41.35</v>
      </c>
      <c r="P1109" t="s">
        <v>149</v>
      </c>
      <c r="Q1109" s="38"/>
    </row>
    <row r="1110" spans="1:17" x14ac:dyDescent="0.25">
      <c r="A1110" s="39">
        <v>45419</v>
      </c>
      <c r="B1110" t="s">
        <v>111</v>
      </c>
      <c r="C1110" s="38" t="s">
        <v>8</v>
      </c>
      <c r="D1110" t="s">
        <v>189</v>
      </c>
      <c r="E1110" t="s">
        <v>81</v>
      </c>
      <c r="F1110" t="s">
        <v>285</v>
      </c>
      <c r="G1110" t="s">
        <v>138</v>
      </c>
      <c r="H1110" s="9" t="s">
        <v>112</v>
      </c>
      <c r="I1110" t="s">
        <v>58</v>
      </c>
      <c r="J1110">
        <v>0</v>
      </c>
      <c r="K1110">
        <v>0</v>
      </c>
      <c r="L1110">
        <v>0</v>
      </c>
      <c r="M1110">
        <v>0</v>
      </c>
      <c r="N1110">
        <v>20.48</v>
      </c>
      <c r="P1110" t="s">
        <v>153</v>
      </c>
      <c r="Q1110" s="38"/>
    </row>
    <row r="1111" spans="1:17" x14ac:dyDescent="0.25">
      <c r="A1111" s="39">
        <v>45419</v>
      </c>
      <c r="B1111" t="s">
        <v>109</v>
      </c>
      <c r="C1111" s="38" t="s">
        <v>8</v>
      </c>
      <c r="D1111" t="s">
        <v>142</v>
      </c>
      <c r="E1111" t="s">
        <v>56</v>
      </c>
      <c r="F1111" t="s">
        <v>199</v>
      </c>
      <c r="G1111" t="s">
        <v>138</v>
      </c>
      <c r="H1111" s="9" t="s">
        <v>110</v>
      </c>
      <c r="I1111" t="s">
        <v>58</v>
      </c>
      <c r="J1111">
        <v>0</v>
      </c>
      <c r="K1111">
        <v>0</v>
      </c>
      <c r="L1111">
        <v>0</v>
      </c>
      <c r="M1111">
        <v>0</v>
      </c>
      <c r="N1111">
        <v>41.05</v>
      </c>
      <c r="P1111" t="s">
        <v>149</v>
      </c>
      <c r="Q1111" s="38"/>
    </row>
    <row r="1112" spans="1:17" x14ac:dyDescent="0.25">
      <c r="A1112" s="39">
        <v>45419</v>
      </c>
      <c r="B1112" t="s">
        <v>107</v>
      </c>
      <c r="C1112" s="38" t="s">
        <v>8</v>
      </c>
      <c r="D1112" t="s">
        <v>401</v>
      </c>
      <c r="E1112" t="s">
        <v>56</v>
      </c>
      <c r="F1112" t="s">
        <v>93</v>
      </c>
      <c r="G1112" t="s">
        <v>138</v>
      </c>
      <c r="H1112" s="9" t="s">
        <v>108</v>
      </c>
      <c r="I1112" t="s">
        <v>58</v>
      </c>
      <c r="J1112">
        <v>0</v>
      </c>
      <c r="K1112">
        <v>0</v>
      </c>
      <c r="L1112">
        <v>0</v>
      </c>
      <c r="M1112">
        <v>0</v>
      </c>
      <c r="N1112">
        <v>12.09</v>
      </c>
      <c r="P1112" t="s">
        <v>403</v>
      </c>
      <c r="Q1112" s="38"/>
    </row>
    <row r="1113" spans="1:17" x14ac:dyDescent="0.25">
      <c r="A1113" s="39">
        <v>45419</v>
      </c>
      <c r="B1113" t="s">
        <v>41</v>
      </c>
      <c r="C1113" s="38" t="s">
        <v>8</v>
      </c>
      <c r="D1113" t="s">
        <v>123</v>
      </c>
      <c r="E1113" t="s">
        <v>81</v>
      </c>
      <c r="F1113" t="s">
        <v>285</v>
      </c>
      <c r="G1113" t="s">
        <v>138</v>
      </c>
      <c r="H1113" s="9" t="s">
        <v>106</v>
      </c>
      <c r="I1113" t="s">
        <v>58</v>
      </c>
      <c r="J1113">
        <v>0</v>
      </c>
      <c r="K1113">
        <v>0</v>
      </c>
      <c r="L1113">
        <v>0</v>
      </c>
      <c r="M1113">
        <v>0</v>
      </c>
      <c r="N1113">
        <v>17.88</v>
      </c>
      <c r="P1113" t="s">
        <v>152</v>
      </c>
      <c r="Q1113" s="38"/>
    </row>
    <row r="1114" spans="1:17" x14ac:dyDescent="0.25">
      <c r="A1114" s="39">
        <v>45419</v>
      </c>
      <c r="B1114" t="s">
        <v>43</v>
      </c>
      <c r="C1114" s="38" t="s">
        <v>8</v>
      </c>
      <c r="D1114" t="s">
        <v>282</v>
      </c>
      <c r="E1114" t="s">
        <v>275</v>
      </c>
      <c r="F1114" t="s">
        <v>276</v>
      </c>
      <c r="G1114" t="s">
        <v>138</v>
      </c>
      <c r="H1114" s="9" t="s">
        <v>208</v>
      </c>
      <c r="I1114" t="s">
        <v>58</v>
      </c>
      <c r="J1114">
        <v>0</v>
      </c>
      <c r="K1114">
        <v>0</v>
      </c>
      <c r="L1114">
        <v>0</v>
      </c>
      <c r="M1114">
        <v>0</v>
      </c>
      <c r="N1114">
        <v>17.25</v>
      </c>
      <c r="P1114" t="s">
        <v>154</v>
      </c>
      <c r="Q1114" s="38"/>
    </row>
    <row r="1115" spans="1:17" x14ac:dyDescent="0.25">
      <c r="A1115" s="39">
        <v>45419</v>
      </c>
      <c r="B1115" t="s">
        <v>5</v>
      </c>
      <c r="C1115" s="38" t="s">
        <v>8</v>
      </c>
      <c r="D1115" t="s">
        <v>283</v>
      </c>
      <c r="E1115" t="s">
        <v>60</v>
      </c>
      <c r="F1115" t="s">
        <v>285</v>
      </c>
      <c r="G1115" t="s">
        <v>138</v>
      </c>
      <c r="H1115" s="9" t="s">
        <v>209</v>
      </c>
      <c r="I1115" t="s">
        <v>58</v>
      </c>
      <c r="J1115">
        <v>0</v>
      </c>
      <c r="K1115">
        <v>0</v>
      </c>
      <c r="L1115">
        <v>0</v>
      </c>
      <c r="M1115">
        <v>0</v>
      </c>
      <c r="N1115">
        <v>16.46</v>
      </c>
      <c r="P1115" t="s">
        <v>153</v>
      </c>
      <c r="Q1115" s="38"/>
    </row>
    <row r="1116" spans="1:17" x14ac:dyDescent="0.25">
      <c r="A1116" s="39">
        <v>45419</v>
      </c>
      <c r="B1116" t="s">
        <v>9</v>
      </c>
      <c r="C1116" s="38" t="s">
        <v>8</v>
      </c>
      <c r="D1116" t="s">
        <v>189</v>
      </c>
      <c r="E1116" t="s">
        <v>360</v>
      </c>
      <c r="F1116" t="s">
        <v>276</v>
      </c>
      <c r="G1116" t="s">
        <v>138</v>
      </c>
      <c r="H1116" s="9" t="s">
        <v>210</v>
      </c>
      <c r="I1116" t="s">
        <v>58</v>
      </c>
      <c r="J1116">
        <v>0</v>
      </c>
      <c r="K1116">
        <v>0</v>
      </c>
      <c r="L1116">
        <v>0</v>
      </c>
      <c r="M1116">
        <v>0</v>
      </c>
      <c r="N1116">
        <v>23.18</v>
      </c>
      <c r="P1116" t="s">
        <v>153</v>
      </c>
      <c r="Q1116" s="38"/>
    </row>
    <row r="1117" spans="1:17" x14ac:dyDescent="0.25">
      <c r="A1117" s="39">
        <v>45419</v>
      </c>
      <c r="B1117" t="s">
        <v>10</v>
      </c>
      <c r="C1117" s="38" t="s">
        <v>8</v>
      </c>
      <c r="D1117" t="s">
        <v>263</v>
      </c>
      <c r="E1117" t="s">
        <v>342</v>
      </c>
      <c r="F1117" t="s">
        <v>90</v>
      </c>
      <c r="G1117" t="s">
        <v>138</v>
      </c>
      <c r="H1117" s="9" t="s">
        <v>211</v>
      </c>
      <c r="I1117" t="s">
        <v>58</v>
      </c>
      <c r="J1117">
        <v>0</v>
      </c>
      <c r="K1117">
        <v>0</v>
      </c>
      <c r="L1117">
        <v>0</v>
      </c>
      <c r="M1117">
        <v>0</v>
      </c>
      <c r="N1117">
        <v>74.34</v>
      </c>
      <c r="P1117" t="s">
        <v>151</v>
      </c>
      <c r="Q1117" s="38"/>
    </row>
    <row r="1118" spans="1:17" x14ac:dyDescent="0.25">
      <c r="A1118" s="39">
        <v>45419</v>
      </c>
      <c r="B1118" t="s">
        <v>11</v>
      </c>
      <c r="C1118" s="38" t="s">
        <v>8</v>
      </c>
      <c r="D1118" t="s">
        <v>205</v>
      </c>
      <c r="E1118" t="s">
        <v>60</v>
      </c>
      <c r="F1118" t="s">
        <v>93</v>
      </c>
      <c r="G1118" t="s">
        <v>138</v>
      </c>
      <c r="H1118" s="9" t="s">
        <v>212</v>
      </c>
      <c r="I1118" t="s">
        <v>58</v>
      </c>
      <c r="J1118">
        <v>0</v>
      </c>
      <c r="K1118">
        <v>0</v>
      </c>
      <c r="L1118">
        <v>0</v>
      </c>
      <c r="M1118">
        <v>0</v>
      </c>
      <c r="N1118">
        <v>11.39</v>
      </c>
      <c r="P1118" t="s">
        <v>147</v>
      </c>
      <c r="Q1118" s="38"/>
    </row>
    <row r="1119" spans="1:17" x14ac:dyDescent="0.25">
      <c r="A1119" s="39">
        <v>45419</v>
      </c>
      <c r="B1119" t="s">
        <v>12</v>
      </c>
      <c r="C1119" s="38" t="s">
        <v>8</v>
      </c>
      <c r="D1119" t="s">
        <v>286</v>
      </c>
      <c r="E1119" t="s">
        <v>60</v>
      </c>
      <c r="F1119" t="s">
        <v>285</v>
      </c>
      <c r="G1119" t="s">
        <v>138</v>
      </c>
      <c r="H1119" s="9" t="s">
        <v>213</v>
      </c>
      <c r="I1119" t="s">
        <v>58</v>
      </c>
      <c r="J1119">
        <v>0</v>
      </c>
      <c r="K1119">
        <v>0</v>
      </c>
      <c r="L1119">
        <v>0</v>
      </c>
      <c r="M1119">
        <v>0</v>
      </c>
      <c r="N1119">
        <v>11.98</v>
      </c>
      <c r="P1119" t="s">
        <v>154</v>
      </c>
      <c r="Q1119" s="38"/>
    </row>
    <row r="1120" spans="1:17" x14ac:dyDescent="0.25">
      <c r="A1120" s="39">
        <v>45419</v>
      </c>
      <c r="B1120" t="s">
        <v>105</v>
      </c>
      <c r="C1120" s="38" t="s">
        <v>8</v>
      </c>
      <c r="D1120" t="s">
        <v>267</v>
      </c>
      <c r="E1120" t="s">
        <v>60</v>
      </c>
      <c r="F1120" t="s">
        <v>93</v>
      </c>
      <c r="G1120" t="s">
        <v>138</v>
      </c>
      <c r="H1120" s="9" t="s">
        <v>214</v>
      </c>
      <c r="I1120" t="s">
        <v>58</v>
      </c>
      <c r="J1120">
        <v>0</v>
      </c>
      <c r="K1120">
        <v>0</v>
      </c>
      <c r="L1120">
        <v>0</v>
      </c>
      <c r="M1120">
        <v>0</v>
      </c>
      <c r="N1120">
        <v>12.39</v>
      </c>
      <c r="P1120" t="s">
        <v>147</v>
      </c>
      <c r="Q1120" s="38"/>
    </row>
    <row r="1121" spans="1:17" x14ac:dyDescent="0.25">
      <c r="A1121" s="39">
        <v>45419</v>
      </c>
      <c r="B1121" t="s">
        <v>104</v>
      </c>
      <c r="C1121" s="38" t="s">
        <v>8</v>
      </c>
      <c r="D1121" t="s">
        <v>143</v>
      </c>
      <c r="E1121" t="s">
        <v>60</v>
      </c>
      <c r="F1121" t="s">
        <v>285</v>
      </c>
      <c r="G1121" t="s">
        <v>138</v>
      </c>
      <c r="H1121" s="9" t="s">
        <v>215</v>
      </c>
      <c r="I1121" t="s">
        <v>58</v>
      </c>
      <c r="J1121">
        <v>0</v>
      </c>
      <c r="K1121">
        <v>0</v>
      </c>
      <c r="L1121">
        <v>0</v>
      </c>
      <c r="M1121">
        <v>0</v>
      </c>
      <c r="N1121">
        <v>13.96</v>
      </c>
      <c r="P1121" t="s">
        <v>154</v>
      </c>
      <c r="Q1121" s="38"/>
    </row>
    <row r="1122" spans="1:17" x14ac:dyDescent="0.25">
      <c r="A1122" s="39">
        <v>45419</v>
      </c>
      <c r="B1122" t="s">
        <v>13</v>
      </c>
      <c r="C1122" s="38" t="s">
        <v>8</v>
      </c>
      <c r="D1122" t="s">
        <v>350</v>
      </c>
      <c r="E1122" t="s">
        <v>60</v>
      </c>
      <c r="F1122" t="s">
        <v>93</v>
      </c>
      <c r="G1122" t="s">
        <v>138</v>
      </c>
      <c r="H1122" s="9" t="s">
        <v>216</v>
      </c>
      <c r="I1122" t="s">
        <v>58</v>
      </c>
      <c r="J1122">
        <v>0</v>
      </c>
      <c r="K1122">
        <v>0</v>
      </c>
      <c r="L1122">
        <v>0</v>
      </c>
      <c r="M1122">
        <v>0</v>
      </c>
      <c r="N1122">
        <v>12.4</v>
      </c>
      <c r="P1122" t="s">
        <v>147</v>
      </c>
      <c r="Q1122" s="38"/>
    </row>
    <row r="1123" spans="1:17" x14ac:dyDescent="0.25">
      <c r="A1123" s="39">
        <v>45419</v>
      </c>
      <c r="B1123" t="s">
        <v>103</v>
      </c>
      <c r="C1123" s="38" t="s">
        <v>8</v>
      </c>
      <c r="D1123" t="s">
        <v>179</v>
      </c>
      <c r="E1123" t="s">
        <v>81</v>
      </c>
      <c r="F1123" t="s">
        <v>90</v>
      </c>
      <c r="G1123" t="s">
        <v>138</v>
      </c>
      <c r="H1123" s="9" t="s">
        <v>217</v>
      </c>
      <c r="I1123" t="s">
        <v>65</v>
      </c>
      <c r="J1123">
        <v>0</v>
      </c>
      <c r="K1123">
        <v>0</v>
      </c>
      <c r="L1123">
        <v>0</v>
      </c>
      <c r="M1123">
        <v>0</v>
      </c>
      <c r="N1123">
        <v>41.9</v>
      </c>
      <c r="P1123" t="s">
        <v>187</v>
      </c>
      <c r="Q1123" s="38"/>
    </row>
    <row r="1124" spans="1:17" x14ac:dyDescent="0.25">
      <c r="A1124" s="39">
        <v>45419</v>
      </c>
      <c r="B1124" t="s">
        <v>101</v>
      </c>
      <c r="C1124" s="38" t="s">
        <v>8</v>
      </c>
      <c r="D1124" t="s">
        <v>405</v>
      </c>
      <c r="E1124" t="s">
        <v>81</v>
      </c>
      <c r="F1124" t="s">
        <v>285</v>
      </c>
      <c r="G1124" t="s">
        <v>138</v>
      </c>
      <c r="H1124" s="9" t="s">
        <v>102</v>
      </c>
      <c r="I1124" t="s">
        <v>58</v>
      </c>
      <c r="J1124">
        <v>0</v>
      </c>
      <c r="K1124">
        <v>0</v>
      </c>
      <c r="L1124">
        <v>0</v>
      </c>
      <c r="M1124">
        <v>0</v>
      </c>
      <c r="N1124">
        <v>19.600000000000001</v>
      </c>
      <c r="P1124" t="s">
        <v>151</v>
      </c>
      <c r="Q1124" s="38"/>
    </row>
    <row r="1125" spans="1:17" x14ac:dyDescent="0.25">
      <c r="A1125" s="39">
        <v>45419</v>
      </c>
      <c r="B1125" t="s">
        <v>99</v>
      </c>
      <c r="C1125" s="38" t="s">
        <v>8</v>
      </c>
      <c r="D1125" t="s">
        <v>249</v>
      </c>
      <c r="E1125" t="s">
        <v>81</v>
      </c>
      <c r="F1125" t="s">
        <v>90</v>
      </c>
      <c r="G1125" t="s">
        <v>138</v>
      </c>
      <c r="H1125" s="9" t="s">
        <v>100</v>
      </c>
      <c r="J1125">
        <v>0</v>
      </c>
      <c r="K1125">
        <v>0</v>
      </c>
      <c r="L1125">
        <v>0</v>
      </c>
      <c r="M1125">
        <v>0</v>
      </c>
      <c r="N1125">
        <v>41.83</v>
      </c>
      <c r="P1125" t="s">
        <v>152</v>
      </c>
      <c r="Q1125" s="38"/>
    </row>
    <row r="1126" spans="1:17" x14ac:dyDescent="0.25">
      <c r="A1126" s="39">
        <v>45419</v>
      </c>
      <c r="B1126" t="s">
        <v>97</v>
      </c>
      <c r="C1126" s="38" t="s">
        <v>8</v>
      </c>
      <c r="D1126" t="s">
        <v>288</v>
      </c>
      <c r="E1126" t="s">
        <v>352</v>
      </c>
      <c r="F1126" t="s">
        <v>285</v>
      </c>
      <c r="G1126" t="s">
        <v>138</v>
      </c>
      <c r="H1126" s="9" t="s">
        <v>98</v>
      </c>
      <c r="I1126" t="s">
        <v>58</v>
      </c>
      <c r="J1126">
        <v>0</v>
      </c>
      <c r="K1126">
        <v>0</v>
      </c>
      <c r="L1126">
        <v>0</v>
      </c>
      <c r="M1126">
        <v>0</v>
      </c>
      <c r="N1126">
        <v>22.49</v>
      </c>
      <c r="P1126" t="s">
        <v>148</v>
      </c>
      <c r="Q1126" s="38"/>
    </row>
    <row r="1127" spans="1:17" x14ac:dyDescent="0.25">
      <c r="A1127" s="39">
        <v>45419</v>
      </c>
      <c r="B1127" t="s">
        <v>95</v>
      </c>
      <c r="C1127" s="38" t="s">
        <v>8</v>
      </c>
      <c r="D1127" t="s">
        <v>181</v>
      </c>
      <c r="E1127" t="s">
        <v>81</v>
      </c>
      <c r="F1127" t="s">
        <v>90</v>
      </c>
      <c r="G1127" t="s">
        <v>138</v>
      </c>
      <c r="H1127" s="9" t="s">
        <v>96</v>
      </c>
      <c r="I1127" t="s">
        <v>65</v>
      </c>
      <c r="J1127">
        <v>0</v>
      </c>
      <c r="K1127">
        <v>0</v>
      </c>
      <c r="L1127">
        <v>0</v>
      </c>
      <c r="M1127">
        <v>0</v>
      </c>
      <c r="N1127">
        <v>20.38</v>
      </c>
      <c r="P1127" t="s">
        <v>152</v>
      </c>
      <c r="Q1127" s="38"/>
    </row>
    <row r="1128" spans="1:17" x14ac:dyDescent="0.25">
      <c r="A1128" s="39">
        <v>45419</v>
      </c>
      <c r="B1128" t="s">
        <v>14</v>
      </c>
      <c r="C1128" s="38" t="s">
        <v>8</v>
      </c>
      <c r="D1128" t="s">
        <v>289</v>
      </c>
      <c r="E1128" t="s">
        <v>352</v>
      </c>
      <c r="F1128" t="s">
        <v>285</v>
      </c>
      <c r="G1128" t="s">
        <v>138</v>
      </c>
      <c r="H1128" s="9" t="s">
        <v>94</v>
      </c>
      <c r="I1128" t="s">
        <v>58</v>
      </c>
      <c r="J1128">
        <v>0</v>
      </c>
      <c r="K1128">
        <v>0</v>
      </c>
      <c r="L1128">
        <v>0</v>
      </c>
      <c r="M1128">
        <v>0</v>
      </c>
      <c r="N1128">
        <v>25.88</v>
      </c>
      <c r="P1128" t="s">
        <v>151</v>
      </c>
      <c r="Q1128" s="38"/>
    </row>
    <row r="1129" spans="1:17" x14ac:dyDescent="0.25">
      <c r="A1129" s="39">
        <v>45419</v>
      </c>
      <c r="B1129" t="s">
        <v>91</v>
      </c>
      <c r="C1129" s="38" t="s">
        <v>8</v>
      </c>
      <c r="D1129" t="s">
        <v>180</v>
      </c>
      <c r="E1129" t="s">
        <v>81</v>
      </c>
      <c r="F1129" t="s">
        <v>90</v>
      </c>
      <c r="G1129" t="s">
        <v>138</v>
      </c>
      <c r="H1129" s="9" t="s">
        <v>92</v>
      </c>
      <c r="J1129">
        <v>0</v>
      </c>
      <c r="K1129">
        <v>0</v>
      </c>
      <c r="L1129">
        <v>0</v>
      </c>
      <c r="M1129">
        <v>0</v>
      </c>
      <c r="N1129">
        <v>16.73</v>
      </c>
      <c r="P1129" t="s">
        <v>148</v>
      </c>
      <c r="Q1129" s="38"/>
    </row>
    <row r="1130" spans="1:17" x14ac:dyDescent="0.25">
      <c r="A1130" s="39">
        <v>45419</v>
      </c>
      <c r="B1130" t="s">
        <v>15</v>
      </c>
      <c r="C1130" s="38" t="s">
        <v>8</v>
      </c>
      <c r="D1130" t="s">
        <v>140</v>
      </c>
      <c r="E1130" t="s">
        <v>81</v>
      </c>
      <c r="F1130" t="s">
        <v>285</v>
      </c>
      <c r="G1130" t="s">
        <v>138</v>
      </c>
      <c r="H1130" s="9" t="s">
        <v>218</v>
      </c>
      <c r="I1130" t="s">
        <v>58</v>
      </c>
      <c r="J1130">
        <v>0</v>
      </c>
      <c r="K1130">
        <v>0</v>
      </c>
      <c r="L1130">
        <v>0</v>
      </c>
      <c r="M1130">
        <v>0</v>
      </c>
      <c r="N1130">
        <v>20.190000000000001</v>
      </c>
      <c r="P1130" t="s">
        <v>148</v>
      </c>
      <c r="Q1130" s="38"/>
    </row>
    <row r="1131" spans="1:17" x14ac:dyDescent="0.25">
      <c r="A1131" s="39">
        <v>45419</v>
      </c>
      <c r="B1131" t="s">
        <v>89</v>
      </c>
      <c r="C1131" s="38" t="s">
        <v>8</v>
      </c>
      <c r="D1131" t="s">
        <v>176</v>
      </c>
      <c r="E1131" t="s">
        <v>398</v>
      </c>
      <c r="F1131" t="s">
        <v>90</v>
      </c>
      <c r="G1131" t="s">
        <v>138</v>
      </c>
      <c r="H1131" s="9" t="s">
        <v>219</v>
      </c>
      <c r="I1131" t="s">
        <v>65</v>
      </c>
      <c r="J1131">
        <v>0</v>
      </c>
      <c r="K1131">
        <v>0</v>
      </c>
      <c r="L1131">
        <v>0</v>
      </c>
      <c r="M1131">
        <v>0</v>
      </c>
      <c r="N1131">
        <v>17.670000000000002</v>
      </c>
      <c r="P1131" t="s">
        <v>186</v>
      </c>
      <c r="Q1131" s="38"/>
    </row>
    <row r="1132" spans="1:17" x14ac:dyDescent="0.25">
      <c r="A1132" s="39">
        <v>45419</v>
      </c>
      <c r="B1132" t="s">
        <v>16</v>
      </c>
      <c r="C1132" s="38" t="s">
        <v>8</v>
      </c>
      <c r="D1132" t="s">
        <v>407</v>
      </c>
      <c r="E1132" t="s">
        <v>360</v>
      </c>
      <c r="F1132" t="s">
        <v>253</v>
      </c>
      <c r="G1132" t="s">
        <v>138</v>
      </c>
      <c r="H1132" s="9" t="s">
        <v>220</v>
      </c>
      <c r="I1132" t="s">
        <v>58</v>
      </c>
      <c r="J1132">
        <v>0</v>
      </c>
      <c r="K1132">
        <v>0</v>
      </c>
      <c r="L1132">
        <v>0</v>
      </c>
      <c r="M1132">
        <v>0</v>
      </c>
      <c r="N1132">
        <v>21.19</v>
      </c>
      <c r="P1132" t="s">
        <v>151</v>
      </c>
      <c r="Q1132" s="38"/>
    </row>
    <row r="1133" spans="1:17" x14ac:dyDescent="0.25">
      <c r="A1133" s="39">
        <v>45419</v>
      </c>
      <c r="B1133" t="s">
        <v>88</v>
      </c>
      <c r="C1133" s="38" t="s">
        <v>8</v>
      </c>
      <c r="D1133" t="s">
        <v>311</v>
      </c>
      <c r="E1133" t="s">
        <v>60</v>
      </c>
      <c r="F1133" t="s">
        <v>253</v>
      </c>
      <c r="G1133" t="s">
        <v>138</v>
      </c>
      <c r="H1133" s="9" t="s">
        <v>221</v>
      </c>
      <c r="J1133">
        <v>0</v>
      </c>
      <c r="K1133">
        <v>0</v>
      </c>
      <c r="L1133">
        <v>0</v>
      </c>
      <c r="M1133">
        <v>0</v>
      </c>
      <c r="N1133">
        <v>38.44</v>
      </c>
      <c r="P1133" t="s">
        <v>154</v>
      </c>
      <c r="Q1133" s="38"/>
    </row>
    <row r="1134" spans="1:17" x14ac:dyDescent="0.25">
      <c r="A1134" s="39">
        <v>45419</v>
      </c>
      <c r="B1134" t="s">
        <v>17</v>
      </c>
      <c r="C1134" s="38" t="s">
        <v>8</v>
      </c>
      <c r="D1134" t="s">
        <v>272</v>
      </c>
      <c r="E1134" t="s">
        <v>275</v>
      </c>
      <c r="F1134" t="s">
        <v>276</v>
      </c>
      <c r="G1134" t="s">
        <v>138</v>
      </c>
      <c r="H1134" s="9" t="s">
        <v>222</v>
      </c>
      <c r="I1134" t="s">
        <v>58</v>
      </c>
      <c r="J1134">
        <v>0</v>
      </c>
      <c r="K1134">
        <v>0</v>
      </c>
      <c r="L1134">
        <v>0</v>
      </c>
      <c r="M1134">
        <v>0</v>
      </c>
      <c r="N1134">
        <v>20.56</v>
      </c>
      <c r="P1134" t="s">
        <v>151</v>
      </c>
      <c r="Q1134" s="38"/>
    </row>
    <row r="1135" spans="1:17" x14ac:dyDescent="0.25">
      <c r="A1135" s="39">
        <v>45419</v>
      </c>
      <c r="B1135" t="s">
        <v>19</v>
      </c>
      <c r="C1135" s="38" t="s">
        <v>8</v>
      </c>
      <c r="D1135" t="s">
        <v>343</v>
      </c>
      <c r="E1135" t="s">
        <v>81</v>
      </c>
      <c r="F1135" t="s">
        <v>253</v>
      </c>
      <c r="G1135" t="s">
        <v>138</v>
      </c>
      <c r="H1135" s="9" t="s">
        <v>223</v>
      </c>
      <c r="I1135" t="s">
        <v>65</v>
      </c>
      <c r="J1135">
        <v>0</v>
      </c>
      <c r="K1135">
        <v>0</v>
      </c>
      <c r="L1135">
        <v>0</v>
      </c>
      <c r="M1135">
        <v>0</v>
      </c>
      <c r="N1135">
        <v>41.06</v>
      </c>
      <c r="P1135" t="s">
        <v>151</v>
      </c>
      <c r="Q1135" s="38"/>
    </row>
    <row r="1136" spans="1:17" x14ac:dyDescent="0.25">
      <c r="A1136" s="39">
        <v>45419</v>
      </c>
      <c r="B1136" t="s">
        <v>18</v>
      </c>
      <c r="C1136" s="38" t="s">
        <v>8</v>
      </c>
      <c r="D1136" t="s">
        <v>268</v>
      </c>
      <c r="E1136" t="s">
        <v>408</v>
      </c>
      <c r="F1136" t="s">
        <v>253</v>
      </c>
      <c r="G1136" t="s">
        <v>138</v>
      </c>
      <c r="H1136" s="9" t="s">
        <v>224</v>
      </c>
      <c r="I1136" t="s">
        <v>58</v>
      </c>
      <c r="J1136">
        <v>0</v>
      </c>
      <c r="K1136">
        <v>0</v>
      </c>
      <c r="L1136">
        <v>0</v>
      </c>
      <c r="M1136">
        <v>0</v>
      </c>
      <c r="N1136">
        <v>18.89</v>
      </c>
      <c r="P1136" t="s">
        <v>148</v>
      </c>
      <c r="Q1136" s="38"/>
    </row>
    <row r="1137" spans="1:17" x14ac:dyDescent="0.25">
      <c r="A1137" s="39">
        <v>45419</v>
      </c>
      <c r="B1137" t="s">
        <v>87</v>
      </c>
      <c r="C1137" s="38" t="s">
        <v>8</v>
      </c>
      <c r="G1137" t="s">
        <v>138</v>
      </c>
      <c r="H1137" s="9" t="s">
        <v>225</v>
      </c>
      <c r="J1137">
        <v>0</v>
      </c>
      <c r="K1137">
        <v>0</v>
      </c>
      <c r="L1137">
        <v>0</v>
      </c>
      <c r="M1137">
        <v>0</v>
      </c>
      <c r="N1137">
        <v>41146219</v>
      </c>
      <c r="Q1137" s="38"/>
    </row>
    <row r="1138" spans="1:17" x14ac:dyDescent="0.25">
      <c r="A1138" s="39">
        <v>45419</v>
      </c>
      <c r="B1138" t="s">
        <v>42</v>
      </c>
      <c r="C1138" s="38" t="s">
        <v>8</v>
      </c>
      <c r="D1138" t="s">
        <v>246</v>
      </c>
      <c r="E1138" t="s">
        <v>81</v>
      </c>
      <c r="F1138" t="s">
        <v>285</v>
      </c>
      <c r="G1138" t="s">
        <v>138</v>
      </c>
      <c r="H1138" s="9" t="s">
        <v>226</v>
      </c>
      <c r="I1138" t="s">
        <v>58</v>
      </c>
      <c r="J1138">
        <v>0</v>
      </c>
      <c r="K1138">
        <v>0</v>
      </c>
      <c r="L1138">
        <v>0</v>
      </c>
      <c r="M1138">
        <v>0</v>
      </c>
      <c r="N1138">
        <v>20.7</v>
      </c>
      <c r="P1138" t="s">
        <v>148</v>
      </c>
      <c r="Q1138" s="38"/>
    </row>
    <row r="1139" spans="1:17" x14ac:dyDescent="0.25">
      <c r="A1139" s="39">
        <v>45419</v>
      </c>
      <c r="B1139" t="s">
        <v>86</v>
      </c>
      <c r="C1139" s="38" t="s">
        <v>8</v>
      </c>
      <c r="D1139" t="s">
        <v>271</v>
      </c>
      <c r="E1139" t="s">
        <v>275</v>
      </c>
      <c r="F1139" t="s">
        <v>276</v>
      </c>
      <c r="G1139" t="s">
        <v>138</v>
      </c>
      <c r="H1139" s="9" t="s">
        <v>227</v>
      </c>
      <c r="I1139" t="s">
        <v>65</v>
      </c>
      <c r="J1139">
        <v>0</v>
      </c>
      <c r="K1139">
        <v>0</v>
      </c>
      <c r="L1139">
        <v>0</v>
      </c>
      <c r="M1139">
        <v>0</v>
      </c>
      <c r="N1139">
        <v>41.64</v>
      </c>
      <c r="P1139" t="s">
        <v>152</v>
      </c>
      <c r="Q1139" s="38"/>
    </row>
    <row r="1140" spans="1:17" x14ac:dyDescent="0.25">
      <c r="A1140" s="39">
        <v>45419</v>
      </c>
      <c r="B1140" t="s">
        <v>38</v>
      </c>
      <c r="C1140" s="38" t="s">
        <v>8</v>
      </c>
      <c r="D1140" t="s">
        <v>141</v>
      </c>
      <c r="E1140" t="s">
        <v>81</v>
      </c>
      <c r="F1140" t="s">
        <v>285</v>
      </c>
      <c r="G1140" t="s">
        <v>138</v>
      </c>
      <c r="H1140" s="9" t="s">
        <v>85</v>
      </c>
      <c r="I1140" t="s">
        <v>58</v>
      </c>
      <c r="J1140">
        <v>0</v>
      </c>
      <c r="K1140">
        <v>0</v>
      </c>
      <c r="L1140">
        <v>0</v>
      </c>
      <c r="M1140">
        <v>0</v>
      </c>
      <c r="N1140">
        <v>37.5</v>
      </c>
      <c r="P1140" t="s">
        <v>151</v>
      </c>
      <c r="Q1140" s="38"/>
    </row>
    <row r="1141" spans="1:17" x14ac:dyDescent="0.25">
      <c r="A1141" s="39">
        <v>45419</v>
      </c>
      <c r="B1141" t="s">
        <v>83</v>
      </c>
      <c r="C1141" s="38" t="s">
        <v>8</v>
      </c>
      <c r="G1141" t="s">
        <v>138</v>
      </c>
      <c r="H1141" s="9" t="s">
        <v>84</v>
      </c>
      <c r="J1141">
        <v>0</v>
      </c>
      <c r="K1141">
        <v>0</v>
      </c>
      <c r="L1141">
        <v>0</v>
      </c>
      <c r="M1141">
        <v>0</v>
      </c>
      <c r="N1141">
        <v>41.36</v>
      </c>
      <c r="Q1141" s="38"/>
    </row>
    <row r="1142" spans="1:17" x14ac:dyDescent="0.25">
      <c r="A1142" s="39">
        <v>45419</v>
      </c>
      <c r="B1142" t="s">
        <v>20</v>
      </c>
      <c r="C1142" s="38" t="s">
        <v>8</v>
      </c>
      <c r="D1142" t="s">
        <v>351</v>
      </c>
      <c r="E1142" t="s">
        <v>352</v>
      </c>
      <c r="F1142" t="s">
        <v>285</v>
      </c>
      <c r="G1142" t="s">
        <v>138</v>
      </c>
      <c r="H1142" s="9" t="s">
        <v>82</v>
      </c>
      <c r="I1142" t="s">
        <v>58</v>
      </c>
      <c r="J1142">
        <v>0</v>
      </c>
      <c r="K1142">
        <v>0</v>
      </c>
      <c r="L1142">
        <v>0</v>
      </c>
      <c r="M1142">
        <v>0</v>
      </c>
      <c r="N1142">
        <v>22.79</v>
      </c>
      <c r="P1142" t="s">
        <v>151</v>
      </c>
      <c r="Q1142" s="38"/>
    </row>
    <row r="1143" spans="1:17" x14ac:dyDescent="0.25">
      <c r="A1143" s="39">
        <v>45419</v>
      </c>
      <c r="B1143" t="s">
        <v>21</v>
      </c>
      <c r="C1143" s="38" t="s">
        <v>8</v>
      </c>
      <c r="D1143" t="s">
        <v>291</v>
      </c>
      <c r="E1143" t="s">
        <v>352</v>
      </c>
      <c r="F1143" t="s">
        <v>285</v>
      </c>
      <c r="G1143" t="s">
        <v>138</v>
      </c>
      <c r="H1143" s="9" t="s">
        <v>80</v>
      </c>
      <c r="I1143" t="s">
        <v>65</v>
      </c>
      <c r="J1143">
        <v>0</v>
      </c>
      <c r="K1143">
        <v>0</v>
      </c>
      <c r="L1143">
        <v>0</v>
      </c>
      <c r="M1143">
        <v>0</v>
      </c>
      <c r="N1143">
        <v>21.59</v>
      </c>
      <c r="P1143" t="s">
        <v>152</v>
      </c>
      <c r="Q1143" s="38"/>
    </row>
    <row r="1144" spans="1:17" x14ac:dyDescent="0.25">
      <c r="A1144" s="39">
        <v>45419</v>
      </c>
      <c r="B1144" t="s">
        <v>22</v>
      </c>
      <c r="C1144" s="38" t="s">
        <v>8</v>
      </c>
      <c r="D1144" t="s">
        <v>353</v>
      </c>
      <c r="E1144" t="s">
        <v>352</v>
      </c>
      <c r="F1144" t="s">
        <v>285</v>
      </c>
      <c r="G1144" t="s">
        <v>138</v>
      </c>
      <c r="H1144" s="9" t="s">
        <v>79</v>
      </c>
      <c r="I1144" t="s">
        <v>58</v>
      </c>
      <c r="J1144">
        <v>0</v>
      </c>
      <c r="K1144">
        <v>0</v>
      </c>
      <c r="L1144">
        <v>0</v>
      </c>
      <c r="M1144">
        <v>0</v>
      </c>
      <c r="N1144">
        <v>13.62</v>
      </c>
      <c r="P1144" t="s">
        <v>148</v>
      </c>
      <c r="Q1144" s="38"/>
    </row>
    <row r="1145" spans="1:17" x14ac:dyDescent="0.25">
      <c r="A1145" s="39">
        <v>45419</v>
      </c>
      <c r="B1145" t="s">
        <v>77</v>
      </c>
      <c r="C1145" s="38" t="s">
        <v>8</v>
      </c>
      <c r="G1145" t="s">
        <v>138</v>
      </c>
      <c r="H1145" s="9" t="s">
        <v>78</v>
      </c>
      <c r="J1145">
        <v>0</v>
      </c>
      <c r="K1145">
        <v>0</v>
      </c>
      <c r="L1145">
        <v>0</v>
      </c>
      <c r="M1145">
        <v>0</v>
      </c>
      <c r="N1145">
        <v>17.88</v>
      </c>
      <c r="Q1145" s="38"/>
    </row>
    <row r="1146" spans="1:17" x14ac:dyDescent="0.25">
      <c r="A1146" s="39">
        <v>45419</v>
      </c>
      <c r="B1146" t="s">
        <v>23</v>
      </c>
      <c r="C1146" s="38" t="s">
        <v>8</v>
      </c>
      <c r="D1146" t="s">
        <v>409</v>
      </c>
      <c r="E1146" t="s">
        <v>352</v>
      </c>
      <c r="F1146" t="s">
        <v>285</v>
      </c>
      <c r="G1146" t="s">
        <v>138</v>
      </c>
      <c r="H1146" s="9" t="s">
        <v>228</v>
      </c>
      <c r="I1146" t="s">
        <v>58</v>
      </c>
      <c r="J1146">
        <v>0</v>
      </c>
      <c r="K1146">
        <v>0</v>
      </c>
      <c r="L1146">
        <v>0</v>
      </c>
      <c r="M1146">
        <v>0</v>
      </c>
      <c r="N1146">
        <v>23.22</v>
      </c>
      <c r="P1146" t="s">
        <v>148</v>
      </c>
      <c r="Q1146" s="38"/>
    </row>
    <row r="1147" spans="1:17" x14ac:dyDescent="0.25">
      <c r="A1147" s="39">
        <v>45419</v>
      </c>
      <c r="B1147" t="s">
        <v>24</v>
      </c>
      <c r="C1147" s="38" t="s">
        <v>8</v>
      </c>
      <c r="D1147" t="s">
        <v>344</v>
      </c>
      <c r="E1147" t="s">
        <v>379</v>
      </c>
      <c r="F1147" t="s">
        <v>253</v>
      </c>
      <c r="G1147" t="s">
        <v>138</v>
      </c>
      <c r="H1147" s="9" t="s">
        <v>229</v>
      </c>
      <c r="I1147" t="s">
        <v>65</v>
      </c>
      <c r="J1147">
        <v>0</v>
      </c>
      <c r="K1147">
        <v>0</v>
      </c>
      <c r="L1147">
        <v>0</v>
      </c>
      <c r="M1147">
        <v>0</v>
      </c>
      <c r="N1147">
        <v>18.37</v>
      </c>
      <c r="P1147" t="s">
        <v>152</v>
      </c>
      <c r="Q1147" s="38"/>
    </row>
    <row r="1148" spans="1:17" x14ac:dyDescent="0.25">
      <c r="A1148" s="39">
        <v>45419</v>
      </c>
      <c r="B1148" t="s">
        <v>75</v>
      </c>
      <c r="C1148" s="38" t="s">
        <v>8</v>
      </c>
      <c r="D1148" t="s">
        <v>410</v>
      </c>
      <c r="E1148" t="s">
        <v>202</v>
      </c>
      <c r="F1148" t="s">
        <v>346</v>
      </c>
      <c r="G1148" t="s">
        <v>138</v>
      </c>
      <c r="H1148" s="9" t="s">
        <v>230</v>
      </c>
      <c r="I1148" t="s">
        <v>58</v>
      </c>
      <c r="J1148">
        <v>0</v>
      </c>
      <c r="K1148">
        <v>0</v>
      </c>
      <c r="L1148">
        <v>0</v>
      </c>
      <c r="M1148">
        <v>0</v>
      </c>
      <c r="N1148">
        <v>12.9</v>
      </c>
      <c r="P1148" t="s">
        <v>303</v>
      </c>
      <c r="Q1148" s="38"/>
    </row>
    <row r="1149" spans="1:17" x14ac:dyDescent="0.25">
      <c r="A1149" s="39">
        <v>45419</v>
      </c>
      <c r="B1149" t="s">
        <v>25</v>
      </c>
      <c r="C1149" s="38" t="s">
        <v>8</v>
      </c>
      <c r="D1149" t="s">
        <v>383</v>
      </c>
      <c r="E1149" t="s">
        <v>81</v>
      </c>
      <c r="F1149" t="s">
        <v>285</v>
      </c>
      <c r="G1149" t="s">
        <v>138</v>
      </c>
      <c r="H1149" s="9" t="s">
        <v>231</v>
      </c>
      <c r="I1149" t="s">
        <v>65</v>
      </c>
      <c r="J1149">
        <v>0</v>
      </c>
      <c r="K1149">
        <v>0</v>
      </c>
      <c r="L1149">
        <v>0</v>
      </c>
      <c r="M1149">
        <v>0</v>
      </c>
      <c r="N1149">
        <v>12.16</v>
      </c>
      <c r="P1149" t="s">
        <v>148</v>
      </c>
      <c r="Q1149" s="38"/>
    </row>
    <row r="1150" spans="1:17" x14ac:dyDescent="0.25">
      <c r="A1150" s="39">
        <v>45419</v>
      </c>
      <c r="B1150" t="s">
        <v>74</v>
      </c>
      <c r="C1150" s="38" t="s">
        <v>8</v>
      </c>
      <c r="D1150" t="s">
        <v>292</v>
      </c>
      <c r="E1150" t="s">
        <v>60</v>
      </c>
      <c r="F1150" t="s">
        <v>346</v>
      </c>
      <c r="G1150" t="s">
        <v>138</v>
      </c>
      <c r="H1150" s="9" t="s">
        <v>232</v>
      </c>
      <c r="I1150" t="s">
        <v>58</v>
      </c>
      <c r="J1150">
        <v>0</v>
      </c>
      <c r="K1150">
        <v>0</v>
      </c>
      <c r="L1150">
        <v>0</v>
      </c>
      <c r="M1150">
        <v>0</v>
      </c>
      <c r="N1150">
        <v>15.61</v>
      </c>
      <c r="P1150" t="s">
        <v>293</v>
      </c>
      <c r="Q1150" s="38"/>
    </row>
    <row r="1151" spans="1:17" x14ac:dyDescent="0.25">
      <c r="A1151" s="39">
        <v>45419</v>
      </c>
      <c r="B1151" t="s">
        <v>26</v>
      </c>
      <c r="C1151" s="38" t="s">
        <v>8</v>
      </c>
      <c r="D1151" t="s">
        <v>294</v>
      </c>
      <c r="E1151" t="s">
        <v>56</v>
      </c>
      <c r="F1151" t="s">
        <v>184</v>
      </c>
      <c r="G1151" t="s">
        <v>138</v>
      </c>
      <c r="H1151" s="9" t="s">
        <v>233</v>
      </c>
      <c r="I1151" t="s">
        <v>65</v>
      </c>
      <c r="J1151">
        <v>0</v>
      </c>
      <c r="K1151">
        <v>0</v>
      </c>
      <c r="L1151">
        <v>0</v>
      </c>
      <c r="M1151">
        <v>0</v>
      </c>
      <c r="N1151">
        <v>13.29</v>
      </c>
      <c r="P1151" t="s">
        <v>155</v>
      </c>
      <c r="Q1151" s="38"/>
    </row>
    <row r="1152" spans="1:17" x14ac:dyDescent="0.25">
      <c r="A1152" s="39">
        <v>45419</v>
      </c>
      <c r="B1152" t="s">
        <v>27</v>
      </c>
      <c r="C1152" s="38" t="s">
        <v>8</v>
      </c>
      <c r="D1152" t="s">
        <v>384</v>
      </c>
      <c r="E1152" t="s">
        <v>366</v>
      </c>
      <c r="F1152" t="s">
        <v>346</v>
      </c>
      <c r="G1152" t="s">
        <v>138</v>
      </c>
      <c r="H1152" s="9" t="s">
        <v>234</v>
      </c>
      <c r="I1152" t="s">
        <v>58</v>
      </c>
      <c r="J1152">
        <v>0</v>
      </c>
      <c r="K1152">
        <v>0</v>
      </c>
      <c r="L1152">
        <v>0</v>
      </c>
      <c r="M1152">
        <v>0</v>
      </c>
      <c r="N1152">
        <v>13.89</v>
      </c>
      <c r="P1152" t="s">
        <v>269</v>
      </c>
      <c r="Q1152" s="38"/>
    </row>
    <row r="1153" spans="1:17" x14ac:dyDescent="0.25">
      <c r="A1153" s="39">
        <v>45419</v>
      </c>
      <c r="B1153" t="s">
        <v>28</v>
      </c>
      <c r="C1153" s="38" t="s">
        <v>8</v>
      </c>
      <c r="D1153" t="s">
        <v>411</v>
      </c>
      <c r="E1153" t="s">
        <v>56</v>
      </c>
      <c r="F1153" t="s">
        <v>338</v>
      </c>
      <c r="G1153" t="s">
        <v>138</v>
      </c>
      <c r="H1153" s="9" t="s">
        <v>235</v>
      </c>
      <c r="I1153" t="s">
        <v>65</v>
      </c>
      <c r="J1153">
        <v>0</v>
      </c>
      <c r="K1153">
        <v>0</v>
      </c>
      <c r="L1153">
        <v>0</v>
      </c>
      <c r="M1153">
        <v>0</v>
      </c>
      <c r="N1153">
        <v>13.9</v>
      </c>
      <c r="P1153" t="s">
        <v>155</v>
      </c>
      <c r="Q1153" s="38"/>
    </row>
    <row r="1154" spans="1:17" x14ac:dyDescent="0.25">
      <c r="A1154" s="39">
        <v>45419</v>
      </c>
      <c r="B1154" t="s">
        <v>72</v>
      </c>
      <c r="C1154" s="38" t="s">
        <v>8</v>
      </c>
      <c r="D1154" t="s">
        <v>322</v>
      </c>
      <c r="E1154" t="s">
        <v>202</v>
      </c>
      <c r="F1154" t="s">
        <v>346</v>
      </c>
      <c r="G1154" t="s">
        <v>138</v>
      </c>
      <c r="H1154" s="9" t="s">
        <v>422</v>
      </c>
      <c r="I1154" t="s">
        <v>58</v>
      </c>
      <c r="J1154">
        <v>0</v>
      </c>
      <c r="K1154">
        <v>0</v>
      </c>
      <c r="L1154">
        <v>0</v>
      </c>
      <c r="M1154">
        <v>0</v>
      </c>
      <c r="N1154">
        <v>15.45</v>
      </c>
      <c r="P1154" t="s">
        <v>157</v>
      </c>
      <c r="Q1154" s="38"/>
    </row>
    <row r="1155" spans="1:17" x14ac:dyDescent="0.25">
      <c r="A1155" s="39">
        <v>45419</v>
      </c>
      <c r="B1155" t="s">
        <v>29</v>
      </c>
      <c r="C1155" s="38" t="s">
        <v>8</v>
      </c>
      <c r="D1155" t="s">
        <v>315</v>
      </c>
      <c r="E1155" t="s">
        <v>56</v>
      </c>
      <c r="F1155" t="s">
        <v>338</v>
      </c>
      <c r="G1155" t="s">
        <v>138</v>
      </c>
      <c r="H1155" s="9" t="s">
        <v>236</v>
      </c>
      <c r="I1155" t="s">
        <v>65</v>
      </c>
      <c r="J1155">
        <v>0</v>
      </c>
      <c r="K1155">
        <v>0</v>
      </c>
      <c r="L1155">
        <v>0</v>
      </c>
      <c r="M1155">
        <v>0</v>
      </c>
      <c r="N1155">
        <v>13.98</v>
      </c>
      <c r="P1155" t="s">
        <v>156</v>
      </c>
      <c r="Q1155" s="38"/>
    </row>
    <row r="1156" spans="1:17" x14ac:dyDescent="0.25">
      <c r="A1156" s="39">
        <v>45419</v>
      </c>
      <c r="B1156" t="s">
        <v>30</v>
      </c>
      <c r="C1156" s="38" t="s">
        <v>8</v>
      </c>
      <c r="D1156" t="s">
        <v>305</v>
      </c>
      <c r="E1156" t="s">
        <v>81</v>
      </c>
      <c r="F1156" t="s">
        <v>90</v>
      </c>
      <c r="G1156" t="s">
        <v>138</v>
      </c>
      <c r="H1156" s="9" t="s">
        <v>71</v>
      </c>
      <c r="I1156" t="s">
        <v>58</v>
      </c>
      <c r="J1156">
        <v>0</v>
      </c>
      <c r="K1156">
        <v>0</v>
      </c>
      <c r="L1156">
        <v>0</v>
      </c>
      <c r="M1156">
        <v>0</v>
      </c>
      <c r="N1156">
        <v>10.84</v>
      </c>
      <c r="P1156" t="s">
        <v>150</v>
      </c>
      <c r="Q1156" s="38"/>
    </row>
    <row r="1157" spans="1:17" x14ac:dyDescent="0.25">
      <c r="A1157" s="39">
        <v>45419</v>
      </c>
      <c r="B1157" t="s">
        <v>31</v>
      </c>
      <c r="C1157" s="38" t="s">
        <v>8</v>
      </c>
      <c r="E1157" t="s">
        <v>56</v>
      </c>
      <c r="G1157" t="s">
        <v>138</v>
      </c>
      <c r="H1157" s="9" t="s">
        <v>70</v>
      </c>
      <c r="I1157" t="s">
        <v>65</v>
      </c>
      <c r="J1157">
        <v>0</v>
      </c>
      <c r="K1157">
        <v>0</v>
      </c>
      <c r="L1157">
        <v>0</v>
      </c>
      <c r="M1157">
        <v>0</v>
      </c>
      <c r="N1157">
        <v>13.5</v>
      </c>
      <c r="P1157" t="s">
        <v>156</v>
      </c>
      <c r="Q1157" s="38"/>
    </row>
    <row r="1158" spans="1:17" x14ac:dyDescent="0.25">
      <c r="A1158" s="39">
        <v>45419</v>
      </c>
      <c r="B1158" t="s">
        <v>32</v>
      </c>
      <c r="C1158" s="38" t="s">
        <v>8</v>
      </c>
      <c r="D1158" t="s">
        <v>413</v>
      </c>
      <c r="E1158" t="s">
        <v>202</v>
      </c>
      <c r="F1158" t="s">
        <v>346</v>
      </c>
      <c r="G1158" t="s">
        <v>138</v>
      </c>
      <c r="H1158" s="9" t="s">
        <v>69</v>
      </c>
      <c r="I1158" t="s">
        <v>58</v>
      </c>
      <c r="J1158">
        <v>0</v>
      </c>
      <c r="K1158">
        <v>0</v>
      </c>
      <c r="L1158">
        <v>0</v>
      </c>
      <c r="M1158">
        <v>0</v>
      </c>
      <c r="N1158">
        <v>14.39</v>
      </c>
      <c r="P1158" t="s">
        <v>414</v>
      </c>
      <c r="Q1158" s="38"/>
    </row>
    <row r="1159" spans="1:17" x14ac:dyDescent="0.25">
      <c r="A1159" s="39">
        <v>45419</v>
      </c>
      <c r="B1159" t="s">
        <v>67</v>
      </c>
      <c r="C1159" s="38" t="s">
        <v>8</v>
      </c>
      <c r="D1159" t="s">
        <v>354</v>
      </c>
      <c r="E1159" t="s">
        <v>56</v>
      </c>
      <c r="F1159" t="s">
        <v>367</v>
      </c>
      <c r="G1159" t="s">
        <v>138</v>
      </c>
      <c r="H1159" s="9" t="s">
        <v>68</v>
      </c>
      <c r="I1159" t="s">
        <v>65</v>
      </c>
      <c r="J1159">
        <v>0</v>
      </c>
      <c r="K1159">
        <v>0</v>
      </c>
      <c r="L1159">
        <v>0</v>
      </c>
      <c r="M1159">
        <v>0</v>
      </c>
      <c r="N1159">
        <v>13.8</v>
      </c>
      <c r="P1159" t="s">
        <v>156</v>
      </c>
      <c r="Q1159" s="38"/>
    </row>
    <row r="1160" spans="1:17" x14ac:dyDescent="0.25">
      <c r="A1160" s="39">
        <v>45419</v>
      </c>
      <c r="B1160" t="s">
        <v>33</v>
      </c>
      <c r="C1160" s="38" t="s">
        <v>8</v>
      </c>
      <c r="D1160" t="s">
        <v>277</v>
      </c>
      <c r="E1160" t="s">
        <v>73</v>
      </c>
      <c r="F1160" t="s">
        <v>346</v>
      </c>
      <c r="G1160" t="s">
        <v>138</v>
      </c>
      <c r="H1160" s="9" t="s">
        <v>66</v>
      </c>
      <c r="I1160" t="s">
        <v>58</v>
      </c>
      <c r="J1160">
        <v>0</v>
      </c>
      <c r="K1160">
        <v>0</v>
      </c>
      <c r="L1160">
        <v>0</v>
      </c>
      <c r="M1160">
        <v>0</v>
      </c>
      <c r="N1160">
        <v>14.19</v>
      </c>
      <c r="P1160" t="s">
        <v>201</v>
      </c>
      <c r="Q1160" s="38"/>
    </row>
    <row r="1161" spans="1:17" x14ac:dyDescent="0.25">
      <c r="A1161" s="39">
        <v>45419</v>
      </c>
      <c r="B1161" t="s">
        <v>34</v>
      </c>
      <c r="C1161" s="38" t="s">
        <v>8</v>
      </c>
      <c r="D1161" t="s">
        <v>415</v>
      </c>
      <c r="E1161" t="s">
        <v>56</v>
      </c>
      <c r="F1161" t="s">
        <v>346</v>
      </c>
      <c r="G1161" t="s">
        <v>138</v>
      </c>
      <c r="H1161" s="9" t="s">
        <v>64</v>
      </c>
      <c r="I1161" t="s">
        <v>65</v>
      </c>
      <c r="J1161">
        <v>0</v>
      </c>
      <c r="K1161">
        <v>0</v>
      </c>
      <c r="L1161">
        <v>0</v>
      </c>
      <c r="M1161">
        <v>0</v>
      </c>
      <c r="N1161">
        <v>15.6</v>
      </c>
      <c r="P1161" t="s">
        <v>416</v>
      </c>
      <c r="Q1161" s="38"/>
    </row>
    <row r="1162" spans="1:17" x14ac:dyDescent="0.25">
      <c r="A1162" s="39">
        <v>45419</v>
      </c>
      <c r="B1162" t="s">
        <v>35</v>
      </c>
      <c r="C1162" s="38" t="s">
        <v>8</v>
      </c>
      <c r="D1162" t="s">
        <v>331</v>
      </c>
      <c r="E1162" t="s">
        <v>60</v>
      </c>
      <c r="F1162" t="s">
        <v>346</v>
      </c>
      <c r="G1162" t="s">
        <v>138</v>
      </c>
      <c r="H1162" s="9" t="s">
        <v>237</v>
      </c>
      <c r="I1162" t="s">
        <v>58</v>
      </c>
      <c r="J1162">
        <v>0</v>
      </c>
      <c r="K1162">
        <v>0</v>
      </c>
      <c r="L1162">
        <v>0</v>
      </c>
      <c r="M1162">
        <v>0</v>
      </c>
      <c r="N1162">
        <v>14.64</v>
      </c>
      <c r="P1162" t="s">
        <v>158</v>
      </c>
      <c r="Q1162" s="38"/>
    </row>
    <row r="1163" spans="1:17" x14ac:dyDescent="0.25">
      <c r="A1163" s="39">
        <v>45419</v>
      </c>
      <c r="B1163" t="s">
        <v>418</v>
      </c>
      <c r="C1163" s="38" t="s">
        <v>8</v>
      </c>
      <c r="G1163" t="s">
        <v>138</v>
      </c>
      <c r="H1163" s="9" t="s">
        <v>240</v>
      </c>
      <c r="I1163" t="s">
        <v>262</v>
      </c>
      <c r="J1163">
        <v>0</v>
      </c>
      <c r="K1163">
        <v>0</v>
      </c>
      <c r="L1163">
        <v>0</v>
      </c>
      <c r="M1163">
        <v>0</v>
      </c>
      <c r="N1163">
        <v>17.670000000000002</v>
      </c>
      <c r="Q1163" s="38"/>
    </row>
    <row r="1164" spans="1:17" x14ac:dyDescent="0.25">
      <c r="A1164" s="39">
        <v>45419</v>
      </c>
      <c r="B1164" t="s">
        <v>419</v>
      </c>
      <c r="C1164" s="38" t="s">
        <v>8</v>
      </c>
      <c r="G1164" t="s">
        <v>138</v>
      </c>
      <c r="H1164" s="9" t="s">
        <v>240</v>
      </c>
      <c r="I1164" t="s">
        <v>262</v>
      </c>
      <c r="J1164">
        <v>0</v>
      </c>
      <c r="K1164">
        <v>0</v>
      </c>
      <c r="L1164">
        <v>0</v>
      </c>
      <c r="M1164">
        <v>0</v>
      </c>
      <c r="N1164">
        <v>13.49</v>
      </c>
      <c r="Q1164" s="38"/>
    </row>
    <row r="1165" spans="1:17" x14ac:dyDescent="0.25">
      <c r="A1165" s="39">
        <v>45419</v>
      </c>
      <c r="B1165" t="s">
        <v>36</v>
      </c>
      <c r="C1165" s="38" t="s">
        <v>8</v>
      </c>
      <c r="D1165" t="s">
        <v>295</v>
      </c>
      <c r="E1165" t="s">
        <v>81</v>
      </c>
      <c r="F1165" t="s">
        <v>369</v>
      </c>
      <c r="G1165" t="s">
        <v>138</v>
      </c>
      <c r="H1165" s="9" t="s">
        <v>423</v>
      </c>
      <c r="I1165" t="s">
        <v>58</v>
      </c>
      <c r="J1165">
        <v>0</v>
      </c>
      <c r="K1165">
        <v>0</v>
      </c>
      <c r="L1165">
        <v>0</v>
      </c>
      <c r="M1165">
        <v>0</v>
      </c>
      <c r="N1165">
        <v>38472557</v>
      </c>
      <c r="P1165" t="s">
        <v>156</v>
      </c>
      <c r="Q1165" s="38"/>
    </row>
    <row r="1166" spans="1:17" x14ac:dyDescent="0.25">
      <c r="A1166" s="39">
        <v>45419</v>
      </c>
      <c r="B1166" t="s">
        <v>256</v>
      </c>
      <c r="C1166" s="38" t="s">
        <v>8</v>
      </c>
      <c r="D1166" t="s">
        <v>392</v>
      </c>
      <c r="E1166" t="s">
        <v>417</v>
      </c>
      <c r="F1166" t="s">
        <v>192</v>
      </c>
      <c r="G1166" t="s">
        <v>138</v>
      </c>
      <c r="H1166" s="9"/>
      <c r="I1166" t="s">
        <v>262</v>
      </c>
      <c r="J1166">
        <v>0</v>
      </c>
      <c r="K1166">
        <v>0</v>
      </c>
      <c r="L1166">
        <v>0</v>
      </c>
      <c r="M1166">
        <v>0</v>
      </c>
      <c r="N1166">
        <v>0</v>
      </c>
      <c r="P1166" t="s">
        <v>149</v>
      </c>
      <c r="Q1166" s="38"/>
    </row>
    <row r="1167" spans="1:17" x14ac:dyDescent="0.25">
      <c r="A1167" s="39">
        <v>45419</v>
      </c>
      <c r="B1167" t="s">
        <v>257</v>
      </c>
      <c r="C1167" s="38" t="s">
        <v>8</v>
      </c>
      <c r="D1167" t="s">
        <v>392</v>
      </c>
      <c r="E1167" t="s">
        <v>417</v>
      </c>
      <c r="F1167" t="s">
        <v>192</v>
      </c>
      <c r="G1167" t="s">
        <v>138</v>
      </c>
      <c r="H1167" s="9"/>
      <c r="I1167" t="s">
        <v>58</v>
      </c>
      <c r="J1167">
        <v>0</v>
      </c>
      <c r="K1167">
        <v>0</v>
      </c>
      <c r="L1167">
        <v>0</v>
      </c>
      <c r="M1167">
        <v>0</v>
      </c>
      <c r="N1167">
        <v>38.46</v>
      </c>
      <c r="P1167" t="s">
        <v>149</v>
      </c>
      <c r="Q1167" s="38"/>
    </row>
    <row r="1168" spans="1:17" x14ac:dyDescent="0.25">
      <c r="A1168" s="39">
        <v>45419</v>
      </c>
      <c r="B1168" t="s">
        <v>37</v>
      </c>
      <c r="C1168" s="38" t="s">
        <v>8</v>
      </c>
      <c r="D1168" t="s">
        <v>347</v>
      </c>
      <c r="E1168" t="s">
        <v>348</v>
      </c>
      <c r="F1168" t="s">
        <v>346</v>
      </c>
      <c r="G1168" t="s">
        <v>138</v>
      </c>
      <c r="H1168" s="9" t="s">
        <v>425</v>
      </c>
      <c r="I1168" t="s">
        <v>58</v>
      </c>
      <c r="J1168">
        <v>0</v>
      </c>
      <c r="K1168">
        <v>0</v>
      </c>
      <c r="L1168">
        <v>0</v>
      </c>
      <c r="M1168">
        <v>0</v>
      </c>
      <c r="N1168">
        <v>13.5</v>
      </c>
      <c r="P1168" t="s">
        <v>270</v>
      </c>
      <c r="Q1168" s="38"/>
    </row>
    <row r="1169" spans="1:17" x14ac:dyDescent="0.25">
      <c r="A1169" s="39">
        <v>45419</v>
      </c>
      <c r="B1169" t="s">
        <v>258</v>
      </c>
      <c r="C1169" s="38" t="s">
        <v>8</v>
      </c>
      <c r="G1169" t="s">
        <v>138</v>
      </c>
      <c r="H1169" s="9" t="s">
        <v>426</v>
      </c>
      <c r="I1169" t="s">
        <v>262</v>
      </c>
      <c r="J1169">
        <v>0</v>
      </c>
      <c r="K1169">
        <v>0</v>
      </c>
      <c r="L1169">
        <v>0</v>
      </c>
      <c r="M1169">
        <v>0</v>
      </c>
      <c r="N1169">
        <v>13.5</v>
      </c>
      <c r="P1169" t="s">
        <v>148</v>
      </c>
      <c r="Q1169" s="38"/>
    </row>
    <row r="1170" spans="1:17" x14ac:dyDescent="0.25">
      <c r="A1170" s="39">
        <v>45419</v>
      </c>
      <c r="B1170" t="s">
        <v>259</v>
      </c>
      <c r="C1170" s="38" t="s">
        <v>8</v>
      </c>
      <c r="G1170" t="s">
        <v>138</v>
      </c>
      <c r="H1170" s="9" t="s">
        <v>426</v>
      </c>
      <c r="I1170" t="s">
        <v>262</v>
      </c>
      <c r="J1170">
        <v>0</v>
      </c>
      <c r="K1170">
        <v>0</v>
      </c>
      <c r="L1170">
        <v>0</v>
      </c>
      <c r="M1170">
        <v>0</v>
      </c>
      <c r="N1170">
        <v>41.06</v>
      </c>
      <c r="P1170" t="s">
        <v>148</v>
      </c>
      <c r="Q1170" s="38"/>
    </row>
    <row r="1171" spans="1:17" x14ac:dyDescent="0.25">
      <c r="A1171" s="39">
        <v>45419</v>
      </c>
      <c r="B1171" t="s">
        <v>54</v>
      </c>
      <c r="C1171" s="38" t="s">
        <v>8</v>
      </c>
      <c r="D1171" t="s">
        <v>55</v>
      </c>
      <c r="E1171" t="s">
        <v>56</v>
      </c>
      <c r="F1171" t="s">
        <v>57</v>
      </c>
      <c r="G1171" t="s">
        <v>138</v>
      </c>
      <c r="H1171" s="9" t="s">
        <v>427</v>
      </c>
      <c r="I1171" t="s">
        <v>58</v>
      </c>
      <c r="J1171">
        <v>0</v>
      </c>
      <c r="K1171">
        <v>0</v>
      </c>
      <c r="L1171">
        <v>0</v>
      </c>
      <c r="M1171">
        <v>0</v>
      </c>
      <c r="N1171">
        <v>41.06</v>
      </c>
      <c r="P1171" t="s">
        <v>159</v>
      </c>
      <c r="Q1171" s="38"/>
    </row>
    <row r="1172" spans="1:17" x14ac:dyDescent="0.25">
      <c r="A1172" s="39">
        <v>45420</v>
      </c>
      <c r="B1172" t="s">
        <v>136</v>
      </c>
      <c r="C1172" s="38" t="s">
        <v>6</v>
      </c>
      <c r="D1172" t="s">
        <v>174</v>
      </c>
      <c r="E1172" t="s">
        <v>81</v>
      </c>
      <c r="F1172" t="s">
        <v>90</v>
      </c>
      <c r="G1172" t="s">
        <v>138</v>
      </c>
      <c r="H1172" s="9" t="s">
        <v>160</v>
      </c>
      <c r="I1172" t="s">
        <v>58</v>
      </c>
      <c r="J1172">
        <v>0</v>
      </c>
      <c r="K1172">
        <v>0</v>
      </c>
      <c r="L1172">
        <v>0</v>
      </c>
      <c r="M1172">
        <v>0</v>
      </c>
      <c r="N1172">
        <v>42144554</v>
      </c>
      <c r="P1172" t="s">
        <v>153</v>
      </c>
      <c r="Q1172" s="38"/>
    </row>
    <row r="1173" spans="1:17" x14ac:dyDescent="0.25">
      <c r="A1173" s="39">
        <v>45420</v>
      </c>
      <c r="B1173" s="38" t="s">
        <v>135</v>
      </c>
      <c r="C1173" s="38" t="s">
        <v>6</v>
      </c>
      <c r="D1173" s="38" t="s">
        <v>332</v>
      </c>
      <c r="E1173" s="38" t="s">
        <v>81</v>
      </c>
      <c r="F1173" s="38" t="s">
        <v>90</v>
      </c>
      <c r="G1173" s="38" t="s">
        <v>138</v>
      </c>
      <c r="H1173" s="9" t="s">
        <v>161</v>
      </c>
      <c r="I1173" s="38" t="s">
        <v>58</v>
      </c>
      <c r="J1173" s="38">
        <v>0</v>
      </c>
      <c r="K1173">
        <v>0</v>
      </c>
      <c r="L1173">
        <v>0</v>
      </c>
      <c r="M1173">
        <v>0</v>
      </c>
      <c r="N1173" s="38">
        <v>24.09</v>
      </c>
      <c r="O1173" s="38"/>
      <c r="P1173" s="38" t="s">
        <v>148</v>
      </c>
      <c r="Q1173" s="38"/>
    </row>
    <row r="1174" spans="1:17" x14ac:dyDescent="0.25">
      <c r="A1174" s="39">
        <v>45420</v>
      </c>
      <c r="B1174" s="38" t="s">
        <v>134</v>
      </c>
      <c r="C1174" s="38" t="s">
        <v>6</v>
      </c>
      <c r="D1174" s="38" t="s">
        <v>175</v>
      </c>
      <c r="E1174" s="38" t="s">
        <v>81</v>
      </c>
      <c r="F1174" s="38" t="s">
        <v>90</v>
      </c>
      <c r="G1174" s="38" t="s">
        <v>138</v>
      </c>
      <c r="H1174" s="9" t="s">
        <v>206</v>
      </c>
      <c r="I1174" s="38" t="s">
        <v>58</v>
      </c>
      <c r="J1174" s="38">
        <v>0</v>
      </c>
      <c r="K1174">
        <v>0</v>
      </c>
      <c r="L1174">
        <v>0</v>
      </c>
      <c r="M1174">
        <v>0</v>
      </c>
      <c r="N1174" s="38">
        <v>0</v>
      </c>
      <c r="O1174" s="38"/>
      <c r="P1174" s="38" t="s">
        <v>148</v>
      </c>
      <c r="Q1174" s="38"/>
    </row>
    <row r="1175" spans="1:17" x14ac:dyDescent="0.25">
      <c r="A1175" s="39">
        <v>45420</v>
      </c>
      <c r="B1175" s="38" t="s">
        <v>132</v>
      </c>
      <c r="C1175" s="38" t="s">
        <v>6</v>
      </c>
      <c r="D1175" s="38" t="s">
        <v>133</v>
      </c>
      <c r="E1175" s="38" t="s">
        <v>126</v>
      </c>
      <c r="F1175" s="38" t="s">
        <v>199</v>
      </c>
      <c r="G1175" s="38" t="s">
        <v>138</v>
      </c>
      <c r="H1175" s="9" t="s">
        <v>162</v>
      </c>
      <c r="I1175" s="38" t="s">
        <v>58</v>
      </c>
      <c r="J1175" s="38">
        <v>0</v>
      </c>
      <c r="K1175">
        <v>0</v>
      </c>
      <c r="L1175">
        <v>0</v>
      </c>
      <c r="M1175">
        <v>0</v>
      </c>
      <c r="N1175" s="38">
        <v>38.369999999999997</v>
      </c>
      <c r="O1175" s="38"/>
      <c r="P1175" s="38" t="s">
        <v>149</v>
      </c>
      <c r="Q1175" s="38"/>
    </row>
    <row r="1176" spans="1:17" x14ac:dyDescent="0.25">
      <c r="A1176" s="39">
        <v>45420</v>
      </c>
      <c r="B1176" s="38" t="s">
        <v>131</v>
      </c>
      <c r="C1176" s="38" t="s">
        <v>6</v>
      </c>
      <c r="D1176" s="38" t="s">
        <v>396</v>
      </c>
      <c r="E1176" s="38" t="s">
        <v>60</v>
      </c>
      <c r="F1176" s="38" t="s">
        <v>90</v>
      </c>
      <c r="G1176" s="38" t="s">
        <v>138</v>
      </c>
      <c r="H1176" s="9" t="s">
        <v>163</v>
      </c>
      <c r="I1176" s="38" t="s">
        <v>58</v>
      </c>
      <c r="J1176" s="38">
        <v>0</v>
      </c>
      <c r="K1176">
        <v>0</v>
      </c>
      <c r="L1176">
        <v>0</v>
      </c>
      <c r="M1176">
        <v>0</v>
      </c>
      <c r="N1176" s="38">
        <v>23.93</v>
      </c>
      <c r="O1176" s="38"/>
      <c r="P1176" s="38" t="s">
        <v>154</v>
      </c>
      <c r="Q1176" s="38"/>
    </row>
    <row r="1177" spans="1:17" x14ac:dyDescent="0.25">
      <c r="A1177" s="39">
        <v>45420</v>
      </c>
      <c r="B1177" s="38" t="s">
        <v>130</v>
      </c>
      <c r="C1177" s="38" t="s">
        <v>6</v>
      </c>
      <c r="D1177" s="38" t="s">
        <v>191</v>
      </c>
      <c r="E1177" s="38" t="s">
        <v>81</v>
      </c>
      <c r="F1177" s="38" t="s">
        <v>285</v>
      </c>
      <c r="G1177" s="38" t="s">
        <v>138</v>
      </c>
      <c r="H1177" s="9" t="s">
        <v>420</v>
      </c>
      <c r="I1177" s="38" t="s">
        <v>58</v>
      </c>
      <c r="J1177" s="38">
        <v>0</v>
      </c>
      <c r="K1177">
        <v>0</v>
      </c>
      <c r="L1177">
        <v>0</v>
      </c>
      <c r="M1177">
        <v>0</v>
      </c>
      <c r="N1177" s="38">
        <v>14.99</v>
      </c>
      <c r="O1177" s="38"/>
      <c r="P1177" s="38" t="s">
        <v>148</v>
      </c>
      <c r="Q1177" s="38"/>
    </row>
    <row r="1178" spans="1:17" x14ac:dyDescent="0.25">
      <c r="A1178" s="39">
        <v>45420</v>
      </c>
      <c r="B1178" s="38" t="s">
        <v>128</v>
      </c>
      <c r="C1178" s="38" t="s">
        <v>6</v>
      </c>
      <c r="D1178" s="38" t="s">
        <v>129</v>
      </c>
      <c r="E1178" s="38" t="s">
        <v>126</v>
      </c>
      <c r="F1178" s="38" t="s">
        <v>199</v>
      </c>
      <c r="G1178" s="38" t="s">
        <v>138</v>
      </c>
      <c r="H1178" s="9" t="s">
        <v>164</v>
      </c>
      <c r="I1178" s="38" t="s">
        <v>58</v>
      </c>
      <c r="J1178" s="38">
        <v>0</v>
      </c>
      <c r="K1178">
        <v>0</v>
      </c>
      <c r="L1178">
        <v>0</v>
      </c>
      <c r="M1178">
        <v>0</v>
      </c>
      <c r="N1178" s="38">
        <v>41.06</v>
      </c>
      <c r="O1178" s="38"/>
      <c r="P1178" s="38" t="s">
        <v>149</v>
      </c>
      <c r="Q1178" s="38"/>
    </row>
    <row r="1179" spans="1:17" x14ac:dyDescent="0.25">
      <c r="A1179" s="39">
        <v>45420</v>
      </c>
      <c r="B1179" s="38" t="s">
        <v>40</v>
      </c>
      <c r="C1179" s="38" t="s">
        <v>6</v>
      </c>
      <c r="D1179" s="38" t="s">
        <v>397</v>
      </c>
      <c r="E1179" s="38" t="s">
        <v>60</v>
      </c>
      <c r="F1179" s="38" t="s">
        <v>200</v>
      </c>
      <c r="G1179" s="38" t="s">
        <v>138</v>
      </c>
      <c r="H1179" s="9" t="s">
        <v>165</v>
      </c>
      <c r="I1179" s="38" t="s">
        <v>58</v>
      </c>
      <c r="J1179" s="38">
        <v>0</v>
      </c>
      <c r="K1179">
        <v>0</v>
      </c>
      <c r="L1179">
        <v>0</v>
      </c>
      <c r="M1179">
        <v>0</v>
      </c>
      <c r="N1179" s="38">
        <v>14.92</v>
      </c>
      <c r="O1179" s="38"/>
      <c r="P1179" s="38" t="s">
        <v>153</v>
      </c>
      <c r="Q1179" s="38"/>
    </row>
    <row r="1180" spans="1:17" x14ac:dyDescent="0.25">
      <c r="A1180" s="39">
        <v>45420</v>
      </c>
      <c r="B1180" s="38" t="s">
        <v>127</v>
      </c>
      <c r="C1180" s="38" t="s">
        <v>6</v>
      </c>
      <c r="D1180" s="38" t="s">
        <v>203</v>
      </c>
      <c r="E1180" s="38" t="s">
        <v>81</v>
      </c>
      <c r="F1180" s="38" t="s">
        <v>285</v>
      </c>
      <c r="G1180" s="38" t="s">
        <v>138</v>
      </c>
      <c r="H1180" s="9" t="s">
        <v>207</v>
      </c>
      <c r="I1180" s="38" t="s">
        <v>58</v>
      </c>
      <c r="J1180" s="38">
        <v>0</v>
      </c>
      <c r="K1180">
        <v>0</v>
      </c>
      <c r="L1180">
        <v>0</v>
      </c>
      <c r="M1180">
        <v>0</v>
      </c>
      <c r="N1180" s="38">
        <v>20.85</v>
      </c>
      <c r="O1180" s="38"/>
      <c r="P1180" s="38" t="s">
        <v>151</v>
      </c>
      <c r="Q1180" s="38"/>
    </row>
    <row r="1181" spans="1:17" x14ac:dyDescent="0.25">
      <c r="A1181" s="39">
        <v>45420</v>
      </c>
      <c r="B1181" s="38" t="s">
        <v>124</v>
      </c>
      <c r="C1181" s="38" t="s">
        <v>6</v>
      </c>
      <c r="D1181" s="38" t="s">
        <v>340</v>
      </c>
      <c r="E1181" s="38" t="s">
        <v>126</v>
      </c>
      <c r="F1181" s="38" t="s">
        <v>199</v>
      </c>
      <c r="G1181" s="38" t="s">
        <v>138</v>
      </c>
      <c r="H1181" s="9" t="s">
        <v>166</v>
      </c>
      <c r="I1181" s="38" t="s">
        <v>58</v>
      </c>
      <c r="J1181" s="38">
        <v>0</v>
      </c>
      <c r="K1181">
        <v>0</v>
      </c>
      <c r="L1181">
        <v>0</v>
      </c>
      <c r="M1181">
        <v>0</v>
      </c>
      <c r="N1181" s="38">
        <v>39863813</v>
      </c>
      <c r="O1181" s="38"/>
      <c r="P1181" s="38" t="s">
        <v>149</v>
      </c>
      <c r="Q1181" s="38"/>
    </row>
    <row r="1182" spans="1:17" x14ac:dyDescent="0.25">
      <c r="A1182" s="39">
        <v>45420</v>
      </c>
      <c r="B1182" s="38" t="s">
        <v>122</v>
      </c>
      <c r="C1182" s="38" t="s">
        <v>6</v>
      </c>
      <c r="D1182" s="38" t="s">
        <v>356</v>
      </c>
      <c r="E1182" s="38" t="s">
        <v>81</v>
      </c>
      <c r="F1182" s="38" t="s">
        <v>90</v>
      </c>
      <c r="G1182" s="38" t="s">
        <v>138</v>
      </c>
      <c r="H1182" s="9" t="s">
        <v>167</v>
      </c>
      <c r="I1182" s="38" t="s">
        <v>58</v>
      </c>
      <c r="J1182" s="38">
        <v>0</v>
      </c>
      <c r="K1182">
        <v>0</v>
      </c>
      <c r="L1182">
        <v>0</v>
      </c>
      <c r="M1182">
        <v>0</v>
      </c>
      <c r="N1182" s="38">
        <v>20.9</v>
      </c>
      <c r="O1182" s="38"/>
      <c r="P1182" s="38" t="s">
        <v>148</v>
      </c>
      <c r="Q1182" s="38"/>
    </row>
    <row r="1183" spans="1:17" x14ac:dyDescent="0.25">
      <c r="A1183" s="39">
        <v>45420</v>
      </c>
      <c r="B1183" s="38" t="s">
        <v>120</v>
      </c>
      <c r="C1183" s="38" t="s">
        <v>6</v>
      </c>
      <c r="D1183" s="38" t="s">
        <v>333</v>
      </c>
      <c r="E1183" s="38" t="s">
        <v>375</v>
      </c>
      <c r="F1183" s="38" t="s">
        <v>285</v>
      </c>
      <c r="G1183" s="38" t="s">
        <v>138</v>
      </c>
      <c r="H1183" s="9" t="s">
        <v>121</v>
      </c>
      <c r="I1183" s="38" t="s">
        <v>58</v>
      </c>
      <c r="J1183" s="38">
        <v>0</v>
      </c>
      <c r="K1183">
        <v>0</v>
      </c>
      <c r="L1183">
        <v>0</v>
      </c>
      <c r="M1183">
        <v>0</v>
      </c>
      <c r="N1183" s="38">
        <v>41.69</v>
      </c>
      <c r="O1183" s="38"/>
      <c r="P1183" s="38" t="s">
        <v>151</v>
      </c>
      <c r="Q1183" s="38"/>
    </row>
    <row r="1184" spans="1:17" x14ac:dyDescent="0.25">
      <c r="A1184" s="39">
        <v>45420</v>
      </c>
      <c r="B1184" s="38" t="s">
        <v>119</v>
      </c>
      <c r="C1184" s="38" t="s">
        <v>6</v>
      </c>
      <c r="D1184" s="38" t="s">
        <v>178</v>
      </c>
      <c r="E1184" s="38" t="s">
        <v>399</v>
      </c>
      <c r="F1184" s="38" t="s">
        <v>192</v>
      </c>
      <c r="G1184" s="38" t="s">
        <v>138</v>
      </c>
      <c r="H1184" s="9" t="s">
        <v>168</v>
      </c>
      <c r="I1184" s="38" t="s">
        <v>58</v>
      </c>
      <c r="J1184" s="38">
        <v>0</v>
      </c>
      <c r="K1184">
        <v>0</v>
      </c>
      <c r="L1184">
        <v>0</v>
      </c>
      <c r="M1184">
        <v>0</v>
      </c>
      <c r="N1184" s="38">
        <v>41.62</v>
      </c>
      <c r="O1184" s="38"/>
      <c r="P1184" s="38" t="s">
        <v>149</v>
      </c>
      <c r="Q1184" s="38"/>
    </row>
    <row r="1185" spans="1:17" x14ac:dyDescent="0.25">
      <c r="A1185" s="39">
        <v>45420</v>
      </c>
      <c r="B1185" s="38" t="s">
        <v>117</v>
      </c>
      <c r="C1185" s="38" t="s">
        <v>6</v>
      </c>
      <c r="D1185" s="38" t="s">
        <v>349</v>
      </c>
      <c r="E1185" s="38" t="s">
        <v>398</v>
      </c>
      <c r="F1185" s="38" t="s">
        <v>90</v>
      </c>
      <c r="G1185" s="38" t="s">
        <v>138</v>
      </c>
      <c r="H1185" s="9" t="s">
        <v>118</v>
      </c>
      <c r="I1185" s="38" t="s">
        <v>58</v>
      </c>
      <c r="J1185" s="38">
        <v>0</v>
      </c>
      <c r="K1185">
        <v>0</v>
      </c>
      <c r="L1185">
        <v>0</v>
      </c>
      <c r="M1185">
        <v>0</v>
      </c>
      <c r="N1185" s="38">
        <v>34.69</v>
      </c>
      <c r="O1185" s="38"/>
      <c r="P1185" s="38" t="s">
        <v>151</v>
      </c>
      <c r="Q1185" s="38"/>
    </row>
    <row r="1186" spans="1:17" x14ac:dyDescent="0.25">
      <c r="A1186" s="39">
        <v>45420</v>
      </c>
      <c r="B1186" s="38" t="s">
        <v>39</v>
      </c>
      <c r="C1186" s="38" t="s">
        <v>6</v>
      </c>
      <c r="D1186" s="38" t="s">
        <v>177</v>
      </c>
      <c r="E1186" s="38" t="s">
        <v>377</v>
      </c>
      <c r="F1186" s="38" t="s">
        <v>90</v>
      </c>
      <c r="G1186" s="38" t="s">
        <v>138</v>
      </c>
      <c r="H1186" s="9" t="s">
        <v>116</v>
      </c>
      <c r="I1186" s="38" t="s">
        <v>58</v>
      </c>
      <c r="J1186" s="38">
        <v>0</v>
      </c>
      <c r="K1186">
        <v>0</v>
      </c>
      <c r="L1186">
        <v>0</v>
      </c>
      <c r="M1186">
        <v>0</v>
      </c>
      <c r="N1186" s="38">
        <v>41.24</v>
      </c>
      <c r="O1186" s="38"/>
      <c r="P1186" s="38" t="s">
        <v>151</v>
      </c>
      <c r="Q1186" s="38"/>
    </row>
    <row r="1187" spans="1:17" x14ac:dyDescent="0.25">
      <c r="A1187" s="39">
        <v>45420</v>
      </c>
      <c r="B1187" s="38" t="s">
        <v>113</v>
      </c>
      <c r="C1187" s="38" t="s">
        <v>6</v>
      </c>
      <c r="D1187" s="38" t="s">
        <v>188</v>
      </c>
      <c r="E1187" s="38" t="s">
        <v>126</v>
      </c>
      <c r="F1187" s="38" t="s">
        <v>199</v>
      </c>
      <c r="G1187" s="38" t="s">
        <v>138</v>
      </c>
      <c r="H1187" s="9" t="s">
        <v>114</v>
      </c>
      <c r="I1187" s="38" t="s">
        <v>58</v>
      </c>
      <c r="J1187" s="38">
        <v>0</v>
      </c>
      <c r="K1187">
        <v>0</v>
      </c>
      <c r="L1187">
        <v>0</v>
      </c>
      <c r="M1187">
        <v>0</v>
      </c>
      <c r="N1187" s="38">
        <v>41.35</v>
      </c>
      <c r="O1187" s="38"/>
      <c r="P1187" s="38" t="s">
        <v>149</v>
      </c>
      <c r="Q1187" s="38"/>
    </row>
    <row r="1188" spans="1:17" x14ac:dyDescent="0.25">
      <c r="A1188" s="39">
        <v>45420</v>
      </c>
      <c r="B1188" s="38" t="s">
        <v>111</v>
      </c>
      <c r="C1188" s="38" t="s">
        <v>6</v>
      </c>
      <c r="D1188" s="38" t="s">
        <v>189</v>
      </c>
      <c r="E1188" s="38" t="s">
        <v>81</v>
      </c>
      <c r="F1188" s="38" t="s">
        <v>285</v>
      </c>
      <c r="G1188" s="38" t="s">
        <v>138</v>
      </c>
      <c r="H1188" s="9" t="s">
        <v>112</v>
      </c>
      <c r="I1188" s="38" t="s">
        <v>58</v>
      </c>
      <c r="J1188" s="38">
        <v>0</v>
      </c>
      <c r="K1188">
        <v>0</v>
      </c>
      <c r="L1188">
        <v>0</v>
      </c>
      <c r="M1188">
        <v>0</v>
      </c>
      <c r="N1188" s="38">
        <v>20.48</v>
      </c>
      <c r="O1188" s="38"/>
      <c r="P1188" s="38" t="s">
        <v>153</v>
      </c>
      <c r="Q1188" s="38"/>
    </row>
    <row r="1189" spans="1:17" x14ac:dyDescent="0.25">
      <c r="A1189" s="39">
        <v>45420</v>
      </c>
      <c r="B1189" s="38" t="s">
        <v>109</v>
      </c>
      <c r="C1189" s="38" t="s">
        <v>6</v>
      </c>
      <c r="D1189" s="38" t="s">
        <v>142</v>
      </c>
      <c r="E1189" s="38" t="s">
        <v>56</v>
      </c>
      <c r="F1189" s="38" t="s">
        <v>199</v>
      </c>
      <c r="G1189" s="38" t="s">
        <v>138</v>
      </c>
      <c r="H1189" s="9" t="s">
        <v>110</v>
      </c>
      <c r="I1189" s="38" t="s">
        <v>58</v>
      </c>
      <c r="J1189" s="38">
        <v>0</v>
      </c>
      <c r="K1189">
        <v>0</v>
      </c>
      <c r="L1189">
        <v>0</v>
      </c>
      <c r="M1189">
        <v>0</v>
      </c>
      <c r="N1189" s="38">
        <v>41.05</v>
      </c>
      <c r="O1189" s="38"/>
      <c r="P1189" s="38" t="s">
        <v>149</v>
      </c>
      <c r="Q1189" s="38"/>
    </row>
    <row r="1190" spans="1:17" x14ac:dyDescent="0.25">
      <c r="A1190" s="39">
        <v>45420</v>
      </c>
      <c r="B1190" s="38" t="s">
        <v>107</v>
      </c>
      <c r="C1190" s="38" t="s">
        <v>6</v>
      </c>
      <c r="D1190" s="38" t="s">
        <v>401</v>
      </c>
      <c r="E1190" s="38" t="s">
        <v>56</v>
      </c>
      <c r="F1190" s="38" t="s">
        <v>93</v>
      </c>
      <c r="G1190" s="38" t="s">
        <v>138</v>
      </c>
      <c r="H1190" s="9" t="s">
        <v>108</v>
      </c>
      <c r="I1190" s="38" t="s">
        <v>58</v>
      </c>
      <c r="J1190" s="38">
        <v>0</v>
      </c>
      <c r="K1190">
        <v>0</v>
      </c>
      <c r="L1190">
        <v>0</v>
      </c>
      <c r="M1190">
        <v>0</v>
      </c>
      <c r="N1190" s="38">
        <v>12.09</v>
      </c>
      <c r="O1190" s="38"/>
      <c r="P1190" s="38" t="s">
        <v>403</v>
      </c>
      <c r="Q1190" s="38"/>
    </row>
    <row r="1191" spans="1:17" x14ac:dyDescent="0.25">
      <c r="A1191" s="39">
        <v>45420</v>
      </c>
      <c r="B1191" s="38" t="s">
        <v>41</v>
      </c>
      <c r="C1191" s="38" t="s">
        <v>6</v>
      </c>
      <c r="D1191" s="38" t="s">
        <v>123</v>
      </c>
      <c r="E1191" s="38" t="s">
        <v>81</v>
      </c>
      <c r="F1191" s="38" t="s">
        <v>285</v>
      </c>
      <c r="G1191" s="38" t="s">
        <v>138</v>
      </c>
      <c r="H1191" s="9" t="s">
        <v>106</v>
      </c>
      <c r="I1191" s="38" t="s">
        <v>58</v>
      </c>
      <c r="J1191" s="38">
        <v>0</v>
      </c>
      <c r="K1191">
        <v>0</v>
      </c>
      <c r="L1191">
        <v>0</v>
      </c>
      <c r="M1191">
        <v>0</v>
      </c>
      <c r="N1191" s="38">
        <v>17.88</v>
      </c>
      <c r="O1191" s="38"/>
      <c r="P1191" s="38" t="s">
        <v>152</v>
      </c>
      <c r="Q1191" s="38"/>
    </row>
    <row r="1192" spans="1:17" x14ac:dyDescent="0.25">
      <c r="A1192" s="39">
        <v>45420</v>
      </c>
      <c r="B1192" s="38" t="s">
        <v>43</v>
      </c>
      <c r="C1192" s="38" t="s">
        <v>6</v>
      </c>
      <c r="D1192" s="38" t="s">
        <v>282</v>
      </c>
      <c r="E1192" s="38" t="s">
        <v>275</v>
      </c>
      <c r="F1192" s="38" t="s">
        <v>276</v>
      </c>
      <c r="G1192" s="38" t="s">
        <v>138</v>
      </c>
      <c r="H1192" s="9" t="s">
        <v>208</v>
      </c>
      <c r="I1192" s="38" t="s">
        <v>58</v>
      </c>
      <c r="J1192" s="38">
        <v>0</v>
      </c>
      <c r="K1192">
        <v>0</v>
      </c>
      <c r="L1192">
        <v>0</v>
      </c>
      <c r="M1192">
        <v>0</v>
      </c>
      <c r="N1192" s="38">
        <v>17.25</v>
      </c>
      <c r="O1192" s="38"/>
      <c r="P1192" s="38" t="s">
        <v>154</v>
      </c>
      <c r="Q1192" s="38"/>
    </row>
    <row r="1193" spans="1:17" x14ac:dyDescent="0.25">
      <c r="A1193" s="39">
        <v>45420</v>
      </c>
      <c r="B1193" s="38" t="s">
        <v>5</v>
      </c>
      <c r="C1193" s="38" t="s">
        <v>6</v>
      </c>
      <c r="D1193" s="38" t="s">
        <v>283</v>
      </c>
      <c r="E1193" s="38" t="s">
        <v>60</v>
      </c>
      <c r="F1193" s="38" t="s">
        <v>285</v>
      </c>
      <c r="G1193" s="38" t="s">
        <v>138</v>
      </c>
      <c r="H1193" s="9" t="s">
        <v>209</v>
      </c>
      <c r="I1193" s="38" t="s">
        <v>58</v>
      </c>
      <c r="J1193" s="38">
        <v>0</v>
      </c>
      <c r="K1193">
        <v>0</v>
      </c>
      <c r="L1193">
        <v>0</v>
      </c>
      <c r="M1193">
        <v>0</v>
      </c>
      <c r="N1193" s="38">
        <v>16.46</v>
      </c>
      <c r="O1193" s="38"/>
      <c r="P1193" s="38" t="s">
        <v>153</v>
      </c>
      <c r="Q1193" s="38"/>
    </row>
    <row r="1194" spans="1:17" x14ac:dyDescent="0.25">
      <c r="A1194" s="39">
        <v>45420</v>
      </c>
      <c r="B1194" s="38" t="s">
        <v>9</v>
      </c>
      <c r="C1194" s="38" t="s">
        <v>6</v>
      </c>
      <c r="D1194" s="38" t="s">
        <v>189</v>
      </c>
      <c r="E1194" s="38" t="s">
        <v>360</v>
      </c>
      <c r="F1194" s="38" t="s">
        <v>276</v>
      </c>
      <c r="G1194" s="38" t="s">
        <v>138</v>
      </c>
      <c r="H1194" s="9" t="s">
        <v>210</v>
      </c>
      <c r="I1194" s="38" t="s">
        <v>58</v>
      </c>
      <c r="J1194" s="38">
        <v>0</v>
      </c>
      <c r="K1194">
        <v>0</v>
      </c>
      <c r="L1194">
        <v>0</v>
      </c>
      <c r="M1194">
        <v>0</v>
      </c>
      <c r="N1194" s="38">
        <v>23.18</v>
      </c>
      <c r="O1194" s="38"/>
      <c r="P1194" s="38" t="s">
        <v>153</v>
      </c>
      <c r="Q1194" s="38"/>
    </row>
    <row r="1195" spans="1:17" x14ac:dyDescent="0.25">
      <c r="A1195" s="39">
        <v>45420</v>
      </c>
      <c r="B1195" s="38" t="s">
        <v>10</v>
      </c>
      <c r="C1195" s="38" t="s">
        <v>6</v>
      </c>
      <c r="D1195" s="38" t="s">
        <v>263</v>
      </c>
      <c r="E1195" s="38" t="s">
        <v>342</v>
      </c>
      <c r="F1195" s="38" t="s">
        <v>90</v>
      </c>
      <c r="G1195" s="38" t="s">
        <v>138</v>
      </c>
      <c r="H1195" s="9" t="s">
        <v>211</v>
      </c>
      <c r="I1195" s="38" t="s">
        <v>58</v>
      </c>
      <c r="J1195" s="38">
        <v>0</v>
      </c>
      <c r="K1195">
        <v>0</v>
      </c>
      <c r="L1195">
        <v>0</v>
      </c>
      <c r="M1195">
        <v>0</v>
      </c>
      <c r="N1195" s="38">
        <v>74.34</v>
      </c>
      <c r="O1195" s="38"/>
      <c r="P1195" s="38" t="s">
        <v>151</v>
      </c>
      <c r="Q1195" s="38"/>
    </row>
    <row r="1196" spans="1:17" x14ac:dyDescent="0.25">
      <c r="A1196" s="39">
        <v>45420</v>
      </c>
      <c r="B1196" s="38" t="s">
        <v>11</v>
      </c>
      <c r="C1196" s="38" t="s">
        <v>6</v>
      </c>
      <c r="D1196" s="38" t="s">
        <v>205</v>
      </c>
      <c r="E1196" s="38" t="s">
        <v>60</v>
      </c>
      <c r="F1196" s="38" t="s">
        <v>93</v>
      </c>
      <c r="G1196" s="38" t="s">
        <v>138</v>
      </c>
      <c r="H1196" s="9" t="s">
        <v>212</v>
      </c>
      <c r="I1196" s="38" t="s">
        <v>58</v>
      </c>
      <c r="J1196" s="38">
        <v>0</v>
      </c>
      <c r="K1196">
        <v>0</v>
      </c>
      <c r="L1196">
        <v>0</v>
      </c>
      <c r="M1196">
        <v>0</v>
      </c>
      <c r="N1196" s="38">
        <v>11.39</v>
      </c>
      <c r="O1196" s="38"/>
      <c r="P1196" s="38" t="s">
        <v>147</v>
      </c>
      <c r="Q1196" s="38"/>
    </row>
    <row r="1197" spans="1:17" x14ac:dyDescent="0.25">
      <c r="A1197" s="39">
        <v>45420</v>
      </c>
      <c r="B1197" s="38" t="s">
        <v>12</v>
      </c>
      <c r="C1197" s="38" t="s">
        <v>6</v>
      </c>
      <c r="D1197" s="38" t="s">
        <v>286</v>
      </c>
      <c r="E1197" s="38" t="s">
        <v>60</v>
      </c>
      <c r="F1197" s="38" t="s">
        <v>285</v>
      </c>
      <c r="G1197" s="38" t="s">
        <v>138</v>
      </c>
      <c r="H1197" s="9" t="s">
        <v>213</v>
      </c>
      <c r="I1197" s="38" t="s">
        <v>58</v>
      </c>
      <c r="J1197" s="38">
        <v>0</v>
      </c>
      <c r="K1197">
        <v>0</v>
      </c>
      <c r="L1197">
        <v>0</v>
      </c>
      <c r="M1197">
        <v>0</v>
      </c>
      <c r="N1197" s="38">
        <v>11.98</v>
      </c>
      <c r="O1197" s="38"/>
      <c r="P1197" s="38" t="s">
        <v>154</v>
      </c>
      <c r="Q1197" s="38"/>
    </row>
    <row r="1198" spans="1:17" x14ac:dyDescent="0.25">
      <c r="A1198" s="39">
        <v>45420</v>
      </c>
      <c r="B1198" s="38" t="s">
        <v>105</v>
      </c>
      <c r="C1198" s="38" t="s">
        <v>6</v>
      </c>
      <c r="D1198" s="38" t="s">
        <v>267</v>
      </c>
      <c r="E1198" s="38" t="s">
        <v>60</v>
      </c>
      <c r="F1198" s="38" t="s">
        <v>93</v>
      </c>
      <c r="G1198" s="38" t="s">
        <v>138</v>
      </c>
      <c r="H1198" s="9" t="s">
        <v>214</v>
      </c>
      <c r="I1198" s="38" t="s">
        <v>58</v>
      </c>
      <c r="J1198" s="38">
        <v>0</v>
      </c>
      <c r="K1198">
        <v>0</v>
      </c>
      <c r="L1198">
        <v>0</v>
      </c>
      <c r="M1198">
        <v>0</v>
      </c>
      <c r="N1198" s="38">
        <v>12.39</v>
      </c>
      <c r="O1198" s="38"/>
      <c r="P1198" s="38" t="s">
        <v>147</v>
      </c>
      <c r="Q1198" s="38"/>
    </row>
    <row r="1199" spans="1:17" x14ac:dyDescent="0.25">
      <c r="A1199" s="39">
        <v>45420</v>
      </c>
      <c r="B1199" s="38" t="s">
        <v>104</v>
      </c>
      <c r="C1199" s="38" t="s">
        <v>6</v>
      </c>
      <c r="D1199" s="38" t="s">
        <v>143</v>
      </c>
      <c r="E1199" s="38" t="s">
        <v>60</v>
      </c>
      <c r="F1199" s="38" t="s">
        <v>285</v>
      </c>
      <c r="G1199" s="38" t="s">
        <v>138</v>
      </c>
      <c r="H1199" s="9" t="s">
        <v>215</v>
      </c>
      <c r="I1199" s="38" t="s">
        <v>58</v>
      </c>
      <c r="J1199" s="38">
        <v>0</v>
      </c>
      <c r="K1199">
        <v>0</v>
      </c>
      <c r="L1199">
        <v>0</v>
      </c>
      <c r="M1199">
        <v>0</v>
      </c>
      <c r="N1199" s="38">
        <v>13.96</v>
      </c>
      <c r="O1199" s="38"/>
      <c r="P1199" s="38" t="s">
        <v>154</v>
      </c>
      <c r="Q1199" s="38"/>
    </row>
    <row r="1200" spans="1:17" x14ac:dyDescent="0.25">
      <c r="A1200" s="39">
        <v>45420</v>
      </c>
      <c r="B1200" s="38" t="s">
        <v>13</v>
      </c>
      <c r="C1200" s="38" t="s">
        <v>6</v>
      </c>
      <c r="D1200" s="38" t="s">
        <v>350</v>
      </c>
      <c r="E1200" s="38" t="s">
        <v>60</v>
      </c>
      <c r="F1200" s="38" t="s">
        <v>93</v>
      </c>
      <c r="G1200" s="38" t="s">
        <v>138</v>
      </c>
      <c r="H1200" s="9" t="s">
        <v>216</v>
      </c>
      <c r="I1200" s="38" t="s">
        <v>58</v>
      </c>
      <c r="J1200" s="38">
        <v>0</v>
      </c>
      <c r="K1200">
        <v>0</v>
      </c>
      <c r="L1200">
        <v>0</v>
      </c>
      <c r="M1200">
        <v>0</v>
      </c>
      <c r="N1200" s="38">
        <v>12.4</v>
      </c>
      <c r="O1200" s="38"/>
      <c r="P1200" s="38" t="s">
        <v>147</v>
      </c>
      <c r="Q1200" s="38"/>
    </row>
    <row r="1201" spans="1:17" x14ac:dyDescent="0.25">
      <c r="A1201" s="39">
        <v>45420</v>
      </c>
      <c r="B1201" s="38" t="s">
        <v>103</v>
      </c>
      <c r="C1201" s="38" t="s">
        <v>6</v>
      </c>
      <c r="D1201" s="38" t="s">
        <v>179</v>
      </c>
      <c r="E1201" s="38" t="s">
        <v>81</v>
      </c>
      <c r="F1201" s="38" t="s">
        <v>90</v>
      </c>
      <c r="G1201" s="38" t="s">
        <v>138</v>
      </c>
      <c r="H1201" s="9" t="s">
        <v>217</v>
      </c>
      <c r="I1201" s="38" t="s">
        <v>65</v>
      </c>
      <c r="J1201" s="38">
        <v>0</v>
      </c>
      <c r="K1201">
        <v>0</v>
      </c>
      <c r="L1201">
        <v>0</v>
      </c>
      <c r="M1201">
        <v>0</v>
      </c>
      <c r="N1201" s="38">
        <v>41.9</v>
      </c>
      <c r="O1201" s="38"/>
      <c r="P1201" s="38" t="s">
        <v>187</v>
      </c>
      <c r="Q1201" s="38"/>
    </row>
    <row r="1202" spans="1:17" x14ac:dyDescent="0.25">
      <c r="A1202" s="39">
        <v>45420</v>
      </c>
      <c r="B1202" s="38" t="s">
        <v>101</v>
      </c>
      <c r="C1202" s="38" t="s">
        <v>6</v>
      </c>
      <c r="D1202" s="38" t="s">
        <v>405</v>
      </c>
      <c r="E1202" s="38" t="s">
        <v>81</v>
      </c>
      <c r="F1202" s="38" t="s">
        <v>285</v>
      </c>
      <c r="G1202" s="38" t="s">
        <v>138</v>
      </c>
      <c r="H1202" s="9" t="s">
        <v>102</v>
      </c>
      <c r="I1202" s="38" t="s">
        <v>58</v>
      </c>
      <c r="J1202" s="38">
        <v>0</v>
      </c>
      <c r="K1202">
        <v>0</v>
      </c>
      <c r="L1202">
        <v>0</v>
      </c>
      <c r="M1202">
        <v>0</v>
      </c>
      <c r="N1202" s="38">
        <v>19.600000000000001</v>
      </c>
      <c r="O1202" s="38"/>
      <c r="P1202" s="38" t="s">
        <v>151</v>
      </c>
      <c r="Q1202" s="38"/>
    </row>
    <row r="1203" spans="1:17" x14ac:dyDescent="0.25">
      <c r="A1203" s="39">
        <v>45420</v>
      </c>
      <c r="B1203" s="38" t="s">
        <v>99</v>
      </c>
      <c r="C1203" s="38" t="s">
        <v>6</v>
      </c>
      <c r="D1203" s="38" t="s">
        <v>249</v>
      </c>
      <c r="E1203" s="38" t="s">
        <v>81</v>
      </c>
      <c r="F1203" s="38" t="s">
        <v>90</v>
      </c>
      <c r="G1203" s="38" t="s">
        <v>138</v>
      </c>
      <c r="H1203" s="9" t="s">
        <v>100</v>
      </c>
      <c r="I1203" s="38"/>
      <c r="J1203" s="38">
        <v>0</v>
      </c>
      <c r="K1203">
        <v>0</v>
      </c>
      <c r="L1203">
        <v>0</v>
      </c>
      <c r="M1203">
        <v>0</v>
      </c>
      <c r="N1203" s="38">
        <v>41.83</v>
      </c>
      <c r="O1203" s="38"/>
      <c r="P1203" s="38" t="s">
        <v>152</v>
      </c>
      <c r="Q1203" s="38"/>
    </row>
    <row r="1204" spans="1:17" x14ac:dyDescent="0.25">
      <c r="A1204" s="39">
        <v>45420</v>
      </c>
      <c r="B1204" s="38" t="s">
        <v>97</v>
      </c>
      <c r="C1204" s="38" t="s">
        <v>6</v>
      </c>
      <c r="D1204" s="38" t="s">
        <v>288</v>
      </c>
      <c r="E1204" s="38" t="s">
        <v>352</v>
      </c>
      <c r="F1204" s="38" t="s">
        <v>285</v>
      </c>
      <c r="G1204" s="38" t="s">
        <v>138</v>
      </c>
      <c r="H1204" s="9" t="s">
        <v>98</v>
      </c>
      <c r="I1204" s="38" t="s">
        <v>58</v>
      </c>
      <c r="J1204" s="38">
        <v>0</v>
      </c>
      <c r="K1204">
        <v>0</v>
      </c>
      <c r="L1204">
        <v>0</v>
      </c>
      <c r="M1204">
        <v>0</v>
      </c>
      <c r="N1204" s="38">
        <v>22.49</v>
      </c>
      <c r="O1204" s="38"/>
      <c r="P1204" s="38" t="s">
        <v>148</v>
      </c>
      <c r="Q1204" s="38"/>
    </row>
    <row r="1205" spans="1:17" x14ac:dyDescent="0.25">
      <c r="A1205" s="39">
        <v>45420</v>
      </c>
      <c r="B1205" s="38" t="s">
        <v>95</v>
      </c>
      <c r="C1205" s="38" t="s">
        <v>6</v>
      </c>
      <c r="D1205" s="38" t="s">
        <v>181</v>
      </c>
      <c r="E1205" s="38" t="s">
        <v>81</v>
      </c>
      <c r="F1205" s="38" t="s">
        <v>90</v>
      </c>
      <c r="G1205" s="38" t="s">
        <v>138</v>
      </c>
      <c r="H1205" s="9" t="s">
        <v>96</v>
      </c>
      <c r="I1205" s="38" t="s">
        <v>65</v>
      </c>
      <c r="J1205" s="38">
        <v>0</v>
      </c>
      <c r="K1205">
        <v>0</v>
      </c>
      <c r="L1205">
        <v>0</v>
      </c>
      <c r="M1205">
        <v>0</v>
      </c>
      <c r="N1205" s="38">
        <v>20.38</v>
      </c>
      <c r="O1205" s="38"/>
      <c r="P1205" s="38" t="s">
        <v>152</v>
      </c>
      <c r="Q1205" s="38"/>
    </row>
    <row r="1206" spans="1:17" x14ac:dyDescent="0.25">
      <c r="A1206" s="39">
        <v>45420</v>
      </c>
      <c r="B1206" s="38" t="s">
        <v>14</v>
      </c>
      <c r="C1206" s="38" t="s">
        <v>6</v>
      </c>
      <c r="D1206" s="38" t="s">
        <v>289</v>
      </c>
      <c r="E1206" s="38" t="s">
        <v>352</v>
      </c>
      <c r="F1206" s="38" t="s">
        <v>285</v>
      </c>
      <c r="G1206" s="38" t="s">
        <v>138</v>
      </c>
      <c r="H1206" s="9" t="s">
        <v>94</v>
      </c>
      <c r="I1206" s="38" t="s">
        <v>58</v>
      </c>
      <c r="J1206" s="38">
        <v>0</v>
      </c>
      <c r="K1206">
        <v>0</v>
      </c>
      <c r="L1206">
        <v>0</v>
      </c>
      <c r="M1206">
        <v>0</v>
      </c>
      <c r="N1206" s="38">
        <v>25.88</v>
      </c>
      <c r="O1206" s="38"/>
      <c r="P1206" s="38" t="s">
        <v>151</v>
      </c>
      <c r="Q1206" s="38"/>
    </row>
    <row r="1207" spans="1:17" x14ac:dyDescent="0.25">
      <c r="A1207" s="39">
        <v>45420</v>
      </c>
      <c r="B1207" s="38" t="s">
        <v>91</v>
      </c>
      <c r="C1207" s="38" t="s">
        <v>6</v>
      </c>
      <c r="D1207" s="38" t="s">
        <v>180</v>
      </c>
      <c r="E1207" s="38" t="s">
        <v>81</v>
      </c>
      <c r="F1207" s="38" t="s">
        <v>90</v>
      </c>
      <c r="G1207" s="38" t="s">
        <v>138</v>
      </c>
      <c r="H1207" s="9" t="s">
        <v>92</v>
      </c>
      <c r="I1207" s="38"/>
      <c r="J1207" s="38">
        <v>0</v>
      </c>
      <c r="K1207">
        <v>0</v>
      </c>
      <c r="L1207">
        <v>0</v>
      </c>
      <c r="M1207">
        <v>0</v>
      </c>
      <c r="N1207" s="38">
        <v>16.73</v>
      </c>
      <c r="O1207" s="38"/>
      <c r="P1207" s="38" t="s">
        <v>148</v>
      </c>
      <c r="Q1207" s="38"/>
    </row>
    <row r="1208" spans="1:17" x14ac:dyDescent="0.25">
      <c r="A1208" s="39">
        <v>45420</v>
      </c>
      <c r="B1208" s="38" t="s">
        <v>15</v>
      </c>
      <c r="C1208" s="38" t="s">
        <v>6</v>
      </c>
      <c r="D1208" s="38" t="s">
        <v>140</v>
      </c>
      <c r="E1208" s="38" t="s">
        <v>81</v>
      </c>
      <c r="F1208" s="38" t="s">
        <v>285</v>
      </c>
      <c r="G1208" s="38" t="s">
        <v>138</v>
      </c>
      <c r="H1208" s="9" t="s">
        <v>218</v>
      </c>
      <c r="I1208" s="38" t="s">
        <v>58</v>
      </c>
      <c r="J1208" s="38">
        <v>0</v>
      </c>
      <c r="K1208">
        <v>0</v>
      </c>
      <c r="L1208">
        <v>0</v>
      </c>
      <c r="M1208">
        <v>0</v>
      </c>
      <c r="N1208" s="38">
        <v>20.190000000000001</v>
      </c>
      <c r="O1208" s="38"/>
      <c r="P1208" s="38" t="s">
        <v>148</v>
      </c>
      <c r="Q1208" s="38"/>
    </row>
    <row r="1209" spans="1:17" x14ac:dyDescent="0.25">
      <c r="A1209" s="39">
        <v>45420</v>
      </c>
      <c r="B1209" s="38" t="s">
        <v>89</v>
      </c>
      <c r="C1209" s="38" t="s">
        <v>6</v>
      </c>
      <c r="D1209" s="38" t="s">
        <v>176</v>
      </c>
      <c r="E1209" s="38" t="s">
        <v>398</v>
      </c>
      <c r="F1209" s="38" t="s">
        <v>90</v>
      </c>
      <c r="G1209" s="38" t="s">
        <v>138</v>
      </c>
      <c r="H1209" s="9" t="s">
        <v>219</v>
      </c>
      <c r="I1209" s="38" t="s">
        <v>65</v>
      </c>
      <c r="J1209" s="38">
        <v>0</v>
      </c>
      <c r="K1209">
        <v>0</v>
      </c>
      <c r="L1209">
        <v>0</v>
      </c>
      <c r="M1209">
        <v>0</v>
      </c>
      <c r="N1209" s="38">
        <v>17.670000000000002</v>
      </c>
      <c r="O1209" s="38"/>
      <c r="P1209" s="38" t="s">
        <v>186</v>
      </c>
      <c r="Q1209" s="38"/>
    </row>
    <row r="1210" spans="1:17" x14ac:dyDescent="0.25">
      <c r="A1210" s="39">
        <v>45420</v>
      </c>
      <c r="B1210" s="38" t="s">
        <v>16</v>
      </c>
      <c r="C1210" s="38" t="s">
        <v>6</v>
      </c>
      <c r="D1210" s="38" t="s">
        <v>407</v>
      </c>
      <c r="E1210" s="38" t="s">
        <v>360</v>
      </c>
      <c r="F1210" s="38" t="s">
        <v>253</v>
      </c>
      <c r="G1210" s="38" t="s">
        <v>138</v>
      </c>
      <c r="H1210" s="9" t="s">
        <v>220</v>
      </c>
      <c r="I1210" s="38" t="s">
        <v>58</v>
      </c>
      <c r="J1210" s="38">
        <v>0</v>
      </c>
      <c r="K1210">
        <v>0</v>
      </c>
      <c r="L1210">
        <v>0</v>
      </c>
      <c r="M1210">
        <v>0</v>
      </c>
      <c r="N1210" s="38">
        <v>21.19</v>
      </c>
      <c r="O1210" s="38"/>
      <c r="P1210" s="38" t="s">
        <v>151</v>
      </c>
      <c r="Q1210" s="38"/>
    </row>
    <row r="1211" spans="1:17" x14ac:dyDescent="0.25">
      <c r="A1211" s="39">
        <v>45420</v>
      </c>
      <c r="B1211" s="38" t="s">
        <v>88</v>
      </c>
      <c r="C1211" s="38" t="s">
        <v>6</v>
      </c>
      <c r="D1211" s="38" t="s">
        <v>311</v>
      </c>
      <c r="E1211" s="38" t="s">
        <v>60</v>
      </c>
      <c r="F1211" s="38" t="s">
        <v>253</v>
      </c>
      <c r="G1211" s="38" t="s">
        <v>138</v>
      </c>
      <c r="H1211" s="9" t="s">
        <v>221</v>
      </c>
      <c r="I1211" s="38"/>
      <c r="J1211" s="38">
        <v>0</v>
      </c>
      <c r="K1211">
        <v>0</v>
      </c>
      <c r="L1211">
        <v>0</v>
      </c>
      <c r="M1211">
        <v>0</v>
      </c>
      <c r="N1211" s="38">
        <v>38.44</v>
      </c>
      <c r="O1211" s="38"/>
      <c r="P1211" s="38" t="s">
        <v>154</v>
      </c>
      <c r="Q1211" s="38"/>
    </row>
    <row r="1212" spans="1:17" x14ac:dyDescent="0.25">
      <c r="A1212" s="39">
        <v>45420</v>
      </c>
      <c r="B1212" s="38" t="s">
        <v>17</v>
      </c>
      <c r="C1212" s="38" t="s">
        <v>6</v>
      </c>
      <c r="D1212" s="38" t="s">
        <v>272</v>
      </c>
      <c r="E1212" s="38" t="s">
        <v>275</v>
      </c>
      <c r="F1212" s="38" t="s">
        <v>276</v>
      </c>
      <c r="G1212" s="38" t="s">
        <v>138</v>
      </c>
      <c r="H1212" s="9" t="s">
        <v>222</v>
      </c>
      <c r="I1212" s="38" t="s">
        <v>58</v>
      </c>
      <c r="J1212" s="38">
        <v>0</v>
      </c>
      <c r="K1212">
        <v>0</v>
      </c>
      <c r="L1212">
        <v>0</v>
      </c>
      <c r="M1212">
        <v>0</v>
      </c>
      <c r="N1212" s="38">
        <v>20.56</v>
      </c>
      <c r="O1212" s="38"/>
      <c r="P1212" s="38" t="s">
        <v>151</v>
      </c>
      <c r="Q1212" s="38"/>
    </row>
    <row r="1213" spans="1:17" x14ac:dyDescent="0.25">
      <c r="A1213" s="39">
        <v>45420</v>
      </c>
      <c r="B1213" s="38" t="s">
        <v>19</v>
      </c>
      <c r="C1213" s="38" t="s">
        <v>6</v>
      </c>
      <c r="D1213" s="38" t="s">
        <v>343</v>
      </c>
      <c r="E1213" s="38" t="s">
        <v>81</v>
      </c>
      <c r="F1213" s="38" t="s">
        <v>253</v>
      </c>
      <c r="G1213" s="38" t="s">
        <v>138</v>
      </c>
      <c r="H1213" s="9" t="s">
        <v>223</v>
      </c>
      <c r="I1213" s="38" t="s">
        <v>65</v>
      </c>
      <c r="J1213" s="38">
        <v>0</v>
      </c>
      <c r="K1213">
        <v>0</v>
      </c>
      <c r="L1213">
        <v>0</v>
      </c>
      <c r="M1213">
        <v>0</v>
      </c>
      <c r="N1213" s="38">
        <v>41.06</v>
      </c>
      <c r="O1213" s="38"/>
      <c r="P1213" s="38" t="s">
        <v>151</v>
      </c>
      <c r="Q1213" s="38"/>
    </row>
    <row r="1214" spans="1:17" x14ac:dyDescent="0.25">
      <c r="A1214" s="39">
        <v>45420</v>
      </c>
      <c r="B1214" s="38" t="s">
        <v>18</v>
      </c>
      <c r="C1214" s="38" t="s">
        <v>6</v>
      </c>
      <c r="D1214" s="38" t="s">
        <v>268</v>
      </c>
      <c r="E1214" s="38" t="s">
        <v>408</v>
      </c>
      <c r="F1214" s="38" t="s">
        <v>253</v>
      </c>
      <c r="G1214" s="38" t="s">
        <v>138</v>
      </c>
      <c r="H1214" s="9" t="s">
        <v>224</v>
      </c>
      <c r="I1214" s="38" t="s">
        <v>58</v>
      </c>
      <c r="J1214" s="38">
        <v>0</v>
      </c>
      <c r="K1214">
        <v>0</v>
      </c>
      <c r="L1214">
        <v>0</v>
      </c>
      <c r="M1214">
        <v>0</v>
      </c>
      <c r="N1214" s="38">
        <v>18.89</v>
      </c>
      <c r="O1214" s="38"/>
      <c r="P1214" s="38" t="s">
        <v>148</v>
      </c>
      <c r="Q1214" s="38"/>
    </row>
    <row r="1215" spans="1:17" x14ac:dyDescent="0.25">
      <c r="A1215" s="39">
        <v>45420</v>
      </c>
      <c r="B1215" s="38" t="s">
        <v>87</v>
      </c>
      <c r="C1215" s="38" t="s">
        <v>6</v>
      </c>
      <c r="D1215" s="38"/>
      <c r="E1215" s="38"/>
      <c r="F1215" s="38"/>
      <c r="G1215" s="38" t="s">
        <v>138</v>
      </c>
      <c r="H1215" s="9" t="s">
        <v>225</v>
      </c>
      <c r="I1215" s="38"/>
      <c r="J1215" s="38">
        <v>0</v>
      </c>
      <c r="K1215">
        <v>0</v>
      </c>
      <c r="L1215">
        <v>0</v>
      </c>
      <c r="M1215">
        <v>0</v>
      </c>
      <c r="N1215" s="38">
        <v>41146219</v>
      </c>
      <c r="O1215" s="38"/>
      <c r="P1215" s="38"/>
      <c r="Q1215" s="38"/>
    </row>
    <row r="1216" spans="1:17" x14ac:dyDescent="0.25">
      <c r="A1216" s="39">
        <v>45420</v>
      </c>
      <c r="B1216" s="38" t="s">
        <v>42</v>
      </c>
      <c r="C1216" s="38" t="s">
        <v>6</v>
      </c>
      <c r="D1216" s="38" t="s">
        <v>246</v>
      </c>
      <c r="E1216" s="38" t="s">
        <v>81</v>
      </c>
      <c r="F1216" s="38" t="s">
        <v>285</v>
      </c>
      <c r="G1216" s="38" t="s">
        <v>138</v>
      </c>
      <c r="H1216" s="9" t="s">
        <v>226</v>
      </c>
      <c r="I1216" s="38" t="s">
        <v>58</v>
      </c>
      <c r="J1216" s="38">
        <v>0</v>
      </c>
      <c r="K1216">
        <v>0</v>
      </c>
      <c r="L1216">
        <v>0</v>
      </c>
      <c r="M1216">
        <v>0</v>
      </c>
      <c r="N1216" s="38">
        <v>20.7</v>
      </c>
      <c r="O1216" s="38"/>
      <c r="P1216" s="38" t="s">
        <v>148</v>
      </c>
      <c r="Q1216" s="38"/>
    </row>
    <row r="1217" spans="1:17" x14ac:dyDescent="0.25">
      <c r="A1217" s="39">
        <v>45420</v>
      </c>
      <c r="B1217" s="38" t="s">
        <v>86</v>
      </c>
      <c r="C1217" s="38" t="s">
        <v>6</v>
      </c>
      <c r="D1217" s="38" t="s">
        <v>271</v>
      </c>
      <c r="E1217" s="38" t="s">
        <v>275</v>
      </c>
      <c r="F1217" s="38" t="s">
        <v>276</v>
      </c>
      <c r="G1217" s="38" t="s">
        <v>138</v>
      </c>
      <c r="H1217" s="9" t="s">
        <v>227</v>
      </c>
      <c r="I1217" s="38" t="s">
        <v>65</v>
      </c>
      <c r="J1217" s="38">
        <v>0</v>
      </c>
      <c r="K1217">
        <v>0</v>
      </c>
      <c r="L1217">
        <v>0</v>
      </c>
      <c r="M1217">
        <v>0</v>
      </c>
      <c r="N1217" s="38">
        <v>41.64</v>
      </c>
      <c r="O1217" s="38"/>
      <c r="P1217" s="38" t="s">
        <v>152</v>
      </c>
      <c r="Q1217" s="38"/>
    </row>
    <row r="1218" spans="1:17" x14ac:dyDescent="0.25">
      <c r="A1218" s="39">
        <v>45420</v>
      </c>
      <c r="B1218" s="38" t="s">
        <v>38</v>
      </c>
      <c r="C1218" s="38" t="s">
        <v>6</v>
      </c>
      <c r="D1218" s="38" t="s">
        <v>141</v>
      </c>
      <c r="E1218" s="38" t="s">
        <v>81</v>
      </c>
      <c r="F1218" s="38" t="s">
        <v>285</v>
      </c>
      <c r="G1218" s="38" t="s">
        <v>138</v>
      </c>
      <c r="H1218" s="9" t="s">
        <v>85</v>
      </c>
      <c r="I1218" s="38" t="s">
        <v>58</v>
      </c>
      <c r="J1218" s="38">
        <v>0</v>
      </c>
      <c r="K1218">
        <v>0</v>
      </c>
      <c r="L1218">
        <v>0</v>
      </c>
      <c r="M1218">
        <v>0</v>
      </c>
      <c r="N1218" s="38">
        <v>37.5</v>
      </c>
      <c r="O1218" s="38"/>
      <c r="P1218" s="38" t="s">
        <v>151</v>
      </c>
      <c r="Q1218" s="38"/>
    </row>
    <row r="1219" spans="1:17" x14ac:dyDescent="0.25">
      <c r="A1219" s="39">
        <v>45420</v>
      </c>
      <c r="B1219" s="38" t="s">
        <v>83</v>
      </c>
      <c r="C1219" s="38" t="s">
        <v>6</v>
      </c>
      <c r="D1219" s="38"/>
      <c r="E1219" s="38"/>
      <c r="F1219" s="38"/>
      <c r="G1219" s="38" t="s">
        <v>138</v>
      </c>
      <c r="H1219" s="9" t="s">
        <v>84</v>
      </c>
      <c r="I1219" s="38"/>
      <c r="J1219" s="38">
        <v>0</v>
      </c>
      <c r="K1219">
        <v>0</v>
      </c>
      <c r="L1219">
        <v>0</v>
      </c>
      <c r="M1219">
        <v>0</v>
      </c>
      <c r="N1219" s="38">
        <v>41.36</v>
      </c>
      <c r="O1219" s="38"/>
      <c r="P1219" s="38"/>
      <c r="Q1219" s="38"/>
    </row>
    <row r="1220" spans="1:17" x14ac:dyDescent="0.25">
      <c r="A1220" s="39">
        <v>45420</v>
      </c>
      <c r="B1220" s="38" t="s">
        <v>20</v>
      </c>
      <c r="C1220" s="38" t="s">
        <v>6</v>
      </c>
      <c r="D1220" s="38" t="s">
        <v>351</v>
      </c>
      <c r="E1220" s="38" t="s">
        <v>352</v>
      </c>
      <c r="F1220" s="38" t="s">
        <v>285</v>
      </c>
      <c r="G1220" s="38" t="s">
        <v>138</v>
      </c>
      <c r="H1220" s="9" t="s">
        <v>82</v>
      </c>
      <c r="I1220" s="38" t="s">
        <v>58</v>
      </c>
      <c r="J1220" s="38">
        <v>0</v>
      </c>
      <c r="K1220">
        <v>0</v>
      </c>
      <c r="L1220">
        <v>0</v>
      </c>
      <c r="M1220">
        <v>0</v>
      </c>
      <c r="N1220" s="38">
        <v>22.79</v>
      </c>
      <c r="O1220" s="38"/>
      <c r="P1220" s="38" t="s">
        <v>151</v>
      </c>
      <c r="Q1220" s="38"/>
    </row>
    <row r="1221" spans="1:17" x14ac:dyDescent="0.25">
      <c r="A1221" s="39">
        <v>45420</v>
      </c>
      <c r="B1221" s="38" t="s">
        <v>21</v>
      </c>
      <c r="C1221" s="38" t="s">
        <v>6</v>
      </c>
      <c r="D1221" s="38" t="s">
        <v>291</v>
      </c>
      <c r="E1221" s="38" t="s">
        <v>352</v>
      </c>
      <c r="F1221" s="38" t="s">
        <v>285</v>
      </c>
      <c r="G1221" s="38" t="s">
        <v>138</v>
      </c>
      <c r="H1221" s="9" t="s">
        <v>80</v>
      </c>
      <c r="I1221" s="38" t="s">
        <v>65</v>
      </c>
      <c r="J1221" s="38">
        <v>0</v>
      </c>
      <c r="K1221">
        <v>0</v>
      </c>
      <c r="L1221">
        <v>0</v>
      </c>
      <c r="M1221">
        <v>0</v>
      </c>
      <c r="N1221" s="38">
        <v>21.59</v>
      </c>
      <c r="O1221" s="38"/>
      <c r="P1221" s="38" t="s">
        <v>152</v>
      </c>
      <c r="Q1221" s="38"/>
    </row>
    <row r="1222" spans="1:17" x14ac:dyDescent="0.25">
      <c r="A1222" s="39">
        <v>45420</v>
      </c>
      <c r="B1222" s="38" t="s">
        <v>22</v>
      </c>
      <c r="C1222" s="38" t="s">
        <v>6</v>
      </c>
      <c r="D1222" s="38" t="s">
        <v>353</v>
      </c>
      <c r="E1222" s="38" t="s">
        <v>352</v>
      </c>
      <c r="F1222" s="38" t="s">
        <v>285</v>
      </c>
      <c r="G1222" s="38" t="s">
        <v>138</v>
      </c>
      <c r="H1222" s="9" t="s">
        <v>79</v>
      </c>
      <c r="I1222" s="38" t="s">
        <v>58</v>
      </c>
      <c r="J1222" s="38">
        <v>0</v>
      </c>
      <c r="K1222">
        <v>0</v>
      </c>
      <c r="L1222">
        <v>0</v>
      </c>
      <c r="M1222">
        <v>0</v>
      </c>
      <c r="N1222" s="38">
        <v>13.62</v>
      </c>
      <c r="O1222" s="38"/>
      <c r="P1222" s="38" t="s">
        <v>148</v>
      </c>
      <c r="Q1222" s="38"/>
    </row>
    <row r="1223" spans="1:17" x14ac:dyDescent="0.25">
      <c r="A1223" s="39">
        <v>45420</v>
      </c>
      <c r="B1223" s="38" t="s">
        <v>77</v>
      </c>
      <c r="C1223" s="38" t="s">
        <v>6</v>
      </c>
      <c r="D1223" s="38"/>
      <c r="E1223" s="38"/>
      <c r="F1223" s="38"/>
      <c r="G1223" s="38" t="s">
        <v>138</v>
      </c>
      <c r="H1223" s="9" t="s">
        <v>78</v>
      </c>
      <c r="I1223" s="38"/>
      <c r="J1223" s="38">
        <v>0</v>
      </c>
      <c r="K1223">
        <v>0</v>
      </c>
      <c r="L1223">
        <v>0</v>
      </c>
      <c r="M1223">
        <v>0</v>
      </c>
      <c r="N1223" s="38">
        <v>17.88</v>
      </c>
      <c r="O1223" s="38"/>
      <c r="P1223" s="38"/>
      <c r="Q1223" s="38"/>
    </row>
    <row r="1224" spans="1:17" x14ac:dyDescent="0.25">
      <c r="A1224" s="39">
        <v>45420</v>
      </c>
      <c r="B1224" s="38" t="s">
        <v>23</v>
      </c>
      <c r="C1224" s="38" t="s">
        <v>6</v>
      </c>
      <c r="D1224" s="38" t="s">
        <v>409</v>
      </c>
      <c r="E1224" s="38" t="s">
        <v>352</v>
      </c>
      <c r="F1224" s="38" t="s">
        <v>285</v>
      </c>
      <c r="G1224" s="38" t="s">
        <v>138</v>
      </c>
      <c r="H1224" s="9" t="s">
        <v>228</v>
      </c>
      <c r="I1224" s="38" t="s">
        <v>58</v>
      </c>
      <c r="J1224" s="38">
        <v>0</v>
      </c>
      <c r="K1224">
        <v>0</v>
      </c>
      <c r="L1224">
        <v>0</v>
      </c>
      <c r="M1224">
        <v>0</v>
      </c>
      <c r="N1224" s="38">
        <v>23.22</v>
      </c>
      <c r="O1224" s="38"/>
      <c r="P1224" s="38" t="s">
        <v>148</v>
      </c>
      <c r="Q1224" s="38"/>
    </row>
    <row r="1225" spans="1:17" x14ac:dyDescent="0.25">
      <c r="A1225" s="39">
        <v>45420</v>
      </c>
      <c r="B1225" s="38" t="s">
        <v>24</v>
      </c>
      <c r="C1225" s="38" t="s">
        <v>6</v>
      </c>
      <c r="D1225" s="38" t="s">
        <v>344</v>
      </c>
      <c r="E1225" s="38" t="s">
        <v>379</v>
      </c>
      <c r="F1225" s="38" t="s">
        <v>253</v>
      </c>
      <c r="G1225" s="38" t="s">
        <v>138</v>
      </c>
      <c r="H1225" s="9" t="s">
        <v>229</v>
      </c>
      <c r="I1225" s="38" t="s">
        <v>65</v>
      </c>
      <c r="J1225" s="38">
        <v>0</v>
      </c>
      <c r="K1225">
        <v>0</v>
      </c>
      <c r="L1225">
        <v>0</v>
      </c>
      <c r="M1225">
        <v>0</v>
      </c>
      <c r="N1225" s="38">
        <v>18.37</v>
      </c>
      <c r="O1225" s="38"/>
      <c r="P1225" s="38" t="s">
        <v>152</v>
      </c>
      <c r="Q1225" s="38"/>
    </row>
    <row r="1226" spans="1:17" x14ac:dyDescent="0.25">
      <c r="A1226" s="39">
        <v>45420</v>
      </c>
      <c r="B1226" s="38" t="s">
        <v>75</v>
      </c>
      <c r="C1226" s="38" t="s">
        <v>6</v>
      </c>
      <c r="D1226" s="38" t="s">
        <v>410</v>
      </c>
      <c r="E1226" s="38" t="s">
        <v>202</v>
      </c>
      <c r="F1226" s="38" t="s">
        <v>346</v>
      </c>
      <c r="G1226" s="38" t="s">
        <v>138</v>
      </c>
      <c r="H1226" s="9" t="s">
        <v>230</v>
      </c>
      <c r="I1226" s="38" t="s">
        <v>58</v>
      </c>
      <c r="J1226" s="38">
        <v>0</v>
      </c>
      <c r="K1226">
        <v>0</v>
      </c>
      <c r="L1226">
        <v>0</v>
      </c>
      <c r="M1226">
        <v>0</v>
      </c>
      <c r="N1226" s="38">
        <v>12.9</v>
      </c>
      <c r="O1226" s="38"/>
      <c r="P1226" s="38" t="s">
        <v>303</v>
      </c>
      <c r="Q1226" s="38"/>
    </row>
    <row r="1227" spans="1:17" x14ac:dyDescent="0.25">
      <c r="A1227" s="39">
        <v>45420</v>
      </c>
      <c r="B1227" s="38" t="s">
        <v>25</v>
      </c>
      <c r="C1227" s="38" t="s">
        <v>6</v>
      </c>
      <c r="D1227" s="38" t="s">
        <v>383</v>
      </c>
      <c r="E1227" s="38" t="s">
        <v>81</v>
      </c>
      <c r="F1227" s="38" t="s">
        <v>285</v>
      </c>
      <c r="G1227" s="38" t="s">
        <v>138</v>
      </c>
      <c r="H1227" s="9" t="s">
        <v>231</v>
      </c>
      <c r="I1227" s="38" t="s">
        <v>65</v>
      </c>
      <c r="J1227" s="38">
        <v>0</v>
      </c>
      <c r="K1227">
        <v>0</v>
      </c>
      <c r="L1227">
        <v>0</v>
      </c>
      <c r="M1227">
        <v>0</v>
      </c>
      <c r="N1227" s="38">
        <v>12.16</v>
      </c>
      <c r="O1227" s="38"/>
      <c r="P1227" s="38" t="s">
        <v>148</v>
      </c>
      <c r="Q1227" s="38"/>
    </row>
    <row r="1228" spans="1:17" x14ac:dyDescent="0.25">
      <c r="A1228" s="39">
        <v>45420</v>
      </c>
      <c r="B1228" s="38" t="s">
        <v>74</v>
      </c>
      <c r="C1228" s="38" t="s">
        <v>6</v>
      </c>
      <c r="D1228" s="38" t="s">
        <v>292</v>
      </c>
      <c r="E1228" s="38" t="s">
        <v>60</v>
      </c>
      <c r="F1228" s="38" t="s">
        <v>346</v>
      </c>
      <c r="G1228" s="38" t="s">
        <v>138</v>
      </c>
      <c r="H1228" s="9" t="s">
        <v>232</v>
      </c>
      <c r="I1228" s="38" t="s">
        <v>58</v>
      </c>
      <c r="J1228" s="38">
        <v>0</v>
      </c>
      <c r="K1228">
        <v>0</v>
      </c>
      <c r="L1228">
        <v>0</v>
      </c>
      <c r="M1228">
        <v>0</v>
      </c>
      <c r="N1228" s="38">
        <v>15.61</v>
      </c>
      <c r="O1228" s="38"/>
      <c r="P1228" s="38" t="s">
        <v>293</v>
      </c>
      <c r="Q1228" s="38"/>
    </row>
    <row r="1229" spans="1:17" x14ac:dyDescent="0.25">
      <c r="A1229" s="39">
        <v>45420</v>
      </c>
      <c r="B1229" s="38" t="s">
        <v>26</v>
      </c>
      <c r="C1229" s="38" t="s">
        <v>6</v>
      </c>
      <c r="D1229" s="38" t="s">
        <v>294</v>
      </c>
      <c r="E1229" s="38" t="s">
        <v>56</v>
      </c>
      <c r="F1229" s="38" t="s">
        <v>184</v>
      </c>
      <c r="G1229" s="38" t="s">
        <v>138</v>
      </c>
      <c r="H1229" s="9" t="s">
        <v>233</v>
      </c>
      <c r="I1229" s="38" t="s">
        <v>65</v>
      </c>
      <c r="J1229" s="38">
        <v>0</v>
      </c>
      <c r="K1229">
        <v>0</v>
      </c>
      <c r="L1229">
        <v>0</v>
      </c>
      <c r="M1229">
        <v>0</v>
      </c>
      <c r="N1229" s="38">
        <v>13.29</v>
      </c>
      <c r="O1229" s="38"/>
      <c r="P1229" s="38" t="s">
        <v>155</v>
      </c>
      <c r="Q1229" s="38"/>
    </row>
    <row r="1230" spans="1:17" x14ac:dyDescent="0.25">
      <c r="A1230" s="39">
        <v>45420</v>
      </c>
      <c r="B1230" s="38" t="s">
        <v>27</v>
      </c>
      <c r="C1230" s="38" t="s">
        <v>6</v>
      </c>
      <c r="D1230" s="38" t="s">
        <v>384</v>
      </c>
      <c r="E1230" s="38" t="s">
        <v>366</v>
      </c>
      <c r="F1230" s="38" t="s">
        <v>346</v>
      </c>
      <c r="G1230" s="38" t="s">
        <v>138</v>
      </c>
      <c r="H1230" s="9" t="s">
        <v>234</v>
      </c>
      <c r="I1230" s="38" t="s">
        <v>58</v>
      </c>
      <c r="J1230" s="38">
        <v>0</v>
      </c>
      <c r="K1230">
        <v>0</v>
      </c>
      <c r="L1230">
        <v>0</v>
      </c>
      <c r="M1230">
        <v>0</v>
      </c>
      <c r="N1230" s="38">
        <v>13.89</v>
      </c>
      <c r="O1230" s="38"/>
      <c r="P1230" s="38" t="s">
        <v>269</v>
      </c>
      <c r="Q1230" s="38"/>
    </row>
    <row r="1231" spans="1:17" x14ac:dyDescent="0.25">
      <c r="A1231" s="39">
        <v>45420</v>
      </c>
      <c r="B1231" s="38" t="s">
        <v>28</v>
      </c>
      <c r="C1231" s="38" t="s">
        <v>6</v>
      </c>
      <c r="D1231" s="38" t="s">
        <v>411</v>
      </c>
      <c r="E1231" s="38" t="s">
        <v>56</v>
      </c>
      <c r="F1231" s="38" t="s">
        <v>338</v>
      </c>
      <c r="G1231" s="38" t="s">
        <v>138</v>
      </c>
      <c r="H1231" s="9" t="s">
        <v>235</v>
      </c>
      <c r="I1231" s="38" t="s">
        <v>65</v>
      </c>
      <c r="J1231" s="38">
        <v>0</v>
      </c>
      <c r="K1231">
        <v>0</v>
      </c>
      <c r="L1231">
        <v>0</v>
      </c>
      <c r="M1231">
        <v>0</v>
      </c>
      <c r="N1231" s="38">
        <v>13.9</v>
      </c>
      <c r="O1231" s="38"/>
      <c r="P1231" s="38" t="s">
        <v>155</v>
      </c>
      <c r="Q1231" s="38"/>
    </row>
    <row r="1232" spans="1:17" x14ac:dyDescent="0.25">
      <c r="A1232" s="39">
        <v>45420</v>
      </c>
      <c r="B1232" s="38" t="s">
        <v>72</v>
      </c>
      <c r="C1232" s="38" t="s">
        <v>6</v>
      </c>
      <c r="D1232" s="38" t="s">
        <v>322</v>
      </c>
      <c r="E1232" s="38" t="s">
        <v>202</v>
      </c>
      <c r="F1232" s="38" t="s">
        <v>346</v>
      </c>
      <c r="G1232" s="38" t="s">
        <v>138</v>
      </c>
      <c r="H1232" s="9" t="s">
        <v>422</v>
      </c>
      <c r="I1232" s="38" t="s">
        <v>58</v>
      </c>
      <c r="J1232" s="38">
        <v>0</v>
      </c>
      <c r="K1232">
        <v>0</v>
      </c>
      <c r="L1232">
        <v>0</v>
      </c>
      <c r="M1232">
        <v>0</v>
      </c>
      <c r="N1232" s="38">
        <v>15.45</v>
      </c>
      <c r="O1232" s="38"/>
      <c r="P1232" s="38" t="s">
        <v>157</v>
      </c>
      <c r="Q1232" s="38"/>
    </row>
    <row r="1233" spans="1:17" x14ac:dyDescent="0.25">
      <c r="A1233" s="39">
        <v>45420</v>
      </c>
      <c r="B1233" s="38" t="s">
        <v>29</v>
      </c>
      <c r="C1233" s="38" t="s">
        <v>6</v>
      </c>
      <c r="D1233" s="38" t="s">
        <v>315</v>
      </c>
      <c r="E1233" s="38" t="s">
        <v>56</v>
      </c>
      <c r="F1233" s="38" t="s">
        <v>338</v>
      </c>
      <c r="G1233" s="38" t="s">
        <v>138</v>
      </c>
      <c r="H1233" s="9" t="s">
        <v>236</v>
      </c>
      <c r="I1233" s="38" t="s">
        <v>65</v>
      </c>
      <c r="J1233" s="38">
        <v>0</v>
      </c>
      <c r="K1233">
        <v>0</v>
      </c>
      <c r="L1233">
        <v>0</v>
      </c>
      <c r="M1233">
        <v>0</v>
      </c>
      <c r="N1233" s="38">
        <v>13.98</v>
      </c>
      <c r="O1233" s="38"/>
      <c r="P1233" s="38" t="s">
        <v>156</v>
      </c>
      <c r="Q1233" s="38"/>
    </row>
    <row r="1234" spans="1:17" x14ac:dyDescent="0.25">
      <c r="A1234" s="39">
        <v>45420</v>
      </c>
      <c r="B1234" s="38" t="s">
        <v>30</v>
      </c>
      <c r="C1234" s="38" t="s">
        <v>6</v>
      </c>
      <c r="D1234" s="38" t="s">
        <v>305</v>
      </c>
      <c r="E1234" s="38" t="s">
        <v>81</v>
      </c>
      <c r="F1234" s="38" t="s">
        <v>90</v>
      </c>
      <c r="G1234" s="38" t="s">
        <v>138</v>
      </c>
      <c r="H1234" s="9" t="s">
        <v>71</v>
      </c>
      <c r="I1234" s="38" t="s">
        <v>58</v>
      </c>
      <c r="J1234" s="38">
        <v>0</v>
      </c>
      <c r="K1234">
        <v>0</v>
      </c>
      <c r="L1234">
        <v>0</v>
      </c>
      <c r="M1234">
        <v>0</v>
      </c>
      <c r="N1234" s="38">
        <v>10.84</v>
      </c>
      <c r="O1234" s="38"/>
      <c r="P1234" s="38" t="s">
        <v>150</v>
      </c>
      <c r="Q1234" s="38"/>
    </row>
    <row r="1235" spans="1:17" x14ac:dyDescent="0.25">
      <c r="A1235" s="39">
        <v>45420</v>
      </c>
      <c r="B1235" s="38" t="s">
        <v>31</v>
      </c>
      <c r="C1235" s="38" t="s">
        <v>6</v>
      </c>
      <c r="D1235" s="38"/>
      <c r="E1235" s="38" t="s">
        <v>56</v>
      </c>
      <c r="F1235" s="38"/>
      <c r="G1235" s="38" t="s">
        <v>138</v>
      </c>
      <c r="H1235" s="9" t="s">
        <v>70</v>
      </c>
      <c r="I1235" s="38" t="s">
        <v>65</v>
      </c>
      <c r="J1235" s="38">
        <v>0</v>
      </c>
      <c r="K1235">
        <v>0</v>
      </c>
      <c r="L1235">
        <v>0</v>
      </c>
      <c r="M1235">
        <v>0</v>
      </c>
      <c r="N1235" s="38">
        <v>13.5</v>
      </c>
      <c r="O1235" s="38"/>
      <c r="P1235" s="38" t="s">
        <v>156</v>
      </c>
      <c r="Q1235" s="38"/>
    </row>
    <row r="1236" spans="1:17" x14ac:dyDescent="0.25">
      <c r="A1236" s="39">
        <v>45420</v>
      </c>
      <c r="B1236" s="38" t="s">
        <v>32</v>
      </c>
      <c r="C1236" s="38" t="s">
        <v>6</v>
      </c>
      <c r="D1236" s="38" t="s">
        <v>413</v>
      </c>
      <c r="E1236" s="38" t="s">
        <v>202</v>
      </c>
      <c r="F1236" s="38" t="s">
        <v>346</v>
      </c>
      <c r="G1236" s="38" t="s">
        <v>138</v>
      </c>
      <c r="H1236" s="9" t="s">
        <v>69</v>
      </c>
      <c r="I1236" s="38" t="s">
        <v>58</v>
      </c>
      <c r="J1236" s="38">
        <v>0</v>
      </c>
      <c r="K1236">
        <v>0</v>
      </c>
      <c r="L1236">
        <v>0</v>
      </c>
      <c r="M1236">
        <v>0</v>
      </c>
      <c r="N1236" s="38">
        <v>14.39</v>
      </c>
      <c r="O1236" s="38"/>
      <c r="P1236" s="38" t="s">
        <v>414</v>
      </c>
      <c r="Q1236" s="38"/>
    </row>
    <row r="1237" spans="1:17" x14ac:dyDescent="0.25">
      <c r="A1237" s="39">
        <v>45420</v>
      </c>
      <c r="B1237" s="38" t="s">
        <v>67</v>
      </c>
      <c r="C1237" s="38" t="s">
        <v>6</v>
      </c>
      <c r="D1237" s="38" t="s">
        <v>354</v>
      </c>
      <c r="E1237" s="38" t="s">
        <v>56</v>
      </c>
      <c r="F1237" s="38" t="s">
        <v>367</v>
      </c>
      <c r="G1237" s="38" t="s">
        <v>138</v>
      </c>
      <c r="H1237" s="9" t="s">
        <v>68</v>
      </c>
      <c r="I1237" s="38" t="s">
        <v>65</v>
      </c>
      <c r="J1237" s="38">
        <v>0</v>
      </c>
      <c r="K1237">
        <v>0</v>
      </c>
      <c r="L1237">
        <v>0</v>
      </c>
      <c r="M1237">
        <v>0</v>
      </c>
      <c r="N1237" s="38">
        <v>13.8</v>
      </c>
      <c r="O1237" s="38"/>
      <c r="P1237" s="38" t="s">
        <v>156</v>
      </c>
      <c r="Q1237" s="38"/>
    </row>
    <row r="1238" spans="1:17" x14ac:dyDescent="0.25">
      <c r="A1238" s="39">
        <v>45420</v>
      </c>
      <c r="B1238" s="38" t="s">
        <v>33</v>
      </c>
      <c r="C1238" s="38" t="s">
        <v>6</v>
      </c>
      <c r="D1238" s="38" t="s">
        <v>277</v>
      </c>
      <c r="E1238" s="38" t="s">
        <v>73</v>
      </c>
      <c r="F1238" s="38" t="s">
        <v>346</v>
      </c>
      <c r="G1238" s="38" t="s">
        <v>138</v>
      </c>
      <c r="H1238" s="9" t="s">
        <v>66</v>
      </c>
      <c r="I1238" s="38" t="s">
        <v>58</v>
      </c>
      <c r="J1238" s="38">
        <v>0</v>
      </c>
      <c r="K1238">
        <v>0</v>
      </c>
      <c r="L1238">
        <v>0</v>
      </c>
      <c r="M1238">
        <v>0</v>
      </c>
      <c r="N1238" s="38">
        <v>14.19</v>
      </c>
      <c r="O1238" s="38"/>
      <c r="P1238" s="38" t="s">
        <v>201</v>
      </c>
      <c r="Q1238" s="38"/>
    </row>
    <row r="1239" spans="1:17" x14ac:dyDescent="0.25">
      <c r="A1239" s="39">
        <v>45420</v>
      </c>
      <c r="B1239" s="38" t="s">
        <v>34</v>
      </c>
      <c r="C1239" s="38" t="s">
        <v>6</v>
      </c>
      <c r="D1239" s="38" t="s">
        <v>415</v>
      </c>
      <c r="E1239" s="38" t="s">
        <v>56</v>
      </c>
      <c r="F1239" s="38" t="s">
        <v>346</v>
      </c>
      <c r="G1239" s="38" t="s">
        <v>138</v>
      </c>
      <c r="H1239" s="9" t="s">
        <v>64</v>
      </c>
      <c r="I1239" s="38" t="s">
        <v>65</v>
      </c>
      <c r="J1239" s="38">
        <v>0</v>
      </c>
      <c r="K1239">
        <v>0</v>
      </c>
      <c r="L1239">
        <v>0</v>
      </c>
      <c r="M1239">
        <v>0</v>
      </c>
      <c r="N1239" s="38">
        <v>15.6</v>
      </c>
      <c r="O1239" s="38"/>
      <c r="P1239" s="38" t="s">
        <v>416</v>
      </c>
      <c r="Q1239" s="38"/>
    </row>
    <row r="1240" spans="1:17" x14ac:dyDescent="0.25">
      <c r="A1240" s="39">
        <v>45420</v>
      </c>
      <c r="B1240" s="38" t="s">
        <v>35</v>
      </c>
      <c r="C1240" s="38" t="s">
        <v>6</v>
      </c>
      <c r="D1240" s="38" t="s">
        <v>331</v>
      </c>
      <c r="E1240" s="38" t="s">
        <v>60</v>
      </c>
      <c r="F1240" s="38" t="s">
        <v>346</v>
      </c>
      <c r="G1240" s="38" t="s">
        <v>138</v>
      </c>
      <c r="H1240" s="9" t="s">
        <v>237</v>
      </c>
      <c r="I1240" s="38" t="s">
        <v>58</v>
      </c>
      <c r="J1240" s="38">
        <v>0</v>
      </c>
      <c r="K1240">
        <v>0</v>
      </c>
      <c r="L1240">
        <v>0</v>
      </c>
      <c r="M1240">
        <v>0</v>
      </c>
      <c r="N1240" s="38">
        <v>14.64</v>
      </c>
      <c r="O1240" s="38"/>
      <c r="P1240" s="38" t="s">
        <v>158</v>
      </c>
      <c r="Q1240" s="38"/>
    </row>
    <row r="1241" spans="1:17" x14ac:dyDescent="0.25">
      <c r="A1241" s="39">
        <v>45420</v>
      </c>
      <c r="B1241" s="38" t="s">
        <v>418</v>
      </c>
      <c r="C1241" s="38" t="s">
        <v>6</v>
      </c>
      <c r="D1241" s="38"/>
      <c r="E1241" s="38"/>
      <c r="F1241" s="38"/>
      <c r="G1241" s="38" t="s">
        <v>138</v>
      </c>
      <c r="H1241" s="9" t="s">
        <v>240</v>
      </c>
      <c r="I1241" s="38" t="s">
        <v>262</v>
      </c>
      <c r="J1241" s="38">
        <v>0</v>
      </c>
      <c r="K1241">
        <v>0</v>
      </c>
      <c r="L1241">
        <v>0</v>
      </c>
      <c r="M1241">
        <v>0</v>
      </c>
      <c r="N1241" s="38">
        <v>17.670000000000002</v>
      </c>
      <c r="O1241" s="38"/>
      <c r="P1241" s="38"/>
      <c r="Q1241" s="38"/>
    </row>
    <row r="1242" spans="1:17" x14ac:dyDescent="0.25">
      <c r="A1242" s="39">
        <v>45420</v>
      </c>
      <c r="B1242" s="38" t="s">
        <v>419</v>
      </c>
      <c r="C1242" s="38" t="s">
        <v>6</v>
      </c>
      <c r="D1242" s="38"/>
      <c r="E1242" s="38"/>
      <c r="F1242" s="38"/>
      <c r="G1242" s="38" t="s">
        <v>138</v>
      </c>
      <c r="H1242" s="9" t="s">
        <v>240</v>
      </c>
      <c r="I1242" s="38" t="s">
        <v>262</v>
      </c>
      <c r="J1242" s="38">
        <v>0</v>
      </c>
      <c r="K1242">
        <v>0</v>
      </c>
      <c r="L1242">
        <v>0</v>
      </c>
      <c r="M1242">
        <v>0</v>
      </c>
      <c r="N1242" s="38">
        <v>13.49</v>
      </c>
      <c r="O1242" s="38"/>
      <c r="P1242" s="38"/>
      <c r="Q1242" s="38"/>
    </row>
    <row r="1243" spans="1:17" x14ac:dyDescent="0.25">
      <c r="A1243" s="39">
        <v>45420</v>
      </c>
      <c r="B1243" s="38" t="s">
        <v>36</v>
      </c>
      <c r="C1243" s="38" t="s">
        <v>6</v>
      </c>
      <c r="D1243" s="38" t="s">
        <v>295</v>
      </c>
      <c r="E1243" s="38" t="s">
        <v>81</v>
      </c>
      <c r="F1243" s="38" t="s">
        <v>369</v>
      </c>
      <c r="G1243" s="38" t="s">
        <v>138</v>
      </c>
      <c r="H1243" s="9" t="s">
        <v>423</v>
      </c>
      <c r="I1243" s="38" t="s">
        <v>58</v>
      </c>
      <c r="J1243" s="38">
        <v>0</v>
      </c>
      <c r="K1243">
        <v>0</v>
      </c>
      <c r="L1243">
        <v>0</v>
      </c>
      <c r="M1243">
        <v>0</v>
      </c>
      <c r="N1243" s="38">
        <v>38472557</v>
      </c>
      <c r="O1243" s="38"/>
      <c r="P1243" s="38" t="s">
        <v>156</v>
      </c>
      <c r="Q1243" s="38"/>
    </row>
    <row r="1244" spans="1:17" x14ac:dyDescent="0.25">
      <c r="A1244" s="39">
        <v>45420</v>
      </c>
      <c r="B1244" s="38" t="s">
        <v>256</v>
      </c>
      <c r="C1244" s="38" t="s">
        <v>6</v>
      </c>
      <c r="D1244" s="38" t="s">
        <v>392</v>
      </c>
      <c r="E1244" s="38" t="s">
        <v>417</v>
      </c>
      <c r="F1244" s="38" t="s">
        <v>192</v>
      </c>
      <c r="G1244" s="38" t="s">
        <v>138</v>
      </c>
      <c r="H1244" s="9"/>
      <c r="I1244" s="38" t="s">
        <v>262</v>
      </c>
      <c r="J1244" s="38">
        <v>0</v>
      </c>
      <c r="K1244">
        <v>0</v>
      </c>
      <c r="L1244">
        <v>0</v>
      </c>
      <c r="M1244">
        <v>0</v>
      </c>
      <c r="N1244" s="38">
        <v>0</v>
      </c>
      <c r="O1244" s="38"/>
      <c r="P1244" s="38" t="s">
        <v>149</v>
      </c>
      <c r="Q1244" s="38"/>
    </row>
    <row r="1245" spans="1:17" x14ac:dyDescent="0.25">
      <c r="A1245" s="39">
        <v>45420</v>
      </c>
      <c r="B1245" s="38" t="s">
        <v>257</v>
      </c>
      <c r="C1245" s="38" t="s">
        <v>6</v>
      </c>
      <c r="D1245" s="38" t="s">
        <v>392</v>
      </c>
      <c r="E1245" s="38" t="s">
        <v>417</v>
      </c>
      <c r="F1245" s="38" t="s">
        <v>192</v>
      </c>
      <c r="G1245" s="38" t="s">
        <v>138</v>
      </c>
      <c r="H1245" s="9"/>
      <c r="I1245" s="38" t="s">
        <v>58</v>
      </c>
      <c r="J1245" s="38">
        <v>0</v>
      </c>
      <c r="K1245">
        <v>0</v>
      </c>
      <c r="L1245">
        <v>0</v>
      </c>
      <c r="M1245">
        <v>0</v>
      </c>
      <c r="N1245" s="38">
        <v>38.46</v>
      </c>
      <c r="O1245" s="38"/>
      <c r="P1245" s="38" t="s">
        <v>149</v>
      </c>
      <c r="Q1245" s="38"/>
    </row>
    <row r="1246" spans="1:17" x14ac:dyDescent="0.25">
      <c r="A1246" s="39">
        <v>45420</v>
      </c>
      <c r="B1246" s="38" t="s">
        <v>37</v>
      </c>
      <c r="C1246" s="38" t="s">
        <v>6</v>
      </c>
      <c r="D1246" s="38" t="s">
        <v>347</v>
      </c>
      <c r="E1246" s="38" t="s">
        <v>348</v>
      </c>
      <c r="F1246" s="38" t="s">
        <v>346</v>
      </c>
      <c r="G1246" s="38" t="s">
        <v>138</v>
      </c>
      <c r="H1246" s="9" t="s">
        <v>425</v>
      </c>
      <c r="I1246" s="38" t="s">
        <v>58</v>
      </c>
      <c r="J1246" s="38">
        <v>0</v>
      </c>
      <c r="K1246">
        <v>0</v>
      </c>
      <c r="L1246">
        <v>0</v>
      </c>
      <c r="M1246">
        <v>0</v>
      </c>
      <c r="N1246" s="38">
        <v>13.5</v>
      </c>
      <c r="O1246" s="38"/>
      <c r="P1246" s="38" t="s">
        <v>270</v>
      </c>
      <c r="Q1246" s="38"/>
    </row>
    <row r="1247" spans="1:17" x14ac:dyDescent="0.25">
      <c r="A1247" s="39">
        <v>45420</v>
      </c>
      <c r="B1247" s="38" t="s">
        <v>258</v>
      </c>
      <c r="C1247" s="38" t="s">
        <v>6</v>
      </c>
      <c r="D1247" s="38"/>
      <c r="E1247" s="38"/>
      <c r="F1247" s="38"/>
      <c r="G1247" s="38" t="s">
        <v>138</v>
      </c>
      <c r="H1247" s="9" t="s">
        <v>426</v>
      </c>
      <c r="I1247" s="38" t="s">
        <v>262</v>
      </c>
      <c r="J1247" s="38">
        <v>0</v>
      </c>
      <c r="K1247">
        <v>0</v>
      </c>
      <c r="L1247">
        <v>0</v>
      </c>
      <c r="M1247">
        <v>0</v>
      </c>
      <c r="N1247" s="38">
        <v>13.5</v>
      </c>
      <c r="O1247" s="38"/>
      <c r="P1247" s="38" t="s">
        <v>148</v>
      </c>
      <c r="Q1247" s="38"/>
    </row>
    <row r="1248" spans="1:17" x14ac:dyDescent="0.25">
      <c r="A1248" s="39">
        <v>45420</v>
      </c>
      <c r="B1248" s="38" t="s">
        <v>259</v>
      </c>
      <c r="C1248" s="38" t="s">
        <v>6</v>
      </c>
      <c r="D1248" s="38"/>
      <c r="E1248" s="38"/>
      <c r="F1248" s="38"/>
      <c r="G1248" s="38" t="s">
        <v>138</v>
      </c>
      <c r="H1248" s="9" t="s">
        <v>426</v>
      </c>
      <c r="I1248" s="38" t="s">
        <v>262</v>
      </c>
      <c r="J1248" s="38">
        <v>0</v>
      </c>
      <c r="K1248">
        <v>0</v>
      </c>
      <c r="L1248">
        <v>0</v>
      </c>
      <c r="M1248">
        <v>0</v>
      </c>
      <c r="N1248" s="38">
        <v>41.06</v>
      </c>
      <c r="O1248" s="38"/>
      <c r="P1248" s="38" t="s">
        <v>148</v>
      </c>
      <c r="Q1248" s="38"/>
    </row>
    <row r="1249" spans="1:17" x14ac:dyDescent="0.25">
      <c r="A1249" s="39">
        <v>45420</v>
      </c>
      <c r="B1249" s="38" t="s">
        <v>54</v>
      </c>
      <c r="C1249" s="38" t="s">
        <v>6</v>
      </c>
      <c r="D1249" s="38" t="s">
        <v>55</v>
      </c>
      <c r="E1249" s="38" t="s">
        <v>56</v>
      </c>
      <c r="F1249" s="38" t="s">
        <v>57</v>
      </c>
      <c r="G1249" s="38" t="s">
        <v>138</v>
      </c>
      <c r="H1249" s="9" t="s">
        <v>427</v>
      </c>
      <c r="I1249" s="38" t="s">
        <v>58</v>
      </c>
      <c r="J1249" s="38">
        <v>0</v>
      </c>
      <c r="K1249">
        <v>0</v>
      </c>
      <c r="L1249">
        <v>0</v>
      </c>
      <c r="M1249">
        <v>0</v>
      </c>
      <c r="N1249" s="38">
        <v>41.06</v>
      </c>
      <c r="O1249" s="38"/>
      <c r="P1249" s="38" t="s">
        <v>159</v>
      </c>
      <c r="Q1249" s="38"/>
    </row>
    <row r="1250" spans="1:17" x14ac:dyDescent="0.25">
      <c r="A1250" s="39">
        <v>45420</v>
      </c>
      <c r="B1250" s="38" t="s">
        <v>136</v>
      </c>
      <c r="C1250" s="38" t="s">
        <v>7</v>
      </c>
      <c r="D1250" s="38" t="s">
        <v>174</v>
      </c>
      <c r="E1250" s="38" t="s">
        <v>81</v>
      </c>
      <c r="F1250" s="38" t="s">
        <v>90</v>
      </c>
      <c r="G1250" s="38" t="s">
        <v>138</v>
      </c>
      <c r="H1250" s="9" t="s">
        <v>160</v>
      </c>
      <c r="I1250" s="38" t="s">
        <v>58</v>
      </c>
      <c r="J1250" s="38">
        <v>0</v>
      </c>
      <c r="K1250">
        <v>0</v>
      </c>
      <c r="L1250">
        <v>0</v>
      </c>
      <c r="M1250">
        <v>0</v>
      </c>
      <c r="N1250" s="38">
        <v>42144554</v>
      </c>
      <c r="O1250" s="38"/>
      <c r="P1250" s="38" t="s">
        <v>153</v>
      </c>
      <c r="Q1250" s="38"/>
    </row>
    <row r="1251" spans="1:17" x14ac:dyDescent="0.25">
      <c r="A1251" s="39">
        <v>45420</v>
      </c>
      <c r="B1251" s="38" t="s">
        <v>135</v>
      </c>
      <c r="C1251" s="38" t="s">
        <v>7</v>
      </c>
      <c r="D1251" s="38" t="s">
        <v>332</v>
      </c>
      <c r="E1251" s="38" t="s">
        <v>81</v>
      </c>
      <c r="F1251" s="38" t="s">
        <v>90</v>
      </c>
      <c r="G1251" s="38" t="s">
        <v>138</v>
      </c>
      <c r="H1251" s="9" t="s">
        <v>161</v>
      </c>
      <c r="I1251" s="38" t="s">
        <v>58</v>
      </c>
      <c r="J1251" s="38">
        <v>0</v>
      </c>
      <c r="K1251">
        <v>0</v>
      </c>
      <c r="L1251">
        <v>0</v>
      </c>
      <c r="M1251">
        <v>0</v>
      </c>
      <c r="N1251" s="38">
        <v>24.09</v>
      </c>
      <c r="O1251" s="38"/>
      <c r="P1251" s="38" t="s">
        <v>148</v>
      </c>
      <c r="Q1251" s="38"/>
    </row>
    <row r="1252" spans="1:17" x14ac:dyDescent="0.25">
      <c r="A1252" s="39">
        <v>45420</v>
      </c>
      <c r="B1252" s="38" t="s">
        <v>134</v>
      </c>
      <c r="C1252" s="38" t="s">
        <v>7</v>
      </c>
      <c r="D1252" s="38" t="s">
        <v>175</v>
      </c>
      <c r="E1252" s="38" t="s">
        <v>81</v>
      </c>
      <c r="F1252" s="38" t="s">
        <v>90</v>
      </c>
      <c r="G1252" s="38" t="s">
        <v>138</v>
      </c>
      <c r="H1252" s="9" t="s">
        <v>206</v>
      </c>
      <c r="I1252" s="38" t="s">
        <v>58</v>
      </c>
      <c r="J1252" s="38">
        <v>0</v>
      </c>
      <c r="K1252">
        <v>0</v>
      </c>
      <c r="L1252">
        <v>0</v>
      </c>
      <c r="M1252">
        <v>0</v>
      </c>
      <c r="N1252" s="38">
        <v>0</v>
      </c>
      <c r="O1252" s="38"/>
      <c r="P1252" s="38" t="s">
        <v>148</v>
      </c>
      <c r="Q1252" s="38"/>
    </row>
    <row r="1253" spans="1:17" x14ac:dyDescent="0.25">
      <c r="A1253" s="39">
        <v>45420</v>
      </c>
      <c r="B1253" s="38" t="s">
        <v>132</v>
      </c>
      <c r="C1253" s="38" t="s">
        <v>7</v>
      </c>
      <c r="D1253" s="38" t="s">
        <v>133</v>
      </c>
      <c r="E1253" s="38" t="s">
        <v>126</v>
      </c>
      <c r="F1253" s="38" t="s">
        <v>199</v>
      </c>
      <c r="G1253" s="38" t="s">
        <v>138</v>
      </c>
      <c r="H1253" s="9" t="s">
        <v>162</v>
      </c>
      <c r="I1253" s="38" t="s">
        <v>58</v>
      </c>
      <c r="J1253" s="38">
        <v>0</v>
      </c>
      <c r="K1253">
        <v>0</v>
      </c>
      <c r="L1253">
        <v>0</v>
      </c>
      <c r="M1253">
        <v>0</v>
      </c>
      <c r="N1253" s="38">
        <v>38.369999999999997</v>
      </c>
      <c r="O1253" s="38"/>
      <c r="P1253" s="38" t="s">
        <v>149</v>
      </c>
      <c r="Q1253" s="38"/>
    </row>
    <row r="1254" spans="1:17" x14ac:dyDescent="0.25">
      <c r="A1254" s="39">
        <v>45420</v>
      </c>
      <c r="B1254" s="38" t="s">
        <v>131</v>
      </c>
      <c r="C1254" s="38" t="s">
        <v>7</v>
      </c>
      <c r="D1254" s="38" t="s">
        <v>396</v>
      </c>
      <c r="E1254" s="38" t="s">
        <v>60</v>
      </c>
      <c r="F1254" s="38" t="s">
        <v>90</v>
      </c>
      <c r="G1254" s="38" t="s">
        <v>138</v>
      </c>
      <c r="H1254" s="9" t="s">
        <v>163</v>
      </c>
      <c r="I1254" s="38" t="s">
        <v>58</v>
      </c>
      <c r="J1254" s="38">
        <v>0</v>
      </c>
      <c r="K1254">
        <v>0</v>
      </c>
      <c r="L1254">
        <v>0</v>
      </c>
      <c r="M1254">
        <v>0</v>
      </c>
      <c r="N1254" s="38">
        <v>23.93</v>
      </c>
      <c r="O1254" s="38"/>
      <c r="P1254" s="38" t="s">
        <v>154</v>
      </c>
      <c r="Q1254" s="38"/>
    </row>
    <row r="1255" spans="1:17" x14ac:dyDescent="0.25">
      <c r="A1255" s="39">
        <v>45420</v>
      </c>
      <c r="B1255" s="38" t="s">
        <v>130</v>
      </c>
      <c r="C1255" s="38" t="s">
        <v>7</v>
      </c>
      <c r="D1255" s="38" t="s">
        <v>191</v>
      </c>
      <c r="E1255" s="38" t="s">
        <v>81</v>
      </c>
      <c r="F1255" s="38" t="s">
        <v>285</v>
      </c>
      <c r="G1255" s="38" t="s">
        <v>138</v>
      </c>
      <c r="H1255" s="9" t="s">
        <v>420</v>
      </c>
      <c r="I1255" s="38" t="s">
        <v>58</v>
      </c>
      <c r="J1255" s="38">
        <v>0</v>
      </c>
      <c r="K1255">
        <v>0</v>
      </c>
      <c r="L1255">
        <v>0</v>
      </c>
      <c r="M1255">
        <v>0</v>
      </c>
      <c r="N1255" s="38">
        <v>14.99</v>
      </c>
      <c r="O1255" s="38"/>
      <c r="P1255" s="38" t="s">
        <v>148</v>
      </c>
      <c r="Q1255" s="38"/>
    </row>
    <row r="1256" spans="1:17" x14ac:dyDescent="0.25">
      <c r="A1256" s="39">
        <v>45420</v>
      </c>
      <c r="B1256" s="38" t="s">
        <v>128</v>
      </c>
      <c r="C1256" s="38" t="s">
        <v>7</v>
      </c>
      <c r="D1256" s="38" t="s">
        <v>129</v>
      </c>
      <c r="E1256" s="38" t="s">
        <v>126</v>
      </c>
      <c r="F1256" s="38" t="s">
        <v>199</v>
      </c>
      <c r="G1256" s="38" t="s">
        <v>138</v>
      </c>
      <c r="H1256" s="9" t="s">
        <v>164</v>
      </c>
      <c r="I1256" s="38" t="s">
        <v>58</v>
      </c>
      <c r="J1256" s="38">
        <v>0</v>
      </c>
      <c r="K1256">
        <v>0</v>
      </c>
      <c r="L1256">
        <v>0</v>
      </c>
      <c r="M1256">
        <v>0</v>
      </c>
      <c r="N1256" s="38">
        <v>41.06</v>
      </c>
      <c r="O1256" s="38"/>
      <c r="P1256" s="38" t="s">
        <v>149</v>
      </c>
      <c r="Q1256" s="38"/>
    </row>
    <row r="1257" spans="1:17" x14ac:dyDescent="0.25">
      <c r="A1257" s="39">
        <v>45420</v>
      </c>
      <c r="B1257" s="38" t="s">
        <v>40</v>
      </c>
      <c r="C1257" s="38" t="s">
        <v>7</v>
      </c>
      <c r="D1257" s="38" t="s">
        <v>397</v>
      </c>
      <c r="E1257" s="38" t="s">
        <v>60</v>
      </c>
      <c r="F1257" s="38" t="s">
        <v>200</v>
      </c>
      <c r="G1257" s="38" t="s">
        <v>138</v>
      </c>
      <c r="H1257" s="9" t="s">
        <v>165</v>
      </c>
      <c r="I1257" s="38" t="s">
        <v>58</v>
      </c>
      <c r="J1257" s="38">
        <v>0</v>
      </c>
      <c r="K1257">
        <v>0</v>
      </c>
      <c r="L1257">
        <v>0</v>
      </c>
      <c r="M1257">
        <v>0</v>
      </c>
      <c r="N1257" s="38">
        <v>14.92</v>
      </c>
      <c r="O1257" s="38"/>
      <c r="P1257" s="38" t="s">
        <v>153</v>
      </c>
      <c r="Q1257" s="38"/>
    </row>
    <row r="1258" spans="1:17" x14ac:dyDescent="0.25">
      <c r="A1258" s="39">
        <v>45420</v>
      </c>
      <c r="B1258" s="38" t="s">
        <v>127</v>
      </c>
      <c r="C1258" s="38" t="s">
        <v>7</v>
      </c>
      <c r="D1258" s="38" t="s">
        <v>203</v>
      </c>
      <c r="E1258" s="38" t="s">
        <v>81</v>
      </c>
      <c r="F1258" s="38" t="s">
        <v>285</v>
      </c>
      <c r="G1258" s="38" t="s">
        <v>138</v>
      </c>
      <c r="H1258" s="9" t="s">
        <v>207</v>
      </c>
      <c r="I1258" s="38" t="s">
        <v>58</v>
      </c>
      <c r="J1258" s="38">
        <v>0</v>
      </c>
      <c r="K1258">
        <v>0</v>
      </c>
      <c r="L1258">
        <v>0</v>
      </c>
      <c r="M1258">
        <v>0</v>
      </c>
      <c r="N1258" s="38">
        <v>20.85</v>
      </c>
      <c r="O1258" s="38"/>
      <c r="P1258" s="38" t="s">
        <v>151</v>
      </c>
      <c r="Q1258" s="38"/>
    </row>
    <row r="1259" spans="1:17" x14ac:dyDescent="0.25">
      <c r="A1259" s="39">
        <v>45420</v>
      </c>
      <c r="B1259" s="38" t="s">
        <v>124</v>
      </c>
      <c r="C1259" s="38" t="s">
        <v>7</v>
      </c>
      <c r="D1259" s="38" t="s">
        <v>340</v>
      </c>
      <c r="E1259" s="38" t="s">
        <v>126</v>
      </c>
      <c r="F1259" s="38" t="s">
        <v>199</v>
      </c>
      <c r="G1259" s="38" t="s">
        <v>138</v>
      </c>
      <c r="H1259" s="9" t="s">
        <v>166</v>
      </c>
      <c r="I1259" s="38" t="s">
        <v>58</v>
      </c>
      <c r="J1259" s="38">
        <v>0</v>
      </c>
      <c r="K1259">
        <v>0</v>
      </c>
      <c r="L1259">
        <v>0</v>
      </c>
      <c r="M1259">
        <v>0</v>
      </c>
      <c r="N1259" s="38">
        <v>39863813</v>
      </c>
      <c r="O1259" s="38"/>
      <c r="P1259" s="38" t="s">
        <v>149</v>
      </c>
      <c r="Q1259" s="38"/>
    </row>
    <row r="1260" spans="1:17" x14ac:dyDescent="0.25">
      <c r="A1260" s="39">
        <v>45420</v>
      </c>
      <c r="B1260" s="38" t="s">
        <v>122</v>
      </c>
      <c r="C1260" s="38" t="s">
        <v>7</v>
      </c>
      <c r="D1260" s="38" t="s">
        <v>356</v>
      </c>
      <c r="E1260" s="38" t="s">
        <v>81</v>
      </c>
      <c r="F1260" s="38" t="s">
        <v>90</v>
      </c>
      <c r="G1260" s="38" t="s">
        <v>138</v>
      </c>
      <c r="H1260" s="9" t="s">
        <v>167</v>
      </c>
      <c r="I1260" s="38" t="s">
        <v>58</v>
      </c>
      <c r="J1260" s="38">
        <v>0</v>
      </c>
      <c r="K1260">
        <v>0</v>
      </c>
      <c r="L1260">
        <v>0</v>
      </c>
      <c r="M1260">
        <v>0</v>
      </c>
      <c r="N1260" s="38">
        <v>20.9</v>
      </c>
      <c r="O1260" s="38"/>
      <c r="P1260" s="38" t="s">
        <v>148</v>
      </c>
      <c r="Q1260" s="38"/>
    </row>
    <row r="1261" spans="1:17" x14ac:dyDescent="0.25">
      <c r="A1261" s="39">
        <v>45420</v>
      </c>
      <c r="B1261" s="38" t="s">
        <v>120</v>
      </c>
      <c r="C1261" s="38" t="s">
        <v>7</v>
      </c>
      <c r="D1261" s="38" t="s">
        <v>333</v>
      </c>
      <c r="E1261" s="38" t="s">
        <v>375</v>
      </c>
      <c r="F1261" s="38" t="s">
        <v>285</v>
      </c>
      <c r="G1261" s="38" t="s">
        <v>138</v>
      </c>
      <c r="H1261" s="9" t="s">
        <v>121</v>
      </c>
      <c r="I1261" s="38" t="s">
        <v>58</v>
      </c>
      <c r="J1261" s="38">
        <v>0</v>
      </c>
      <c r="K1261">
        <v>0</v>
      </c>
      <c r="L1261">
        <v>0</v>
      </c>
      <c r="M1261">
        <v>0</v>
      </c>
      <c r="N1261" s="38">
        <v>41.69</v>
      </c>
      <c r="O1261" s="38"/>
      <c r="P1261" s="38" t="s">
        <v>151</v>
      </c>
      <c r="Q1261" s="38"/>
    </row>
    <row r="1262" spans="1:17" x14ac:dyDescent="0.25">
      <c r="A1262" s="39">
        <v>45420</v>
      </c>
      <c r="B1262" s="38" t="s">
        <v>119</v>
      </c>
      <c r="C1262" s="38" t="s">
        <v>7</v>
      </c>
      <c r="D1262" s="38" t="s">
        <v>178</v>
      </c>
      <c r="E1262" s="38" t="s">
        <v>399</v>
      </c>
      <c r="F1262" s="38" t="s">
        <v>192</v>
      </c>
      <c r="G1262" s="38" t="s">
        <v>138</v>
      </c>
      <c r="H1262" s="9" t="s">
        <v>168</v>
      </c>
      <c r="I1262" s="38" t="s">
        <v>58</v>
      </c>
      <c r="J1262" s="38">
        <v>0</v>
      </c>
      <c r="K1262">
        <v>0</v>
      </c>
      <c r="L1262">
        <v>0</v>
      </c>
      <c r="M1262">
        <v>0</v>
      </c>
      <c r="N1262" s="38">
        <v>41.62</v>
      </c>
      <c r="O1262" s="38"/>
      <c r="P1262" s="38" t="s">
        <v>149</v>
      </c>
      <c r="Q1262" s="38"/>
    </row>
    <row r="1263" spans="1:17" x14ac:dyDescent="0.25">
      <c r="A1263" s="39">
        <v>45420</v>
      </c>
      <c r="B1263" s="38" t="s">
        <v>117</v>
      </c>
      <c r="C1263" s="38" t="s">
        <v>7</v>
      </c>
      <c r="D1263" s="38" t="s">
        <v>349</v>
      </c>
      <c r="E1263" s="38" t="s">
        <v>398</v>
      </c>
      <c r="F1263" s="38" t="s">
        <v>90</v>
      </c>
      <c r="G1263" s="38" t="s">
        <v>138</v>
      </c>
      <c r="H1263" s="9" t="s">
        <v>118</v>
      </c>
      <c r="I1263" s="38" t="s">
        <v>58</v>
      </c>
      <c r="J1263" s="38">
        <v>0</v>
      </c>
      <c r="K1263">
        <v>0</v>
      </c>
      <c r="L1263">
        <v>0</v>
      </c>
      <c r="M1263">
        <v>0</v>
      </c>
      <c r="N1263" s="38">
        <v>34.69</v>
      </c>
      <c r="O1263" s="38"/>
      <c r="P1263" s="38" t="s">
        <v>151</v>
      </c>
      <c r="Q1263" s="38"/>
    </row>
    <row r="1264" spans="1:17" x14ac:dyDescent="0.25">
      <c r="A1264" s="39">
        <v>45420</v>
      </c>
      <c r="B1264" s="38" t="s">
        <v>39</v>
      </c>
      <c r="C1264" s="38" t="s">
        <v>7</v>
      </c>
      <c r="D1264" s="38" t="s">
        <v>177</v>
      </c>
      <c r="E1264" s="38" t="s">
        <v>377</v>
      </c>
      <c r="F1264" s="38" t="s">
        <v>90</v>
      </c>
      <c r="G1264" s="38" t="s">
        <v>138</v>
      </c>
      <c r="H1264" s="9" t="s">
        <v>116</v>
      </c>
      <c r="I1264" s="38" t="s">
        <v>58</v>
      </c>
      <c r="J1264" s="38">
        <v>0</v>
      </c>
      <c r="K1264">
        <v>0</v>
      </c>
      <c r="L1264">
        <v>0</v>
      </c>
      <c r="M1264">
        <v>0</v>
      </c>
      <c r="N1264" s="38">
        <v>41.24</v>
      </c>
      <c r="O1264" s="38"/>
      <c r="P1264" s="38" t="s">
        <v>151</v>
      </c>
      <c r="Q1264" s="38"/>
    </row>
    <row r="1265" spans="1:17" x14ac:dyDescent="0.25">
      <c r="A1265" s="39">
        <v>45420</v>
      </c>
      <c r="B1265" s="38" t="s">
        <v>113</v>
      </c>
      <c r="C1265" s="38" t="s">
        <v>7</v>
      </c>
      <c r="D1265" s="38" t="s">
        <v>188</v>
      </c>
      <c r="E1265" s="38" t="s">
        <v>126</v>
      </c>
      <c r="F1265" s="38" t="s">
        <v>199</v>
      </c>
      <c r="G1265" s="38" t="s">
        <v>138</v>
      </c>
      <c r="H1265" s="9" t="s">
        <v>114</v>
      </c>
      <c r="I1265" s="38" t="s">
        <v>58</v>
      </c>
      <c r="J1265" s="38">
        <v>0</v>
      </c>
      <c r="K1265">
        <v>0</v>
      </c>
      <c r="L1265">
        <v>0</v>
      </c>
      <c r="M1265">
        <v>0</v>
      </c>
      <c r="N1265" s="38">
        <v>41.35</v>
      </c>
      <c r="O1265" s="38"/>
      <c r="P1265" s="38" t="s">
        <v>149</v>
      </c>
      <c r="Q1265" s="38"/>
    </row>
    <row r="1266" spans="1:17" x14ac:dyDescent="0.25">
      <c r="A1266" s="39">
        <v>45420</v>
      </c>
      <c r="B1266" s="38" t="s">
        <v>111</v>
      </c>
      <c r="C1266" s="38" t="s">
        <v>7</v>
      </c>
      <c r="D1266" s="38" t="s">
        <v>189</v>
      </c>
      <c r="E1266" s="38" t="s">
        <v>81</v>
      </c>
      <c r="F1266" s="38" t="s">
        <v>285</v>
      </c>
      <c r="G1266" s="38" t="s">
        <v>138</v>
      </c>
      <c r="H1266" s="9" t="s">
        <v>112</v>
      </c>
      <c r="I1266" s="38" t="s">
        <v>58</v>
      </c>
      <c r="J1266" s="38">
        <v>0</v>
      </c>
      <c r="K1266">
        <v>0</v>
      </c>
      <c r="L1266">
        <v>0</v>
      </c>
      <c r="M1266">
        <v>0</v>
      </c>
      <c r="N1266" s="38">
        <v>20.48</v>
      </c>
      <c r="O1266" s="38"/>
      <c r="P1266" s="38" t="s">
        <v>153</v>
      </c>
      <c r="Q1266" s="38"/>
    </row>
    <row r="1267" spans="1:17" x14ac:dyDescent="0.25">
      <c r="A1267" s="39">
        <v>45420</v>
      </c>
      <c r="B1267" s="38" t="s">
        <v>109</v>
      </c>
      <c r="C1267" s="38" t="s">
        <v>7</v>
      </c>
      <c r="D1267" s="38" t="s">
        <v>142</v>
      </c>
      <c r="E1267" s="38" t="s">
        <v>56</v>
      </c>
      <c r="F1267" s="38" t="s">
        <v>199</v>
      </c>
      <c r="G1267" s="38" t="s">
        <v>138</v>
      </c>
      <c r="H1267" s="9" t="s">
        <v>110</v>
      </c>
      <c r="I1267" s="38" t="s">
        <v>58</v>
      </c>
      <c r="J1267" s="38">
        <v>0</v>
      </c>
      <c r="K1267">
        <v>0</v>
      </c>
      <c r="L1267">
        <v>0</v>
      </c>
      <c r="M1267">
        <v>0</v>
      </c>
      <c r="N1267" s="38">
        <v>41.05</v>
      </c>
      <c r="O1267" s="38"/>
      <c r="P1267" s="38" t="s">
        <v>149</v>
      </c>
      <c r="Q1267" s="38"/>
    </row>
    <row r="1268" spans="1:17" x14ac:dyDescent="0.25">
      <c r="A1268" s="39">
        <v>45420</v>
      </c>
      <c r="B1268" s="38" t="s">
        <v>107</v>
      </c>
      <c r="C1268" s="38" t="s">
        <v>7</v>
      </c>
      <c r="D1268" s="38" t="s">
        <v>401</v>
      </c>
      <c r="E1268" s="38" t="s">
        <v>56</v>
      </c>
      <c r="F1268" s="38" t="s">
        <v>93</v>
      </c>
      <c r="G1268" s="38" t="s">
        <v>138</v>
      </c>
      <c r="H1268" s="9" t="s">
        <v>108</v>
      </c>
      <c r="I1268" s="38" t="s">
        <v>58</v>
      </c>
      <c r="J1268" s="38">
        <v>0</v>
      </c>
      <c r="K1268">
        <v>0</v>
      </c>
      <c r="L1268">
        <v>0</v>
      </c>
      <c r="M1268">
        <v>0</v>
      </c>
      <c r="N1268" s="38">
        <v>12.09</v>
      </c>
      <c r="O1268" s="38"/>
      <c r="P1268" s="38" t="s">
        <v>403</v>
      </c>
      <c r="Q1268" s="38"/>
    </row>
    <row r="1269" spans="1:17" x14ac:dyDescent="0.25">
      <c r="A1269" s="39">
        <v>45420</v>
      </c>
      <c r="B1269" s="38" t="s">
        <v>41</v>
      </c>
      <c r="C1269" s="38" t="s">
        <v>7</v>
      </c>
      <c r="D1269" s="38" t="s">
        <v>123</v>
      </c>
      <c r="E1269" s="38" t="s">
        <v>81</v>
      </c>
      <c r="F1269" s="38" t="s">
        <v>285</v>
      </c>
      <c r="G1269" s="38" t="s">
        <v>138</v>
      </c>
      <c r="H1269" s="9" t="s">
        <v>106</v>
      </c>
      <c r="I1269" s="38" t="s">
        <v>58</v>
      </c>
      <c r="J1269" s="38">
        <v>0</v>
      </c>
      <c r="K1269">
        <v>0</v>
      </c>
      <c r="L1269">
        <v>0</v>
      </c>
      <c r="M1269">
        <v>0</v>
      </c>
      <c r="N1269" s="38">
        <v>17.88</v>
      </c>
      <c r="O1269" s="38"/>
      <c r="P1269" s="38" t="s">
        <v>152</v>
      </c>
      <c r="Q1269" s="38"/>
    </row>
    <row r="1270" spans="1:17" x14ac:dyDescent="0.25">
      <c r="A1270" s="39">
        <v>45420</v>
      </c>
      <c r="B1270" s="38" t="s">
        <v>43</v>
      </c>
      <c r="C1270" s="38" t="s">
        <v>7</v>
      </c>
      <c r="D1270" s="38" t="s">
        <v>282</v>
      </c>
      <c r="E1270" s="38" t="s">
        <v>275</v>
      </c>
      <c r="F1270" s="38" t="s">
        <v>276</v>
      </c>
      <c r="G1270" s="38" t="s">
        <v>138</v>
      </c>
      <c r="H1270" s="9" t="s">
        <v>208</v>
      </c>
      <c r="I1270" s="38" t="s">
        <v>58</v>
      </c>
      <c r="J1270" s="38">
        <v>0</v>
      </c>
      <c r="K1270">
        <v>0</v>
      </c>
      <c r="L1270">
        <v>0</v>
      </c>
      <c r="M1270">
        <v>0</v>
      </c>
      <c r="N1270" s="38">
        <v>17.25</v>
      </c>
      <c r="O1270" s="38"/>
      <c r="P1270" s="38" t="s">
        <v>154</v>
      </c>
      <c r="Q1270" s="38"/>
    </row>
    <row r="1271" spans="1:17" x14ac:dyDescent="0.25">
      <c r="A1271" s="39">
        <v>45420</v>
      </c>
      <c r="B1271" s="38" t="s">
        <v>5</v>
      </c>
      <c r="C1271" s="38" t="s">
        <v>7</v>
      </c>
      <c r="D1271" s="38" t="s">
        <v>283</v>
      </c>
      <c r="E1271" s="38" t="s">
        <v>60</v>
      </c>
      <c r="F1271" s="38" t="s">
        <v>285</v>
      </c>
      <c r="G1271" s="38" t="s">
        <v>138</v>
      </c>
      <c r="H1271" s="9" t="s">
        <v>209</v>
      </c>
      <c r="I1271" s="38" t="s">
        <v>58</v>
      </c>
      <c r="J1271" s="38">
        <v>0</v>
      </c>
      <c r="K1271">
        <v>0</v>
      </c>
      <c r="L1271">
        <v>0</v>
      </c>
      <c r="M1271">
        <v>0</v>
      </c>
      <c r="N1271" s="38">
        <v>16.46</v>
      </c>
      <c r="O1271" s="38"/>
      <c r="P1271" s="38" t="s">
        <v>153</v>
      </c>
      <c r="Q1271" s="38"/>
    </row>
    <row r="1272" spans="1:17" x14ac:dyDescent="0.25">
      <c r="A1272" s="39">
        <v>45420</v>
      </c>
      <c r="B1272" s="38" t="s">
        <v>9</v>
      </c>
      <c r="C1272" s="38" t="s">
        <v>7</v>
      </c>
      <c r="D1272" s="38" t="s">
        <v>189</v>
      </c>
      <c r="E1272" s="38" t="s">
        <v>360</v>
      </c>
      <c r="F1272" s="38" t="s">
        <v>276</v>
      </c>
      <c r="G1272" s="38" t="s">
        <v>138</v>
      </c>
      <c r="H1272" s="9" t="s">
        <v>210</v>
      </c>
      <c r="I1272" s="38" t="s">
        <v>58</v>
      </c>
      <c r="J1272" s="38">
        <v>0</v>
      </c>
      <c r="K1272">
        <v>0</v>
      </c>
      <c r="L1272">
        <v>0</v>
      </c>
      <c r="M1272">
        <v>0</v>
      </c>
      <c r="N1272" s="38">
        <v>23.18</v>
      </c>
      <c r="O1272" s="38"/>
      <c r="P1272" s="38" t="s">
        <v>153</v>
      </c>
      <c r="Q1272" s="38"/>
    </row>
    <row r="1273" spans="1:17" x14ac:dyDescent="0.25">
      <c r="A1273" s="39">
        <v>45420</v>
      </c>
      <c r="B1273" s="38" t="s">
        <v>10</v>
      </c>
      <c r="C1273" s="38" t="s">
        <v>7</v>
      </c>
      <c r="D1273" s="38" t="s">
        <v>263</v>
      </c>
      <c r="E1273" s="38" t="s">
        <v>342</v>
      </c>
      <c r="F1273" s="38" t="s">
        <v>90</v>
      </c>
      <c r="G1273" s="38" t="s">
        <v>138</v>
      </c>
      <c r="H1273" s="9" t="s">
        <v>211</v>
      </c>
      <c r="I1273" s="38" t="s">
        <v>58</v>
      </c>
      <c r="J1273" s="38">
        <v>0</v>
      </c>
      <c r="K1273">
        <v>0</v>
      </c>
      <c r="L1273">
        <v>0</v>
      </c>
      <c r="M1273">
        <v>0</v>
      </c>
      <c r="N1273" s="38">
        <v>74.34</v>
      </c>
      <c r="O1273" s="38"/>
      <c r="P1273" s="38" t="s">
        <v>151</v>
      </c>
      <c r="Q1273" s="38"/>
    </row>
    <row r="1274" spans="1:17" x14ac:dyDescent="0.25">
      <c r="A1274" s="39">
        <v>45420</v>
      </c>
      <c r="B1274" s="38" t="s">
        <v>11</v>
      </c>
      <c r="C1274" s="38" t="s">
        <v>7</v>
      </c>
      <c r="D1274" s="38" t="s">
        <v>205</v>
      </c>
      <c r="E1274" s="38" t="s">
        <v>60</v>
      </c>
      <c r="F1274" s="38" t="s">
        <v>93</v>
      </c>
      <c r="G1274" s="38" t="s">
        <v>138</v>
      </c>
      <c r="H1274" s="9" t="s">
        <v>212</v>
      </c>
      <c r="I1274" s="38" t="s">
        <v>58</v>
      </c>
      <c r="J1274" s="38">
        <v>0</v>
      </c>
      <c r="K1274">
        <v>0</v>
      </c>
      <c r="L1274">
        <v>0</v>
      </c>
      <c r="M1274">
        <v>0</v>
      </c>
      <c r="N1274" s="38">
        <v>11.39</v>
      </c>
      <c r="O1274" s="38"/>
      <c r="P1274" s="38" t="s">
        <v>147</v>
      </c>
      <c r="Q1274" s="38"/>
    </row>
    <row r="1275" spans="1:17" x14ac:dyDescent="0.25">
      <c r="A1275" s="39">
        <v>45420</v>
      </c>
      <c r="B1275" s="38" t="s">
        <v>12</v>
      </c>
      <c r="C1275" s="38" t="s">
        <v>7</v>
      </c>
      <c r="D1275" s="38" t="s">
        <v>286</v>
      </c>
      <c r="E1275" s="38" t="s">
        <v>60</v>
      </c>
      <c r="F1275" s="38" t="s">
        <v>285</v>
      </c>
      <c r="G1275" s="38" t="s">
        <v>138</v>
      </c>
      <c r="H1275" s="9" t="s">
        <v>213</v>
      </c>
      <c r="I1275" s="38" t="s">
        <v>58</v>
      </c>
      <c r="J1275" s="38">
        <v>0</v>
      </c>
      <c r="K1275">
        <v>0</v>
      </c>
      <c r="L1275">
        <v>0</v>
      </c>
      <c r="M1275">
        <v>0</v>
      </c>
      <c r="N1275" s="38">
        <v>11.98</v>
      </c>
      <c r="O1275" s="38"/>
      <c r="P1275" s="38" t="s">
        <v>154</v>
      </c>
      <c r="Q1275" s="38"/>
    </row>
    <row r="1276" spans="1:17" x14ac:dyDescent="0.25">
      <c r="A1276" s="39">
        <v>45420</v>
      </c>
      <c r="B1276" s="38" t="s">
        <v>105</v>
      </c>
      <c r="C1276" s="38" t="s">
        <v>7</v>
      </c>
      <c r="D1276" s="38" t="s">
        <v>267</v>
      </c>
      <c r="E1276" s="38" t="s">
        <v>60</v>
      </c>
      <c r="F1276" s="38" t="s">
        <v>93</v>
      </c>
      <c r="G1276" s="38" t="s">
        <v>138</v>
      </c>
      <c r="H1276" s="9" t="s">
        <v>214</v>
      </c>
      <c r="I1276" s="38" t="s">
        <v>58</v>
      </c>
      <c r="J1276" s="38">
        <v>0</v>
      </c>
      <c r="K1276">
        <v>0</v>
      </c>
      <c r="L1276">
        <v>0</v>
      </c>
      <c r="M1276">
        <v>0</v>
      </c>
      <c r="N1276" s="38">
        <v>12.39</v>
      </c>
      <c r="O1276" s="38"/>
      <c r="P1276" s="38" t="s">
        <v>147</v>
      </c>
      <c r="Q1276" s="38"/>
    </row>
    <row r="1277" spans="1:17" x14ac:dyDescent="0.25">
      <c r="A1277" s="39">
        <v>45420</v>
      </c>
      <c r="B1277" s="38" t="s">
        <v>104</v>
      </c>
      <c r="C1277" s="38" t="s">
        <v>7</v>
      </c>
      <c r="D1277" s="38" t="s">
        <v>143</v>
      </c>
      <c r="E1277" s="38" t="s">
        <v>60</v>
      </c>
      <c r="F1277" s="38" t="s">
        <v>285</v>
      </c>
      <c r="G1277" s="38" t="s">
        <v>138</v>
      </c>
      <c r="H1277" s="9" t="s">
        <v>215</v>
      </c>
      <c r="I1277" s="38" t="s">
        <v>58</v>
      </c>
      <c r="J1277" s="38">
        <v>0</v>
      </c>
      <c r="K1277">
        <v>0</v>
      </c>
      <c r="L1277">
        <v>0</v>
      </c>
      <c r="M1277">
        <v>0</v>
      </c>
      <c r="N1277" s="38">
        <v>13.96</v>
      </c>
      <c r="O1277" s="38"/>
      <c r="P1277" s="38" t="s">
        <v>154</v>
      </c>
      <c r="Q1277" s="38"/>
    </row>
    <row r="1278" spans="1:17" x14ac:dyDescent="0.25">
      <c r="A1278" s="39">
        <v>45420</v>
      </c>
      <c r="B1278" s="38" t="s">
        <v>13</v>
      </c>
      <c r="C1278" s="38" t="s">
        <v>7</v>
      </c>
      <c r="D1278" s="38" t="s">
        <v>350</v>
      </c>
      <c r="E1278" s="38" t="s">
        <v>60</v>
      </c>
      <c r="F1278" s="38" t="s">
        <v>93</v>
      </c>
      <c r="G1278" s="38" t="s">
        <v>138</v>
      </c>
      <c r="H1278" s="9" t="s">
        <v>216</v>
      </c>
      <c r="I1278" s="38" t="s">
        <v>58</v>
      </c>
      <c r="J1278" s="38">
        <v>0</v>
      </c>
      <c r="K1278">
        <v>0</v>
      </c>
      <c r="L1278">
        <v>0</v>
      </c>
      <c r="M1278">
        <v>0</v>
      </c>
      <c r="N1278" s="38">
        <v>12.4</v>
      </c>
      <c r="O1278" s="38"/>
      <c r="P1278" s="38" t="s">
        <v>147</v>
      </c>
      <c r="Q1278" s="38"/>
    </row>
    <row r="1279" spans="1:17" x14ac:dyDescent="0.25">
      <c r="A1279" s="39">
        <v>45420</v>
      </c>
      <c r="B1279" s="38" t="s">
        <v>103</v>
      </c>
      <c r="C1279" s="38" t="s">
        <v>7</v>
      </c>
      <c r="D1279" s="38" t="s">
        <v>179</v>
      </c>
      <c r="E1279" s="38" t="s">
        <v>81</v>
      </c>
      <c r="F1279" s="38" t="s">
        <v>90</v>
      </c>
      <c r="G1279" s="38" t="s">
        <v>138</v>
      </c>
      <c r="H1279" s="9" t="s">
        <v>217</v>
      </c>
      <c r="I1279" s="38" t="s">
        <v>65</v>
      </c>
      <c r="J1279" s="38">
        <v>0</v>
      </c>
      <c r="K1279">
        <v>0</v>
      </c>
      <c r="L1279">
        <v>0</v>
      </c>
      <c r="M1279">
        <v>0</v>
      </c>
      <c r="N1279" s="38">
        <v>41.9</v>
      </c>
      <c r="O1279" s="38"/>
      <c r="P1279" s="38" t="s">
        <v>187</v>
      </c>
      <c r="Q1279" s="38"/>
    </row>
    <row r="1280" spans="1:17" x14ac:dyDescent="0.25">
      <c r="A1280" s="39">
        <v>45420</v>
      </c>
      <c r="B1280" s="38" t="s">
        <v>101</v>
      </c>
      <c r="C1280" s="38" t="s">
        <v>7</v>
      </c>
      <c r="D1280" s="38" t="s">
        <v>405</v>
      </c>
      <c r="E1280" s="38" t="s">
        <v>81</v>
      </c>
      <c r="F1280" s="38" t="s">
        <v>285</v>
      </c>
      <c r="G1280" s="38" t="s">
        <v>138</v>
      </c>
      <c r="H1280" s="9" t="s">
        <v>102</v>
      </c>
      <c r="I1280" s="38" t="s">
        <v>58</v>
      </c>
      <c r="J1280" s="38">
        <v>0</v>
      </c>
      <c r="K1280">
        <v>0</v>
      </c>
      <c r="L1280">
        <v>0</v>
      </c>
      <c r="M1280">
        <v>0</v>
      </c>
      <c r="N1280" s="38">
        <v>19.600000000000001</v>
      </c>
      <c r="O1280" s="38"/>
      <c r="P1280" s="38" t="s">
        <v>151</v>
      </c>
      <c r="Q1280" s="38"/>
    </row>
    <row r="1281" spans="1:17" x14ac:dyDescent="0.25">
      <c r="A1281" s="39">
        <v>45420</v>
      </c>
      <c r="B1281" s="38" t="s">
        <v>99</v>
      </c>
      <c r="C1281" s="38" t="s">
        <v>7</v>
      </c>
      <c r="D1281" s="38" t="s">
        <v>249</v>
      </c>
      <c r="E1281" s="38" t="s">
        <v>81</v>
      </c>
      <c r="F1281" s="38" t="s">
        <v>90</v>
      </c>
      <c r="G1281" s="38" t="s">
        <v>138</v>
      </c>
      <c r="H1281" s="9" t="s">
        <v>100</v>
      </c>
      <c r="I1281" s="38"/>
      <c r="J1281" s="38">
        <v>0</v>
      </c>
      <c r="K1281">
        <v>0</v>
      </c>
      <c r="L1281">
        <v>0</v>
      </c>
      <c r="M1281">
        <v>0</v>
      </c>
      <c r="N1281" s="38">
        <v>41.83</v>
      </c>
      <c r="O1281" s="38"/>
      <c r="P1281" s="38" t="s">
        <v>152</v>
      </c>
      <c r="Q1281" s="38"/>
    </row>
    <row r="1282" spans="1:17" x14ac:dyDescent="0.25">
      <c r="A1282" s="39">
        <v>45420</v>
      </c>
      <c r="B1282" s="38" t="s">
        <v>97</v>
      </c>
      <c r="C1282" s="38" t="s">
        <v>7</v>
      </c>
      <c r="D1282" s="38" t="s">
        <v>288</v>
      </c>
      <c r="E1282" s="38" t="s">
        <v>352</v>
      </c>
      <c r="F1282" s="38" t="s">
        <v>285</v>
      </c>
      <c r="G1282" s="38" t="s">
        <v>138</v>
      </c>
      <c r="H1282" s="9" t="s">
        <v>98</v>
      </c>
      <c r="I1282" s="38" t="s">
        <v>58</v>
      </c>
      <c r="J1282" s="38">
        <v>0</v>
      </c>
      <c r="K1282">
        <v>0</v>
      </c>
      <c r="L1282">
        <v>0</v>
      </c>
      <c r="M1282">
        <v>0</v>
      </c>
      <c r="N1282" s="38">
        <v>22.49</v>
      </c>
      <c r="O1282" s="38"/>
      <c r="P1282" s="38" t="s">
        <v>148</v>
      </c>
      <c r="Q1282" s="38"/>
    </row>
    <row r="1283" spans="1:17" x14ac:dyDescent="0.25">
      <c r="A1283" s="39">
        <v>45420</v>
      </c>
      <c r="B1283" s="38" t="s">
        <v>95</v>
      </c>
      <c r="C1283" s="38" t="s">
        <v>7</v>
      </c>
      <c r="D1283" s="38" t="s">
        <v>181</v>
      </c>
      <c r="E1283" s="38" t="s">
        <v>81</v>
      </c>
      <c r="F1283" s="38" t="s">
        <v>90</v>
      </c>
      <c r="G1283" s="38" t="s">
        <v>138</v>
      </c>
      <c r="H1283" s="9" t="s">
        <v>96</v>
      </c>
      <c r="I1283" s="38" t="s">
        <v>65</v>
      </c>
      <c r="J1283" s="38">
        <v>0</v>
      </c>
      <c r="K1283">
        <v>0</v>
      </c>
      <c r="L1283">
        <v>0</v>
      </c>
      <c r="M1283">
        <v>0</v>
      </c>
      <c r="N1283" s="38">
        <v>20.38</v>
      </c>
      <c r="O1283" s="38"/>
      <c r="P1283" s="38" t="s">
        <v>152</v>
      </c>
      <c r="Q1283" s="38"/>
    </row>
    <row r="1284" spans="1:17" x14ac:dyDescent="0.25">
      <c r="A1284" s="39">
        <v>45420</v>
      </c>
      <c r="B1284" s="38" t="s">
        <v>14</v>
      </c>
      <c r="C1284" s="38" t="s">
        <v>7</v>
      </c>
      <c r="D1284" s="38" t="s">
        <v>289</v>
      </c>
      <c r="E1284" s="38" t="s">
        <v>352</v>
      </c>
      <c r="F1284" s="38" t="s">
        <v>285</v>
      </c>
      <c r="G1284" s="38" t="s">
        <v>138</v>
      </c>
      <c r="H1284" s="9" t="s">
        <v>94</v>
      </c>
      <c r="I1284" s="38" t="s">
        <v>58</v>
      </c>
      <c r="J1284" s="38">
        <v>0</v>
      </c>
      <c r="K1284">
        <v>0</v>
      </c>
      <c r="L1284">
        <v>0</v>
      </c>
      <c r="M1284">
        <v>0</v>
      </c>
      <c r="N1284" s="38">
        <v>25.88</v>
      </c>
      <c r="O1284" s="38"/>
      <c r="P1284" s="38" t="s">
        <v>151</v>
      </c>
      <c r="Q1284" s="38"/>
    </row>
    <row r="1285" spans="1:17" x14ac:dyDescent="0.25">
      <c r="A1285" s="39">
        <v>45420</v>
      </c>
      <c r="B1285" s="38" t="s">
        <v>91</v>
      </c>
      <c r="C1285" s="38" t="s">
        <v>7</v>
      </c>
      <c r="D1285" s="38" t="s">
        <v>180</v>
      </c>
      <c r="E1285" s="38" t="s">
        <v>81</v>
      </c>
      <c r="F1285" s="38" t="s">
        <v>90</v>
      </c>
      <c r="G1285" s="38" t="s">
        <v>138</v>
      </c>
      <c r="H1285" s="9" t="s">
        <v>92</v>
      </c>
      <c r="I1285" s="38"/>
      <c r="J1285" s="38">
        <v>0</v>
      </c>
      <c r="K1285">
        <v>0</v>
      </c>
      <c r="L1285">
        <v>0</v>
      </c>
      <c r="M1285">
        <v>0</v>
      </c>
      <c r="N1285" s="38">
        <v>16.73</v>
      </c>
      <c r="O1285" s="38"/>
      <c r="P1285" s="38" t="s">
        <v>148</v>
      </c>
      <c r="Q1285" s="38"/>
    </row>
    <row r="1286" spans="1:17" x14ac:dyDescent="0.25">
      <c r="A1286" s="39">
        <v>45420</v>
      </c>
      <c r="B1286" s="38" t="s">
        <v>15</v>
      </c>
      <c r="C1286" s="38" t="s">
        <v>7</v>
      </c>
      <c r="D1286" s="38" t="s">
        <v>140</v>
      </c>
      <c r="E1286" s="38" t="s">
        <v>81</v>
      </c>
      <c r="F1286" s="38" t="s">
        <v>285</v>
      </c>
      <c r="G1286" s="38" t="s">
        <v>138</v>
      </c>
      <c r="H1286" s="9" t="s">
        <v>218</v>
      </c>
      <c r="I1286" s="38" t="s">
        <v>58</v>
      </c>
      <c r="J1286" s="38">
        <v>0</v>
      </c>
      <c r="K1286">
        <v>0</v>
      </c>
      <c r="L1286">
        <v>0</v>
      </c>
      <c r="M1286">
        <v>0</v>
      </c>
      <c r="N1286" s="38">
        <v>20.190000000000001</v>
      </c>
      <c r="O1286" s="38"/>
      <c r="P1286" s="38" t="s">
        <v>148</v>
      </c>
      <c r="Q1286" s="38"/>
    </row>
    <row r="1287" spans="1:17" x14ac:dyDescent="0.25">
      <c r="A1287" s="39">
        <v>45420</v>
      </c>
      <c r="B1287" s="38" t="s">
        <v>89</v>
      </c>
      <c r="C1287" s="38" t="s">
        <v>7</v>
      </c>
      <c r="D1287" s="38" t="s">
        <v>176</v>
      </c>
      <c r="E1287" s="38" t="s">
        <v>398</v>
      </c>
      <c r="F1287" s="38" t="s">
        <v>90</v>
      </c>
      <c r="G1287" s="38" t="s">
        <v>138</v>
      </c>
      <c r="H1287" s="9" t="s">
        <v>219</v>
      </c>
      <c r="I1287" s="38" t="s">
        <v>65</v>
      </c>
      <c r="J1287" s="38">
        <v>0</v>
      </c>
      <c r="K1287">
        <v>0</v>
      </c>
      <c r="L1287">
        <v>0</v>
      </c>
      <c r="M1287">
        <v>0</v>
      </c>
      <c r="N1287" s="38">
        <v>17.670000000000002</v>
      </c>
      <c r="O1287" s="38"/>
      <c r="P1287" s="38" t="s">
        <v>186</v>
      </c>
      <c r="Q1287" s="38"/>
    </row>
    <row r="1288" spans="1:17" x14ac:dyDescent="0.25">
      <c r="A1288" s="39">
        <v>45420</v>
      </c>
      <c r="B1288" s="38" t="s">
        <v>16</v>
      </c>
      <c r="C1288" s="38" t="s">
        <v>7</v>
      </c>
      <c r="D1288" s="38" t="s">
        <v>407</v>
      </c>
      <c r="E1288" s="38" t="s">
        <v>360</v>
      </c>
      <c r="F1288" s="38" t="s">
        <v>253</v>
      </c>
      <c r="G1288" s="38" t="s">
        <v>138</v>
      </c>
      <c r="H1288" s="9" t="s">
        <v>220</v>
      </c>
      <c r="I1288" s="38" t="s">
        <v>58</v>
      </c>
      <c r="J1288" s="38">
        <v>0</v>
      </c>
      <c r="K1288">
        <v>0</v>
      </c>
      <c r="L1288">
        <v>0</v>
      </c>
      <c r="M1288">
        <v>0</v>
      </c>
      <c r="N1288" s="38">
        <v>21.19</v>
      </c>
      <c r="O1288" s="38"/>
      <c r="P1288" s="38" t="s">
        <v>151</v>
      </c>
      <c r="Q1288" s="38"/>
    </row>
    <row r="1289" spans="1:17" x14ac:dyDescent="0.25">
      <c r="A1289" s="39">
        <v>45420</v>
      </c>
      <c r="B1289" s="38" t="s">
        <v>88</v>
      </c>
      <c r="C1289" s="38" t="s">
        <v>7</v>
      </c>
      <c r="D1289" s="38" t="s">
        <v>311</v>
      </c>
      <c r="E1289" s="38" t="s">
        <v>60</v>
      </c>
      <c r="F1289" s="38" t="s">
        <v>253</v>
      </c>
      <c r="G1289" s="38" t="s">
        <v>138</v>
      </c>
      <c r="H1289" s="9" t="s">
        <v>221</v>
      </c>
      <c r="I1289" s="38"/>
      <c r="J1289" s="38">
        <v>0</v>
      </c>
      <c r="K1289">
        <v>0</v>
      </c>
      <c r="L1289">
        <v>0</v>
      </c>
      <c r="M1289">
        <v>0</v>
      </c>
      <c r="N1289" s="38">
        <v>38.44</v>
      </c>
      <c r="O1289" s="38"/>
      <c r="P1289" s="38" t="s">
        <v>154</v>
      </c>
      <c r="Q1289" s="38"/>
    </row>
    <row r="1290" spans="1:17" x14ac:dyDescent="0.25">
      <c r="A1290" s="39">
        <v>45420</v>
      </c>
      <c r="B1290" s="38" t="s">
        <v>17</v>
      </c>
      <c r="C1290" s="38" t="s">
        <v>7</v>
      </c>
      <c r="D1290" s="38" t="s">
        <v>272</v>
      </c>
      <c r="E1290" s="38" t="s">
        <v>275</v>
      </c>
      <c r="F1290" s="38" t="s">
        <v>276</v>
      </c>
      <c r="G1290" s="38" t="s">
        <v>138</v>
      </c>
      <c r="H1290" s="9" t="s">
        <v>222</v>
      </c>
      <c r="I1290" s="38" t="s">
        <v>58</v>
      </c>
      <c r="J1290" s="38">
        <v>0</v>
      </c>
      <c r="K1290">
        <v>0</v>
      </c>
      <c r="L1290">
        <v>0</v>
      </c>
      <c r="M1290">
        <v>0</v>
      </c>
      <c r="N1290" s="38">
        <v>20.56</v>
      </c>
      <c r="O1290" s="38"/>
      <c r="P1290" s="38" t="s">
        <v>151</v>
      </c>
      <c r="Q1290" s="38"/>
    </row>
    <row r="1291" spans="1:17" x14ac:dyDescent="0.25">
      <c r="A1291" s="39">
        <v>45420</v>
      </c>
      <c r="B1291" s="38" t="s">
        <v>19</v>
      </c>
      <c r="C1291" s="38" t="s">
        <v>7</v>
      </c>
      <c r="D1291" s="38" t="s">
        <v>343</v>
      </c>
      <c r="E1291" s="38" t="s">
        <v>81</v>
      </c>
      <c r="F1291" s="38" t="s">
        <v>253</v>
      </c>
      <c r="G1291" s="38" t="s">
        <v>138</v>
      </c>
      <c r="H1291" s="9" t="s">
        <v>223</v>
      </c>
      <c r="I1291" s="38" t="s">
        <v>65</v>
      </c>
      <c r="J1291" s="38">
        <v>0</v>
      </c>
      <c r="K1291">
        <v>0</v>
      </c>
      <c r="L1291">
        <v>0</v>
      </c>
      <c r="M1291">
        <v>0</v>
      </c>
      <c r="N1291" s="38">
        <v>41.06</v>
      </c>
      <c r="O1291" s="38"/>
      <c r="P1291" s="38" t="s">
        <v>151</v>
      </c>
      <c r="Q1291" s="38"/>
    </row>
    <row r="1292" spans="1:17" x14ac:dyDescent="0.25">
      <c r="A1292" s="39">
        <v>45420</v>
      </c>
      <c r="B1292" s="38" t="s">
        <v>18</v>
      </c>
      <c r="C1292" s="38" t="s">
        <v>7</v>
      </c>
      <c r="D1292" s="38" t="s">
        <v>268</v>
      </c>
      <c r="E1292" s="38" t="s">
        <v>408</v>
      </c>
      <c r="F1292" s="38" t="s">
        <v>253</v>
      </c>
      <c r="G1292" s="38" t="s">
        <v>138</v>
      </c>
      <c r="H1292" s="9" t="s">
        <v>224</v>
      </c>
      <c r="I1292" s="38" t="s">
        <v>58</v>
      </c>
      <c r="J1292" s="38">
        <v>0</v>
      </c>
      <c r="K1292">
        <v>0</v>
      </c>
      <c r="L1292">
        <v>0</v>
      </c>
      <c r="M1292">
        <v>0</v>
      </c>
      <c r="N1292" s="38">
        <v>18.89</v>
      </c>
      <c r="O1292" s="38"/>
      <c r="P1292" s="38" t="s">
        <v>148</v>
      </c>
      <c r="Q1292" s="38"/>
    </row>
    <row r="1293" spans="1:17" x14ac:dyDescent="0.25">
      <c r="A1293" s="39">
        <v>45420</v>
      </c>
      <c r="B1293" s="38" t="s">
        <v>87</v>
      </c>
      <c r="C1293" s="38" t="s">
        <v>7</v>
      </c>
      <c r="D1293" s="38"/>
      <c r="E1293" s="38"/>
      <c r="F1293" s="38"/>
      <c r="G1293" s="38" t="s">
        <v>138</v>
      </c>
      <c r="H1293" s="9" t="s">
        <v>225</v>
      </c>
      <c r="I1293" s="38"/>
      <c r="J1293" s="38">
        <v>0</v>
      </c>
      <c r="K1293">
        <v>0</v>
      </c>
      <c r="L1293">
        <v>0</v>
      </c>
      <c r="M1293">
        <v>0</v>
      </c>
      <c r="N1293" s="38">
        <v>41146219</v>
      </c>
      <c r="O1293" s="38"/>
      <c r="P1293" s="38"/>
      <c r="Q1293" s="38"/>
    </row>
    <row r="1294" spans="1:17" x14ac:dyDescent="0.25">
      <c r="A1294" s="39">
        <v>45420</v>
      </c>
      <c r="B1294" s="38" t="s">
        <v>42</v>
      </c>
      <c r="C1294" s="38" t="s">
        <v>7</v>
      </c>
      <c r="D1294" s="38" t="s">
        <v>246</v>
      </c>
      <c r="E1294" s="38" t="s">
        <v>81</v>
      </c>
      <c r="F1294" s="38" t="s">
        <v>285</v>
      </c>
      <c r="G1294" s="38" t="s">
        <v>138</v>
      </c>
      <c r="H1294" s="9" t="s">
        <v>226</v>
      </c>
      <c r="I1294" s="38" t="s">
        <v>58</v>
      </c>
      <c r="J1294" s="38">
        <v>0</v>
      </c>
      <c r="K1294">
        <v>0</v>
      </c>
      <c r="L1294">
        <v>0</v>
      </c>
      <c r="M1294">
        <v>0</v>
      </c>
      <c r="N1294" s="38">
        <v>20.7</v>
      </c>
      <c r="O1294" s="38"/>
      <c r="P1294" s="38" t="s">
        <v>148</v>
      </c>
      <c r="Q1294" s="38"/>
    </row>
    <row r="1295" spans="1:17" x14ac:dyDescent="0.25">
      <c r="A1295" s="39">
        <v>45420</v>
      </c>
      <c r="B1295" s="38" t="s">
        <v>86</v>
      </c>
      <c r="C1295" s="38" t="s">
        <v>7</v>
      </c>
      <c r="D1295" s="38" t="s">
        <v>271</v>
      </c>
      <c r="E1295" s="38" t="s">
        <v>275</v>
      </c>
      <c r="F1295" s="38" t="s">
        <v>276</v>
      </c>
      <c r="G1295" s="38" t="s">
        <v>138</v>
      </c>
      <c r="H1295" s="9" t="s">
        <v>227</v>
      </c>
      <c r="I1295" s="38" t="s">
        <v>65</v>
      </c>
      <c r="J1295" s="38">
        <v>0</v>
      </c>
      <c r="K1295">
        <v>0</v>
      </c>
      <c r="L1295">
        <v>0</v>
      </c>
      <c r="M1295">
        <v>0</v>
      </c>
      <c r="N1295" s="38">
        <v>41.64</v>
      </c>
      <c r="O1295" s="38"/>
      <c r="P1295" s="38" t="s">
        <v>152</v>
      </c>
      <c r="Q1295" s="38"/>
    </row>
    <row r="1296" spans="1:17" x14ac:dyDescent="0.25">
      <c r="A1296" s="39">
        <v>45420</v>
      </c>
      <c r="B1296" s="38" t="s">
        <v>38</v>
      </c>
      <c r="C1296" s="38" t="s">
        <v>7</v>
      </c>
      <c r="D1296" s="38" t="s">
        <v>141</v>
      </c>
      <c r="E1296" s="38" t="s">
        <v>81</v>
      </c>
      <c r="F1296" s="38" t="s">
        <v>285</v>
      </c>
      <c r="G1296" s="38" t="s">
        <v>138</v>
      </c>
      <c r="H1296" s="9" t="s">
        <v>85</v>
      </c>
      <c r="I1296" s="38" t="s">
        <v>58</v>
      </c>
      <c r="J1296" s="38">
        <v>0</v>
      </c>
      <c r="K1296">
        <v>0</v>
      </c>
      <c r="L1296">
        <v>0</v>
      </c>
      <c r="M1296">
        <v>0</v>
      </c>
      <c r="N1296" s="38">
        <v>37.5</v>
      </c>
      <c r="O1296" s="38"/>
      <c r="P1296" s="38" t="s">
        <v>151</v>
      </c>
      <c r="Q1296" s="38"/>
    </row>
    <row r="1297" spans="1:17" x14ac:dyDescent="0.25">
      <c r="A1297" s="39">
        <v>45420</v>
      </c>
      <c r="B1297" s="38" t="s">
        <v>83</v>
      </c>
      <c r="C1297" s="38" t="s">
        <v>7</v>
      </c>
      <c r="D1297" s="38"/>
      <c r="E1297" s="38"/>
      <c r="F1297" s="38"/>
      <c r="G1297" s="38" t="s">
        <v>138</v>
      </c>
      <c r="H1297" s="9" t="s">
        <v>84</v>
      </c>
      <c r="I1297" s="38"/>
      <c r="J1297" s="38">
        <v>0</v>
      </c>
      <c r="K1297">
        <v>0</v>
      </c>
      <c r="L1297">
        <v>0</v>
      </c>
      <c r="M1297">
        <v>0</v>
      </c>
      <c r="N1297" s="38">
        <v>41.36</v>
      </c>
      <c r="O1297" s="38"/>
      <c r="P1297" s="38"/>
      <c r="Q1297" s="38"/>
    </row>
    <row r="1298" spans="1:17" x14ac:dyDescent="0.25">
      <c r="A1298" s="39">
        <v>45420</v>
      </c>
      <c r="B1298" s="38" t="s">
        <v>20</v>
      </c>
      <c r="C1298" s="38" t="s">
        <v>7</v>
      </c>
      <c r="D1298" s="38" t="s">
        <v>351</v>
      </c>
      <c r="E1298" s="38" t="s">
        <v>352</v>
      </c>
      <c r="F1298" s="38" t="s">
        <v>285</v>
      </c>
      <c r="G1298" s="38" t="s">
        <v>138</v>
      </c>
      <c r="H1298" s="9" t="s">
        <v>82</v>
      </c>
      <c r="I1298" s="38" t="s">
        <v>58</v>
      </c>
      <c r="J1298" s="38">
        <v>0</v>
      </c>
      <c r="K1298">
        <v>0</v>
      </c>
      <c r="L1298">
        <v>0</v>
      </c>
      <c r="M1298">
        <v>0</v>
      </c>
      <c r="N1298" s="38">
        <v>22.79</v>
      </c>
      <c r="O1298" s="38"/>
      <c r="P1298" s="38" t="s">
        <v>151</v>
      </c>
      <c r="Q1298" s="38"/>
    </row>
    <row r="1299" spans="1:17" x14ac:dyDescent="0.25">
      <c r="A1299" s="39">
        <v>45420</v>
      </c>
      <c r="B1299" s="38" t="s">
        <v>21</v>
      </c>
      <c r="C1299" s="38" t="s">
        <v>7</v>
      </c>
      <c r="D1299" s="38" t="s">
        <v>291</v>
      </c>
      <c r="E1299" s="38" t="s">
        <v>352</v>
      </c>
      <c r="F1299" s="38" t="s">
        <v>285</v>
      </c>
      <c r="G1299" s="38" t="s">
        <v>138</v>
      </c>
      <c r="H1299" s="9" t="s">
        <v>80</v>
      </c>
      <c r="I1299" s="38" t="s">
        <v>65</v>
      </c>
      <c r="J1299" s="38">
        <v>0</v>
      </c>
      <c r="K1299">
        <v>0</v>
      </c>
      <c r="L1299">
        <v>0</v>
      </c>
      <c r="M1299">
        <v>0</v>
      </c>
      <c r="N1299" s="38">
        <v>21.59</v>
      </c>
      <c r="O1299" s="38"/>
      <c r="P1299" s="38" t="s">
        <v>152</v>
      </c>
      <c r="Q1299" s="38"/>
    </row>
    <row r="1300" spans="1:17" x14ac:dyDescent="0.25">
      <c r="A1300" s="39">
        <v>45420</v>
      </c>
      <c r="B1300" s="38" t="s">
        <v>22</v>
      </c>
      <c r="C1300" s="38" t="s">
        <v>7</v>
      </c>
      <c r="D1300" s="38" t="s">
        <v>353</v>
      </c>
      <c r="E1300" s="38" t="s">
        <v>352</v>
      </c>
      <c r="F1300" s="38" t="s">
        <v>285</v>
      </c>
      <c r="G1300" s="38" t="s">
        <v>138</v>
      </c>
      <c r="H1300" s="9" t="s">
        <v>79</v>
      </c>
      <c r="I1300" s="38" t="s">
        <v>58</v>
      </c>
      <c r="J1300" s="38">
        <v>0</v>
      </c>
      <c r="K1300">
        <v>0</v>
      </c>
      <c r="L1300">
        <v>0</v>
      </c>
      <c r="M1300">
        <v>0</v>
      </c>
      <c r="N1300" s="38">
        <v>13.62</v>
      </c>
      <c r="O1300" s="38"/>
      <c r="P1300" s="38" t="s">
        <v>148</v>
      </c>
      <c r="Q1300" s="38"/>
    </row>
    <row r="1301" spans="1:17" x14ac:dyDescent="0.25">
      <c r="A1301" s="39">
        <v>45420</v>
      </c>
      <c r="B1301" s="38" t="s">
        <v>77</v>
      </c>
      <c r="C1301" s="38" t="s">
        <v>7</v>
      </c>
      <c r="D1301" s="38"/>
      <c r="E1301" s="38"/>
      <c r="F1301" s="38"/>
      <c r="G1301" s="38" t="s">
        <v>138</v>
      </c>
      <c r="H1301" s="9" t="s">
        <v>78</v>
      </c>
      <c r="I1301" s="38"/>
      <c r="J1301" s="38">
        <v>0</v>
      </c>
      <c r="K1301">
        <v>0</v>
      </c>
      <c r="L1301">
        <v>0</v>
      </c>
      <c r="M1301">
        <v>0</v>
      </c>
      <c r="N1301" s="38">
        <v>17.88</v>
      </c>
      <c r="O1301" s="38"/>
      <c r="P1301" s="38"/>
      <c r="Q1301" s="38"/>
    </row>
    <row r="1302" spans="1:17" x14ac:dyDescent="0.25">
      <c r="A1302" s="39">
        <v>45420</v>
      </c>
      <c r="B1302" s="38" t="s">
        <v>23</v>
      </c>
      <c r="C1302" s="38" t="s">
        <v>7</v>
      </c>
      <c r="D1302" s="38" t="s">
        <v>409</v>
      </c>
      <c r="E1302" s="38" t="s">
        <v>352</v>
      </c>
      <c r="F1302" s="38" t="s">
        <v>285</v>
      </c>
      <c r="G1302" s="38" t="s">
        <v>138</v>
      </c>
      <c r="H1302" s="9" t="s">
        <v>228</v>
      </c>
      <c r="I1302" s="38" t="s">
        <v>58</v>
      </c>
      <c r="J1302" s="38">
        <v>0</v>
      </c>
      <c r="K1302">
        <v>0</v>
      </c>
      <c r="L1302">
        <v>0</v>
      </c>
      <c r="M1302">
        <v>0</v>
      </c>
      <c r="N1302" s="38">
        <v>23.22</v>
      </c>
      <c r="O1302" s="38"/>
      <c r="P1302" s="38" t="s">
        <v>148</v>
      </c>
      <c r="Q1302" s="38"/>
    </row>
    <row r="1303" spans="1:17" x14ac:dyDescent="0.25">
      <c r="A1303" s="39">
        <v>45420</v>
      </c>
      <c r="B1303" s="38" t="s">
        <v>24</v>
      </c>
      <c r="C1303" s="38" t="s">
        <v>7</v>
      </c>
      <c r="D1303" s="38" t="s">
        <v>344</v>
      </c>
      <c r="E1303" s="38" t="s">
        <v>379</v>
      </c>
      <c r="F1303" s="38" t="s">
        <v>253</v>
      </c>
      <c r="G1303" s="38" t="s">
        <v>138</v>
      </c>
      <c r="H1303" s="9" t="s">
        <v>229</v>
      </c>
      <c r="I1303" s="38" t="s">
        <v>65</v>
      </c>
      <c r="J1303" s="38">
        <v>0</v>
      </c>
      <c r="K1303">
        <v>0</v>
      </c>
      <c r="L1303">
        <v>0</v>
      </c>
      <c r="M1303">
        <v>0</v>
      </c>
      <c r="N1303" s="38">
        <v>18.37</v>
      </c>
      <c r="O1303" s="38"/>
      <c r="P1303" s="38" t="s">
        <v>152</v>
      </c>
      <c r="Q1303" s="38"/>
    </row>
    <row r="1304" spans="1:17" x14ac:dyDescent="0.25">
      <c r="A1304" s="39">
        <v>45420</v>
      </c>
      <c r="B1304" s="38" t="s">
        <v>75</v>
      </c>
      <c r="C1304" s="38" t="s">
        <v>7</v>
      </c>
      <c r="D1304" s="38" t="s">
        <v>410</v>
      </c>
      <c r="E1304" s="38" t="s">
        <v>202</v>
      </c>
      <c r="F1304" s="38" t="s">
        <v>346</v>
      </c>
      <c r="G1304" s="38" t="s">
        <v>138</v>
      </c>
      <c r="H1304" s="9" t="s">
        <v>230</v>
      </c>
      <c r="I1304" s="38" t="s">
        <v>58</v>
      </c>
      <c r="J1304" s="38">
        <v>0</v>
      </c>
      <c r="K1304">
        <v>0</v>
      </c>
      <c r="L1304">
        <v>0</v>
      </c>
      <c r="M1304">
        <v>0</v>
      </c>
      <c r="N1304" s="38">
        <v>12.9</v>
      </c>
      <c r="O1304" s="38"/>
      <c r="P1304" s="38" t="s">
        <v>303</v>
      </c>
      <c r="Q1304" s="38"/>
    </row>
    <row r="1305" spans="1:17" x14ac:dyDescent="0.25">
      <c r="A1305" s="39">
        <v>45420</v>
      </c>
      <c r="B1305" s="38" t="s">
        <v>25</v>
      </c>
      <c r="C1305" s="38" t="s">
        <v>7</v>
      </c>
      <c r="D1305" s="38" t="s">
        <v>383</v>
      </c>
      <c r="E1305" s="38" t="s">
        <v>81</v>
      </c>
      <c r="F1305" s="38" t="s">
        <v>285</v>
      </c>
      <c r="G1305" s="38" t="s">
        <v>138</v>
      </c>
      <c r="H1305" s="9" t="s">
        <v>231</v>
      </c>
      <c r="I1305" s="38" t="s">
        <v>65</v>
      </c>
      <c r="J1305" s="38">
        <v>0</v>
      </c>
      <c r="K1305">
        <v>0</v>
      </c>
      <c r="L1305">
        <v>0</v>
      </c>
      <c r="M1305">
        <v>0</v>
      </c>
      <c r="N1305" s="38">
        <v>12.16</v>
      </c>
      <c r="O1305" s="38"/>
      <c r="P1305" s="38" t="s">
        <v>148</v>
      </c>
      <c r="Q1305" s="38"/>
    </row>
    <row r="1306" spans="1:17" x14ac:dyDescent="0.25">
      <c r="A1306" s="39">
        <v>45420</v>
      </c>
      <c r="B1306" s="38" t="s">
        <v>74</v>
      </c>
      <c r="C1306" s="38" t="s">
        <v>7</v>
      </c>
      <c r="D1306" s="38" t="s">
        <v>292</v>
      </c>
      <c r="E1306" s="38" t="s">
        <v>60</v>
      </c>
      <c r="F1306" s="38" t="s">
        <v>346</v>
      </c>
      <c r="G1306" s="38" t="s">
        <v>138</v>
      </c>
      <c r="H1306" s="9" t="s">
        <v>232</v>
      </c>
      <c r="I1306" s="38" t="s">
        <v>58</v>
      </c>
      <c r="J1306" s="38">
        <v>0</v>
      </c>
      <c r="K1306">
        <v>0</v>
      </c>
      <c r="L1306">
        <v>0</v>
      </c>
      <c r="M1306">
        <v>0</v>
      </c>
      <c r="N1306" s="38">
        <v>15.61</v>
      </c>
      <c r="O1306" s="38"/>
      <c r="P1306" s="38" t="s">
        <v>293</v>
      </c>
      <c r="Q1306" s="38"/>
    </row>
    <row r="1307" spans="1:17" x14ac:dyDescent="0.25">
      <c r="A1307" s="39">
        <v>45420</v>
      </c>
      <c r="B1307" s="38" t="s">
        <v>26</v>
      </c>
      <c r="C1307" s="38" t="s">
        <v>7</v>
      </c>
      <c r="D1307" s="38" t="s">
        <v>294</v>
      </c>
      <c r="E1307" s="38" t="s">
        <v>56</v>
      </c>
      <c r="F1307" s="38" t="s">
        <v>184</v>
      </c>
      <c r="G1307" s="38" t="s">
        <v>138</v>
      </c>
      <c r="H1307" s="9" t="s">
        <v>233</v>
      </c>
      <c r="I1307" s="38" t="s">
        <v>65</v>
      </c>
      <c r="J1307" s="38">
        <v>0</v>
      </c>
      <c r="K1307">
        <v>0</v>
      </c>
      <c r="L1307">
        <v>0</v>
      </c>
      <c r="M1307">
        <v>0</v>
      </c>
      <c r="N1307" s="38">
        <v>13.29</v>
      </c>
      <c r="O1307" s="38"/>
      <c r="P1307" s="38" t="s">
        <v>155</v>
      </c>
      <c r="Q1307" s="38"/>
    </row>
    <row r="1308" spans="1:17" x14ac:dyDescent="0.25">
      <c r="A1308" s="39">
        <v>45420</v>
      </c>
      <c r="B1308" s="38" t="s">
        <v>27</v>
      </c>
      <c r="C1308" s="38" t="s">
        <v>7</v>
      </c>
      <c r="D1308" s="38" t="s">
        <v>384</v>
      </c>
      <c r="E1308" s="38" t="s">
        <v>366</v>
      </c>
      <c r="F1308" s="38" t="s">
        <v>346</v>
      </c>
      <c r="G1308" s="38" t="s">
        <v>138</v>
      </c>
      <c r="H1308" s="9" t="s">
        <v>234</v>
      </c>
      <c r="I1308" s="38" t="s">
        <v>58</v>
      </c>
      <c r="J1308" s="38">
        <v>0</v>
      </c>
      <c r="K1308">
        <v>0</v>
      </c>
      <c r="L1308">
        <v>0</v>
      </c>
      <c r="M1308">
        <v>0</v>
      </c>
      <c r="N1308" s="38">
        <v>13.89</v>
      </c>
      <c r="O1308" s="38"/>
      <c r="P1308" s="38" t="s">
        <v>269</v>
      </c>
      <c r="Q1308" s="38"/>
    </row>
    <row r="1309" spans="1:17" x14ac:dyDescent="0.25">
      <c r="A1309" s="39">
        <v>45420</v>
      </c>
      <c r="B1309" s="38" t="s">
        <v>28</v>
      </c>
      <c r="C1309" s="38" t="s">
        <v>7</v>
      </c>
      <c r="D1309" s="38" t="s">
        <v>411</v>
      </c>
      <c r="E1309" s="38" t="s">
        <v>56</v>
      </c>
      <c r="F1309" s="38" t="s">
        <v>338</v>
      </c>
      <c r="G1309" s="38" t="s">
        <v>138</v>
      </c>
      <c r="H1309" s="9" t="s">
        <v>235</v>
      </c>
      <c r="I1309" s="38" t="s">
        <v>65</v>
      </c>
      <c r="J1309" s="38">
        <v>0</v>
      </c>
      <c r="K1309">
        <v>0</v>
      </c>
      <c r="L1309">
        <v>0</v>
      </c>
      <c r="M1309">
        <v>0</v>
      </c>
      <c r="N1309" s="38">
        <v>13.9</v>
      </c>
      <c r="O1309" s="38"/>
      <c r="P1309" s="38" t="s">
        <v>155</v>
      </c>
      <c r="Q1309" s="38"/>
    </row>
    <row r="1310" spans="1:17" x14ac:dyDescent="0.25">
      <c r="A1310" s="39">
        <v>45420</v>
      </c>
      <c r="B1310" s="38" t="s">
        <v>72</v>
      </c>
      <c r="C1310" s="38" t="s">
        <v>7</v>
      </c>
      <c r="D1310" s="38" t="s">
        <v>322</v>
      </c>
      <c r="E1310" s="38" t="s">
        <v>202</v>
      </c>
      <c r="F1310" s="38" t="s">
        <v>346</v>
      </c>
      <c r="G1310" s="38" t="s">
        <v>138</v>
      </c>
      <c r="H1310" s="9" t="s">
        <v>422</v>
      </c>
      <c r="I1310" s="38" t="s">
        <v>58</v>
      </c>
      <c r="J1310" s="38">
        <v>0</v>
      </c>
      <c r="K1310">
        <v>0</v>
      </c>
      <c r="L1310">
        <v>0</v>
      </c>
      <c r="M1310">
        <v>0</v>
      </c>
      <c r="N1310" s="38">
        <v>15.45</v>
      </c>
      <c r="O1310" s="38"/>
      <c r="P1310" s="38" t="s">
        <v>157</v>
      </c>
      <c r="Q1310" s="38"/>
    </row>
    <row r="1311" spans="1:17" x14ac:dyDescent="0.25">
      <c r="A1311" s="39">
        <v>45420</v>
      </c>
      <c r="B1311" s="38" t="s">
        <v>29</v>
      </c>
      <c r="C1311" s="38" t="s">
        <v>7</v>
      </c>
      <c r="D1311" s="38" t="s">
        <v>315</v>
      </c>
      <c r="E1311" s="38" t="s">
        <v>56</v>
      </c>
      <c r="F1311" s="38" t="s">
        <v>338</v>
      </c>
      <c r="G1311" s="38" t="s">
        <v>138</v>
      </c>
      <c r="H1311" s="9" t="s">
        <v>236</v>
      </c>
      <c r="I1311" s="38" t="s">
        <v>65</v>
      </c>
      <c r="J1311" s="38">
        <v>0</v>
      </c>
      <c r="K1311">
        <v>0</v>
      </c>
      <c r="L1311">
        <v>0</v>
      </c>
      <c r="M1311">
        <v>0</v>
      </c>
      <c r="N1311" s="38">
        <v>13.98</v>
      </c>
      <c r="O1311" s="38"/>
      <c r="P1311" s="38" t="s">
        <v>156</v>
      </c>
      <c r="Q1311" s="38"/>
    </row>
    <row r="1312" spans="1:17" x14ac:dyDescent="0.25">
      <c r="A1312" s="39">
        <v>45420</v>
      </c>
      <c r="B1312" s="38" t="s">
        <v>30</v>
      </c>
      <c r="C1312" s="38" t="s">
        <v>7</v>
      </c>
      <c r="D1312" s="38" t="s">
        <v>305</v>
      </c>
      <c r="E1312" s="38" t="s">
        <v>81</v>
      </c>
      <c r="F1312" s="38" t="s">
        <v>90</v>
      </c>
      <c r="G1312" s="38" t="s">
        <v>138</v>
      </c>
      <c r="H1312" s="9" t="s">
        <v>71</v>
      </c>
      <c r="I1312" s="38" t="s">
        <v>58</v>
      </c>
      <c r="J1312" s="38">
        <v>0</v>
      </c>
      <c r="K1312">
        <v>0</v>
      </c>
      <c r="L1312">
        <v>0</v>
      </c>
      <c r="M1312">
        <v>0</v>
      </c>
      <c r="N1312" s="38">
        <v>10.84</v>
      </c>
      <c r="O1312" s="38"/>
      <c r="P1312" s="38" t="s">
        <v>150</v>
      </c>
      <c r="Q1312" s="38"/>
    </row>
    <row r="1313" spans="1:17" x14ac:dyDescent="0.25">
      <c r="A1313" s="39">
        <v>45420</v>
      </c>
      <c r="B1313" s="38" t="s">
        <v>31</v>
      </c>
      <c r="C1313" s="38" t="s">
        <v>7</v>
      </c>
      <c r="D1313" s="38"/>
      <c r="E1313" s="38" t="s">
        <v>56</v>
      </c>
      <c r="F1313" s="38"/>
      <c r="G1313" s="38" t="s">
        <v>138</v>
      </c>
      <c r="H1313" s="9" t="s">
        <v>70</v>
      </c>
      <c r="I1313" s="38" t="s">
        <v>65</v>
      </c>
      <c r="J1313" s="38">
        <v>0</v>
      </c>
      <c r="K1313">
        <v>0</v>
      </c>
      <c r="L1313">
        <v>0</v>
      </c>
      <c r="M1313">
        <v>0</v>
      </c>
      <c r="N1313" s="38">
        <v>13.5</v>
      </c>
      <c r="O1313" s="38"/>
      <c r="P1313" s="38" t="s">
        <v>156</v>
      </c>
      <c r="Q1313" s="38"/>
    </row>
    <row r="1314" spans="1:17" x14ac:dyDescent="0.25">
      <c r="A1314" s="39">
        <v>45420</v>
      </c>
      <c r="B1314" s="38" t="s">
        <v>32</v>
      </c>
      <c r="C1314" s="38" t="s">
        <v>7</v>
      </c>
      <c r="D1314" s="38" t="s">
        <v>413</v>
      </c>
      <c r="E1314" s="38" t="s">
        <v>202</v>
      </c>
      <c r="F1314" s="38" t="s">
        <v>346</v>
      </c>
      <c r="G1314" s="38" t="s">
        <v>138</v>
      </c>
      <c r="H1314" s="9" t="s">
        <v>69</v>
      </c>
      <c r="I1314" s="38" t="s">
        <v>58</v>
      </c>
      <c r="J1314" s="38">
        <v>0</v>
      </c>
      <c r="K1314">
        <v>0</v>
      </c>
      <c r="L1314">
        <v>0</v>
      </c>
      <c r="M1314">
        <v>0</v>
      </c>
      <c r="N1314" s="38">
        <v>14.39</v>
      </c>
      <c r="O1314" s="38"/>
      <c r="P1314" s="38" t="s">
        <v>414</v>
      </c>
      <c r="Q1314" s="38"/>
    </row>
    <row r="1315" spans="1:17" x14ac:dyDescent="0.25">
      <c r="A1315" s="39">
        <v>45420</v>
      </c>
      <c r="B1315" s="38" t="s">
        <v>67</v>
      </c>
      <c r="C1315" s="38" t="s">
        <v>7</v>
      </c>
      <c r="D1315" s="38" t="s">
        <v>354</v>
      </c>
      <c r="E1315" s="38" t="s">
        <v>56</v>
      </c>
      <c r="F1315" s="38" t="s">
        <v>367</v>
      </c>
      <c r="G1315" s="38" t="s">
        <v>138</v>
      </c>
      <c r="H1315" s="9" t="s">
        <v>68</v>
      </c>
      <c r="I1315" s="38" t="s">
        <v>65</v>
      </c>
      <c r="J1315" s="38">
        <v>0</v>
      </c>
      <c r="K1315">
        <v>0</v>
      </c>
      <c r="L1315">
        <v>0</v>
      </c>
      <c r="M1315">
        <v>0</v>
      </c>
      <c r="N1315" s="38">
        <v>13.8</v>
      </c>
      <c r="O1315" s="38"/>
      <c r="P1315" s="38" t="s">
        <v>156</v>
      </c>
      <c r="Q1315" s="38"/>
    </row>
    <row r="1316" spans="1:17" x14ac:dyDescent="0.25">
      <c r="A1316" s="39">
        <v>45420</v>
      </c>
      <c r="B1316" s="38" t="s">
        <v>33</v>
      </c>
      <c r="C1316" s="38" t="s">
        <v>7</v>
      </c>
      <c r="D1316" s="38" t="s">
        <v>277</v>
      </c>
      <c r="E1316" s="38" t="s">
        <v>73</v>
      </c>
      <c r="F1316" s="38" t="s">
        <v>346</v>
      </c>
      <c r="G1316" s="38" t="s">
        <v>138</v>
      </c>
      <c r="H1316" s="9" t="s">
        <v>66</v>
      </c>
      <c r="I1316" s="38" t="s">
        <v>58</v>
      </c>
      <c r="J1316" s="38">
        <v>0</v>
      </c>
      <c r="K1316">
        <v>0</v>
      </c>
      <c r="L1316">
        <v>0</v>
      </c>
      <c r="M1316">
        <v>0</v>
      </c>
      <c r="N1316" s="38">
        <v>14.19</v>
      </c>
      <c r="O1316" s="38"/>
      <c r="P1316" s="38" t="s">
        <v>201</v>
      </c>
      <c r="Q1316" s="38"/>
    </row>
    <row r="1317" spans="1:17" x14ac:dyDescent="0.25">
      <c r="A1317" s="39">
        <v>45420</v>
      </c>
      <c r="B1317" s="38" t="s">
        <v>34</v>
      </c>
      <c r="C1317" s="38" t="s">
        <v>7</v>
      </c>
      <c r="D1317" s="38" t="s">
        <v>415</v>
      </c>
      <c r="E1317" s="38" t="s">
        <v>56</v>
      </c>
      <c r="F1317" s="38" t="s">
        <v>346</v>
      </c>
      <c r="G1317" s="38" t="s">
        <v>138</v>
      </c>
      <c r="H1317" s="9" t="s">
        <v>64</v>
      </c>
      <c r="I1317" s="38" t="s">
        <v>65</v>
      </c>
      <c r="J1317" s="38">
        <v>0</v>
      </c>
      <c r="K1317">
        <v>0</v>
      </c>
      <c r="L1317">
        <v>0</v>
      </c>
      <c r="M1317">
        <v>0</v>
      </c>
      <c r="N1317" s="38">
        <v>15.6</v>
      </c>
      <c r="O1317" s="38"/>
      <c r="P1317" s="38" t="s">
        <v>416</v>
      </c>
      <c r="Q1317" s="38"/>
    </row>
    <row r="1318" spans="1:17" x14ac:dyDescent="0.25">
      <c r="A1318" s="39">
        <v>45420</v>
      </c>
      <c r="B1318" s="38" t="s">
        <v>35</v>
      </c>
      <c r="C1318" s="38" t="s">
        <v>7</v>
      </c>
      <c r="D1318" s="38" t="s">
        <v>331</v>
      </c>
      <c r="E1318" s="38" t="s">
        <v>60</v>
      </c>
      <c r="F1318" s="38" t="s">
        <v>346</v>
      </c>
      <c r="G1318" s="38" t="s">
        <v>138</v>
      </c>
      <c r="H1318" s="9" t="s">
        <v>237</v>
      </c>
      <c r="I1318" s="38" t="s">
        <v>58</v>
      </c>
      <c r="J1318" s="38">
        <v>0</v>
      </c>
      <c r="K1318">
        <v>0</v>
      </c>
      <c r="L1318">
        <v>0</v>
      </c>
      <c r="M1318">
        <v>0</v>
      </c>
      <c r="N1318" s="38">
        <v>14.64</v>
      </c>
      <c r="O1318" s="38"/>
      <c r="P1318" s="38" t="s">
        <v>158</v>
      </c>
      <c r="Q1318" s="38"/>
    </row>
    <row r="1319" spans="1:17" x14ac:dyDescent="0.25">
      <c r="A1319" s="39">
        <v>45420</v>
      </c>
      <c r="B1319" s="38" t="s">
        <v>418</v>
      </c>
      <c r="C1319" s="38" t="s">
        <v>7</v>
      </c>
      <c r="D1319" s="38"/>
      <c r="E1319" s="38"/>
      <c r="F1319" s="38"/>
      <c r="G1319" s="38" t="s">
        <v>138</v>
      </c>
      <c r="H1319" s="9" t="s">
        <v>240</v>
      </c>
      <c r="I1319" s="38" t="s">
        <v>262</v>
      </c>
      <c r="J1319" s="38">
        <v>0</v>
      </c>
      <c r="K1319">
        <v>0</v>
      </c>
      <c r="L1319">
        <v>0</v>
      </c>
      <c r="M1319">
        <v>0</v>
      </c>
      <c r="N1319" s="38">
        <v>17.670000000000002</v>
      </c>
      <c r="O1319" s="38"/>
      <c r="P1319" s="38"/>
      <c r="Q1319" s="38"/>
    </row>
    <row r="1320" spans="1:17" x14ac:dyDescent="0.25">
      <c r="A1320" s="39">
        <v>45420</v>
      </c>
      <c r="B1320" s="38" t="s">
        <v>419</v>
      </c>
      <c r="C1320" s="38" t="s">
        <v>7</v>
      </c>
      <c r="D1320" s="38"/>
      <c r="E1320" s="38"/>
      <c r="F1320" s="38"/>
      <c r="G1320" s="38" t="s">
        <v>138</v>
      </c>
      <c r="H1320" s="9" t="s">
        <v>240</v>
      </c>
      <c r="I1320" s="38" t="s">
        <v>262</v>
      </c>
      <c r="J1320" s="38">
        <v>0</v>
      </c>
      <c r="K1320">
        <v>0</v>
      </c>
      <c r="L1320">
        <v>0</v>
      </c>
      <c r="M1320">
        <v>0</v>
      </c>
      <c r="N1320" s="38">
        <v>13.49</v>
      </c>
      <c r="O1320" s="38"/>
      <c r="P1320" s="38"/>
      <c r="Q1320" s="38"/>
    </row>
    <row r="1321" spans="1:17" x14ac:dyDescent="0.25">
      <c r="A1321" s="39">
        <v>45420</v>
      </c>
      <c r="B1321" s="38" t="s">
        <v>36</v>
      </c>
      <c r="C1321" s="38" t="s">
        <v>7</v>
      </c>
      <c r="D1321" s="38" t="s">
        <v>295</v>
      </c>
      <c r="E1321" s="38" t="s">
        <v>81</v>
      </c>
      <c r="F1321" s="38" t="s">
        <v>369</v>
      </c>
      <c r="G1321" s="38" t="s">
        <v>138</v>
      </c>
      <c r="H1321" s="9" t="s">
        <v>423</v>
      </c>
      <c r="I1321" s="38" t="s">
        <v>58</v>
      </c>
      <c r="J1321" s="38">
        <v>0</v>
      </c>
      <c r="K1321">
        <v>0</v>
      </c>
      <c r="L1321">
        <v>0</v>
      </c>
      <c r="M1321">
        <v>0</v>
      </c>
      <c r="N1321" s="38">
        <v>38472557</v>
      </c>
      <c r="O1321" s="38"/>
      <c r="P1321" s="38" t="s">
        <v>156</v>
      </c>
      <c r="Q1321" s="38"/>
    </row>
    <row r="1322" spans="1:17" x14ac:dyDescent="0.25">
      <c r="A1322" s="39">
        <v>45420</v>
      </c>
      <c r="B1322" s="38" t="s">
        <v>256</v>
      </c>
      <c r="C1322" s="38" t="s">
        <v>7</v>
      </c>
      <c r="D1322" s="38" t="s">
        <v>392</v>
      </c>
      <c r="E1322" s="38" t="s">
        <v>417</v>
      </c>
      <c r="F1322" s="38" t="s">
        <v>192</v>
      </c>
      <c r="G1322" s="38" t="s">
        <v>138</v>
      </c>
      <c r="H1322" s="9"/>
      <c r="I1322" s="38" t="s">
        <v>262</v>
      </c>
      <c r="J1322" s="38">
        <v>0</v>
      </c>
      <c r="K1322">
        <v>0</v>
      </c>
      <c r="L1322">
        <v>0</v>
      </c>
      <c r="M1322">
        <v>0</v>
      </c>
      <c r="N1322" s="38">
        <v>0</v>
      </c>
      <c r="O1322" s="38"/>
      <c r="P1322" s="38" t="s">
        <v>149</v>
      </c>
      <c r="Q1322" s="38"/>
    </row>
    <row r="1323" spans="1:17" x14ac:dyDescent="0.25">
      <c r="A1323" s="39">
        <v>45420</v>
      </c>
      <c r="B1323" s="38" t="s">
        <v>257</v>
      </c>
      <c r="C1323" s="38" t="s">
        <v>7</v>
      </c>
      <c r="D1323" s="38" t="s">
        <v>392</v>
      </c>
      <c r="E1323" s="38" t="s">
        <v>417</v>
      </c>
      <c r="F1323" s="38" t="s">
        <v>192</v>
      </c>
      <c r="G1323" s="38" t="s">
        <v>138</v>
      </c>
      <c r="H1323" s="9"/>
      <c r="I1323" s="38" t="s">
        <v>58</v>
      </c>
      <c r="J1323" s="38">
        <v>0</v>
      </c>
      <c r="K1323">
        <v>0</v>
      </c>
      <c r="L1323">
        <v>0</v>
      </c>
      <c r="M1323">
        <v>0</v>
      </c>
      <c r="N1323" s="38">
        <v>38.46</v>
      </c>
      <c r="O1323" s="38"/>
      <c r="P1323" s="38" t="s">
        <v>149</v>
      </c>
      <c r="Q1323" s="38"/>
    </row>
    <row r="1324" spans="1:17" x14ac:dyDescent="0.25">
      <c r="A1324" s="39">
        <v>45420</v>
      </c>
      <c r="B1324" s="38" t="s">
        <v>37</v>
      </c>
      <c r="C1324" s="38" t="s">
        <v>7</v>
      </c>
      <c r="D1324" s="38" t="s">
        <v>347</v>
      </c>
      <c r="E1324" s="38" t="s">
        <v>348</v>
      </c>
      <c r="F1324" s="38" t="s">
        <v>346</v>
      </c>
      <c r="G1324" s="38" t="s">
        <v>138</v>
      </c>
      <c r="H1324" s="9" t="s">
        <v>425</v>
      </c>
      <c r="I1324" s="38" t="s">
        <v>58</v>
      </c>
      <c r="J1324" s="38">
        <v>0</v>
      </c>
      <c r="K1324">
        <v>0</v>
      </c>
      <c r="L1324">
        <v>0</v>
      </c>
      <c r="M1324">
        <v>0</v>
      </c>
      <c r="N1324" s="38">
        <v>13.5</v>
      </c>
      <c r="O1324" s="38"/>
      <c r="P1324" s="38" t="s">
        <v>270</v>
      </c>
      <c r="Q1324" s="38"/>
    </row>
    <row r="1325" spans="1:17" x14ac:dyDescent="0.25">
      <c r="A1325" s="39">
        <v>45420</v>
      </c>
      <c r="B1325" s="38" t="s">
        <v>258</v>
      </c>
      <c r="C1325" s="38" t="s">
        <v>7</v>
      </c>
      <c r="D1325" s="38"/>
      <c r="E1325" s="38"/>
      <c r="F1325" s="38"/>
      <c r="G1325" s="38" t="s">
        <v>138</v>
      </c>
      <c r="H1325" s="9" t="s">
        <v>426</v>
      </c>
      <c r="I1325" s="38" t="s">
        <v>262</v>
      </c>
      <c r="J1325" s="38">
        <v>0</v>
      </c>
      <c r="K1325">
        <v>0</v>
      </c>
      <c r="L1325">
        <v>0</v>
      </c>
      <c r="M1325">
        <v>0</v>
      </c>
      <c r="N1325" s="38">
        <v>13.5</v>
      </c>
      <c r="O1325" s="38"/>
      <c r="P1325" s="38" t="s">
        <v>148</v>
      </c>
      <c r="Q1325" s="38"/>
    </row>
    <row r="1326" spans="1:17" x14ac:dyDescent="0.25">
      <c r="A1326" s="39">
        <v>45420</v>
      </c>
      <c r="B1326" s="38" t="s">
        <v>259</v>
      </c>
      <c r="C1326" s="38" t="s">
        <v>7</v>
      </c>
      <c r="D1326" s="38"/>
      <c r="E1326" s="38"/>
      <c r="F1326" s="38"/>
      <c r="G1326" s="38" t="s">
        <v>138</v>
      </c>
      <c r="H1326" s="9" t="s">
        <v>426</v>
      </c>
      <c r="I1326" s="38" t="s">
        <v>262</v>
      </c>
      <c r="J1326" s="38">
        <v>0</v>
      </c>
      <c r="K1326">
        <v>0</v>
      </c>
      <c r="L1326">
        <v>0</v>
      </c>
      <c r="M1326">
        <v>0</v>
      </c>
      <c r="N1326" s="38">
        <v>41.06</v>
      </c>
      <c r="O1326" s="38"/>
      <c r="P1326" s="38" t="s">
        <v>148</v>
      </c>
      <c r="Q1326" s="38"/>
    </row>
    <row r="1327" spans="1:17" x14ac:dyDescent="0.25">
      <c r="A1327" s="39">
        <v>45420</v>
      </c>
      <c r="B1327" s="38" t="s">
        <v>54</v>
      </c>
      <c r="C1327" s="38" t="s">
        <v>7</v>
      </c>
      <c r="D1327" s="38" t="s">
        <v>55</v>
      </c>
      <c r="E1327" s="38" t="s">
        <v>56</v>
      </c>
      <c r="F1327" s="38" t="s">
        <v>57</v>
      </c>
      <c r="G1327" s="38" t="s">
        <v>138</v>
      </c>
      <c r="H1327" s="9" t="s">
        <v>427</v>
      </c>
      <c r="I1327" s="38" t="s">
        <v>58</v>
      </c>
      <c r="J1327" s="38">
        <v>0</v>
      </c>
      <c r="K1327">
        <v>0</v>
      </c>
      <c r="L1327">
        <v>0</v>
      </c>
      <c r="M1327">
        <v>0</v>
      </c>
      <c r="N1327" s="38">
        <v>41.06</v>
      </c>
      <c r="O1327" s="38"/>
      <c r="P1327" s="38" t="s">
        <v>159</v>
      </c>
      <c r="Q1327" s="38"/>
    </row>
    <row r="1328" spans="1:17" x14ac:dyDescent="0.25">
      <c r="A1328" s="39">
        <v>45420</v>
      </c>
      <c r="B1328" s="38" t="s">
        <v>136</v>
      </c>
      <c r="C1328" s="38" t="s">
        <v>8</v>
      </c>
      <c r="D1328" s="38" t="s">
        <v>174</v>
      </c>
      <c r="E1328" s="38" t="s">
        <v>81</v>
      </c>
      <c r="F1328" s="38" t="s">
        <v>90</v>
      </c>
      <c r="G1328" s="38" t="s">
        <v>138</v>
      </c>
      <c r="H1328" s="9" t="s">
        <v>160</v>
      </c>
      <c r="I1328" s="38" t="s">
        <v>58</v>
      </c>
      <c r="J1328" s="38">
        <v>0</v>
      </c>
      <c r="K1328">
        <v>0</v>
      </c>
      <c r="L1328">
        <v>0</v>
      </c>
      <c r="M1328">
        <v>0</v>
      </c>
      <c r="N1328" s="38">
        <v>42144554</v>
      </c>
      <c r="O1328" s="38"/>
      <c r="P1328" s="38" t="s">
        <v>153</v>
      </c>
      <c r="Q1328" s="38"/>
    </row>
    <row r="1329" spans="1:17" x14ac:dyDescent="0.25">
      <c r="A1329" s="39">
        <v>45420</v>
      </c>
      <c r="B1329" t="s">
        <v>135</v>
      </c>
      <c r="C1329" s="38" t="s">
        <v>8</v>
      </c>
      <c r="D1329" t="s">
        <v>332</v>
      </c>
      <c r="E1329" t="s">
        <v>81</v>
      </c>
      <c r="F1329" t="s">
        <v>90</v>
      </c>
      <c r="G1329" t="s">
        <v>138</v>
      </c>
      <c r="H1329" s="9" t="s">
        <v>161</v>
      </c>
      <c r="I1329" t="s">
        <v>58</v>
      </c>
      <c r="J1329">
        <v>0</v>
      </c>
      <c r="K1329">
        <v>0</v>
      </c>
      <c r="L1329">
        <v>0</v>
      </c>
      <c r="M1329">
        <v>0</v>
      </c>
      <c r="N1329">
        <v>24.09</v>
      </c>
      <c r="P1329" t="s">
        <v>148</v>
      </c>
      <c r="Q1329" s="38"/>
    </row>
    <row r="1330" spans="1:17" x14ac:dyDescent="0.25">
      <c r="A1330" s="39">
        <v>45420</v>
      </c>
      <c r="B1330" t="s">
        <v>134</v>
      </c>
      <c r="C1330" s="38" t="s">
        <v>8</v>
      </c>
      <c r="D1330" t="s">
        <v>175</v>
      </c>
      <c r="E1330" t="s">
        <v>81</v>
      </c>
      <c r="F1330" t="s">
        <v>90</v>
      </c>
      <c r="G1330" t="s">
        <v>138</v>
      </c>
      <c r="H1330" s="9" t="s">
        <v>206</v>
      </c>
      <c r="I1330" t="s">
        <v>58</v>
      </c>
      <c r="J1330">
        <v>0</v>
      </c>
      <c r="K1330">
        <v>0</v>
      </c>
      <c r="L1330">
        <v>0</v>
      </c>
      <c r="M1330">
        <v>0</v>
      </c>
      <c r="N1330">
        <v>0</v>
      </c>
      <c r="P1330" t="s">
        <v>148</v>
      </c>
      <c r="Q1330" s="38"/>
    </row>
    <row r="1331" spans="1:17" x14ac:dyDescent="0.25">
      <c r="A1331" s="39">
        <v>45420</v>
      </c>
      <c r="B1331" t="s">
        <v>132</v>
      </c>
      <c r="C1331" s="38" t="s">
        <v>8</v>
      </c>
      <c r="D1331" t="s">
        <v>133</v>
      </c>
      <c r="E1331" t="s">
        <v>126</v>
      </c>
      <c r="F1331" t="s">
        <v>199</v>
      </c>
      <c r="G1331" t="s">
        <v>138</v>
      </c>
      <c r="H1331" s="9" t="s">
        <v>162</v>
      </c>
      <c r="I1331" t="s">
        <v>58</v>
      </c>
      <c r="J1331">
        <v>0</v>
      </c>
      <c r="K1331">
        <v>0</v>
      </c>
      <c r="L1331">
        <v>0</v>
      </c>
      <c r="M1331">
        <v>0</v>
      </c>
      <c r="N1331">
        <v>38.369999999999997</v>
      </c>
      <c r="P1331" t="s">
        <v>149</v>
      </c>
      <c r="Q1331" s="38"/>
    </row>
    <row r="1332" spans="1:17" x14ac:dyDescent="0.25">
      <c r="A1332" s="39">
        <v>45420</v>
      </c>
      <c r="B1332" t="s">
        <v>131</v>
      </c>
      <c r="C1332" s="38" t="s">
        <v>8</v>
      </c>
      <c r="D1332" t="s">
        <v>396</v>
      </c>
      <c r="E1332" t="s">
        <v>60</v>
      </c>
      <c r="F1332" t="s">
        <v>90</v>
      </c>
      <c r="G1332" t="s">
        <v>138</v>
      </c>
      <c r="H1332" s="9" t="s">
        <v>163</v>
      </c>
      <c r="I1332" t="s">
        <v>58</v>
      </c>
      <c r="J1332">
        <v>0</v>
      </c>
      <c r="K1332">
        <v>0</v>
      </c>
      <c r="L1332">
        <v>0</v>
      </c>
      <c r="M1332">
        <v>0</v>
      </c>
      <c r="N1332">
        <v>23.93</v>
      </c>
      <c r="P1332" t="s">
        <v>154</v>
      </c>
      <c r="Q1332" s="38"/>
    </row>
    <row r="1333" spans="1:17" x14ac:dyDescent="0.25">
      <c r="A1333" s="39">
        <v>45420</v>
      </c>
      <c r="B1333" t="s">
        <v>130</v>
      </c>
      <c r="C1333" s="38" t="s">
        <v>8</v>
      </c>
      <c r="D1333" t="s">
        <v>191</v>
      </c>
      <c r="E1333" t="s">
        <v>81</v>
      </c>
      <c r="F1333" t="s">
        <v>285</v>
      </c>
      <c r="G1333" t="s">
        <v>138</v>
      </c>
      <c r="H1333" s="9" t="s">
        <v>420</v>
      </c>
      <c r="I1333" t="s">
        <v>58</v>
      </c>
      <c r="J1333">
        <v>0</v>
      </c>
      <c r="K1333">
        <v>0</v>
      </c>
      <c r="L1333">
        <v>0</v>
      </c>
      <c r="M1333">
        <v>0</v>
      </c>
      <c r="N1333">
        <v>14.99</v>
      </c>
      <c r="P1333" t="s">
        <v>148</v>
      </c>
      <c r="Q1333" s="38"/>
    </row>
    <row r="1334" spans="1:17" x14ac:dyDescent="0.25">
      <c r="A1334" s="39">
        <v>45420</v>
      </c>
      <c r="B1334" t="s">
        <v>128</v>
      </c>
      <c r="C1334" s="38" t="s">
        <v>8</v>
      </c>
      <c r="D1334" t="s">
        <v>129</v>
      </c>
      <c r="E1334" t="s">
        <v>126</v>
      </c>
      <c r="F1334" t="s">
        <v>199</v>
      </c>
      <c r="G1334" t="s">
        <v>138</v>
      </c>
      <c r="H1334" s="9" t="s">
        <v>164</v>
      </c>
      <c r="I1334" t="s">
        <v>58</v>
      </c>
      <c r="J1334">
        <v>0</v>
      </c>
      <c r="K1334">
        <v>0</v>
      </c>
      <c r="L1334">
        <v>0</v>
      </c>
      <c r="M1334">
        <v>0</v>
      </c>
      <c r="N1334">
        <v>41.06</v>
      </c>
      <c r="P1334" t="s">
        <v>149</v>
      </c>
      <c r="Q1334" s="38"/>
    </row>
    <row r="1335" spans="1:17" x14ac:dyDescent="0.25">
      <c r="A1335" s="39">
        <v>45420</v>
      </c>
      <c r="B1335" t="s">
        <v>40</v>
      </c>
      <c r="C1335" s="38" t="s">
        <v>8</v>
      </c>
      <c r="D1335" t="s">
        <v>397</v>
      </c>
      <c r="E1335" t="s">
        <v>60</v>
      </c>
      <c r="F1335" t="s">
        <v>200</v>
      </c>
      <c r="G1335" t="s">
        <v>138</v>
      </c>
      <c r="H1335" s="9" t="s">
        <v>165</v>
      </c>
      <c r="I1335" t="s">
        <v>58</v>
      </c>
      <c r="J1335">
        <v>0</v>
      </c>
      <c r="K1335">
        <v>0</v>
      </c>
      <c r="L1335">
        <v>0</v>
      </c>
      <c r="M1335">
        <v>0</v>
      </c>
      <c r="N1335">
        <v>14.92</v>
      </c>
      <c r="P1335" t="s">
        <v>153</v>
      </c>
      <c r="Q1335" s="38"/>
    </row>
    <row r="1336" spans="1:17" x14ac:dyDescent="0.25">
      <c r="A1336" s="39">
        <v>45420</v>
      </c>
      <c r="B1336" t="s">
        <v>127</v>
      </c>
      <c r="C1336" s="38" t="s">
        <v>8</v>
      </c>
      <c r="D1336" t="s">
        <v>203</v>
      </c>
      <c r="E1336" t="s">
        <v>81</v>
      </c>
      <c r="F1336" t="s">
        <v>285</v>
      </c>
      <c r="G1336" t="s">
        <v>138</v>
      </c>
      <c r="H1336" s="9" t="s">
        <v>207</v>
      </c>
      <c r="I1336" t="s">
        <v>58</v>
      </c>
      <c r="J1336">
        <v>0</v>
      </c>
      <c r="K1336">
        <v>0</v>
      </c>
      <c r="L1336">
        <v>0</v>
      </c>
      <c r="M1336">
        <v>0</v>
      </c>
      <c r="N1336">
        <v>20.85</v>
      </c>
      <c r="P1336" t="s">
        <v>151</v>
      </c>
      <c r="Q1336" s="38"/>
    </row>
    <row r="1337" spans="1:17" x14ac:dyDescent="0.25">
      <c r="A1337" s="39">
        <v>45420</v>
      </c>
      <c r="B1337" t="s">
        <v>124</v>
      </c>
      <c r="C1337" s="38" t="s">
        <v>8</v>
      </c>
      <c r="D1337" t="s">
        <v>340</v>
      </c>
      <c r="E1337" t="s">
        <v>126</v>
      </c>
      <c r="F1337" t="s">
        <v>199</v>
      </c>
      <c r="G1337" t="s">
        <v>138</v>
      </c>
      <c r="H1337" s="9" t="s">
        <v>166</v>
      </c>
      <c r="I1337" t="s">
        <v>58</v>
      </c>
      <c r="J1337">
        <v>0</v>
      </c>
      <c r="K1337">
        <v>0</v>
      </c>
      <c r="L1337">
        <v>0</v>
      </c>
      <c r="M1337">
        <v>0</v>
      </c>
      <c r="N1337">
        <v>39863813</v>
      </c>
      <c r="P1337" t="s">
        <v>149</v>
      </c>
      <c r="Q1337" s="38"/>
    </row>
    <row r="1338" spans="1:17" x14ac:dyDescent="0.25">
      <c r="A1338" s="39">
        <v>45420</v>
      </c>
      <c r="B1338" t="s">
        <v>122</v>
      </c>
      <c r="C1338" s="38" t="s">
        <v>8</v>
      </c>
      <c r="D1338" t="s">
        <v>356</v>
      </c>
      <c r="E1338" t="s">
        <v>81</v>
      </c>
      <c r="F1338" t="s">
        <v>90</v>
      </c>
      <c r="G1338" t="s">
        <v>138</v>
      </c>
      <c r="H1338" s="9" t="s">
        <v>167</v>
      </c>
      <c r="I1338" t="s">
        <v>58</v>
      </c>
      <c r="J1338">
        <v>0</v>
      </c>
      <c r="K1338">
        <v>0</v>
      </c>
      <c r="L1338">
        <v>0</v>
      </c>
      <c r="M1338">
        <v>0</v>
      </c>
      <c r="N1338">
        <v>20.9</v>
      </c>
      <c r="P1338" t="s">
        <v>148</v>
      </c>
      <c r="Q1338" s="38"/>
    </row>
    <row r="1339" spans="1:17" x14ac:dyDescent="0.25">
      <c r="A1339" s="39">
        <v>45420</v>
      </c>
      <c r="B1339" t="s">
        <v>120</v>
      </c>
      <c r="C1339" s="38" t="s">
        <v>8</v>
      </c>
      <c r="D1339" t="s">
        <v>333</v>
      </c>
      <c r="E1339" t="s">
        <v>375</v>
      </c>
      <c r="F1339" t="s">
        <v>285</v>
      </c>
      <c r="G1339" t="s">
        <v>138</v>
      </c>
      <c r="H1339" s="9" t="s">
        <v>121</v>
      </c>
      <c r="I1339" t="s">
        <v>58</v>
      </c>
      <c r="J1339">
        <v>0</v>
      </c>
      <c r="K1339">
        <v>0</v>
      </c>
      <c r="L1339">
        <v>0</v>
      </c>
      <c r="M1339">
        <v>0</v>
      </c>
      <c r="N1339">
        <v>41.69</v>
      </c>
      <c r="P1339" t="s">
        <v>151</v>
      </c>
      <c r="Q1339" s="38"/>
    </row>
    <row r="1340" spans="1:17" x14ac:dyDescent="0.25">
      <c r="A1340" s="39">
        <v>45420</v>
      </c>
      <c r="B1340" t="s">
        <v>119</v>
      </c>
      <c r="C1340" s="38" t="s">
        <v>8</v>
      </c>
      <c r="D1340" t="s">
        <v>178</v>
      </c>
      <c r="E1340" t="s">
        <v>399</v>
      </c>
      <c r="F1340" t="s">
        <v>192</v>
      </c>
      <c r="G1340" t="s">
        <v>138</v>
      </c>
      <c r="H1340" s="9" t="s">
        <v>168</v>
      </c>
      <c r="I1340" t="s">
        <v>58</v>
      </c>
      <c r="J1340">
        <v>0</v>
      </c>
      <c r="K1340">
        <v>0</v>
      </c>
      <c r="L1340">
        <v>0</v>
      </c>
      <c r="M1340">
        <v>0</v>
      </c>
      <c r="N1340">
        <v>41.62</v>
      </c>
      <c r="P1340" t="s">
        <v>149</v>
      </c>
      <c r="Q1340" s="38"/>
    </row>
    <row r="1341" spans="1:17" x14ac:dyDescent="0.25">
      <c r="A1341" s="39">
        <v>45420</v>
      </c>
      <c r="B1341" t="s">
        <v>117</v>
      </c>
      <c r="C1341" s="38" t="s">
        <v>8</v>
      </c>
      <c r="D1341" t="s">
        <v>349</v>
      </c>
      <c r="E1341" t="s">
        <v>398</v>
      </c>
      <c r="F1341" t="s">
        <v>90</v>
      </c>
      <c r="G1341" t="s">
        <v>138</v>
      </c>
      <c r="H1341" s="9" t="s">
        <v>118</v>
      </c>
      <c r="I1341" t="s">
        <v>58</v>
      </c>
      <c r="J1341">
        <v>0</v>
      </c>
      <c r="K1341">
        <v>0</v>
      </c>
      <c r="L1341">
        <v>0</v>
      </c>
      <c r="M1341">
        <v>0</v>
      </c>
      <c r="N1341">
        <v>34.69</v>
      </c>
      <c r="P1341" t="s">
        <v>151</v>
      </c>
      <c r="Q1341" s="38"/>
    </row>
    <row r="1342" spans="1:17" x14ac:dyDescent="0.25">
      <c r="A1342" s="39">
        <v>45420</v>
      </c>
      <c r="B1342" t="s">
        <v>39</v>
      </c>
      <c r="C1342" s="38" t="s">
        <v>8</v>
      </c>
      <c r="D1342" t="s">
        <v>177</v>
      </c>
      <c r="E1342" t="s">
        <v>377</v>
      </c>
      <c r="F1342" t="s">
        <v>90</v>
      </c>
      <c r="G1342" t="s">
        <v>138</v>
      </c>
      <c r="H1342" s="9" t="s">
        <v>116</v>
      </c>
      <c r="I1342" t="s">
        <v>58</v>
      </c>
      <c r="J1342">
        <v>0</v>
      </c>
      <c r="K1342">
        <v>0</v>
      </c>
      <c r="L1342">
        <v>0</v>
      </c>
      <c r="M1342">
        <v>0</v>
      </c>
      <c r="N1342">
        <v>41.24</v>
      </c>
      <c r="P1342" t="s">
        <v>151</v>
      </c>
      <c r="Q1342" s="38"/>
    </row>
    <row r="1343" spans="1:17" x14ac:dyDescent="0.25">
      <c r="A1343" s="39">
        <v>45420</v>
      </c>
      <c r="B1343" t="s">
        <v>113</v>
      </c>
      <c r="C1343" s="38" t="s">
        <v>8</v>
      </c>
      <c r="D1343" t="s">
        <v>188</v>
      </c>
      <c r="E1343" t="s">
        <v>126</v>
      </c>
      <c r="F1343" t="s">
        <v>199</v>
      </c>
      <c r="G1343" t="s">
        <v>138</v>
      </c>
      <c r="H1343" s="9" t="s">
        <v>114</v>
      </c>
      <c r="I1343" t="s">
        <v>58</v>
      </c>
      <c r="J1343">
        <v>0</v>
      </c>
      <c r="K1343">
        <v>0</v>
      </c>
      <c r="L1343">
        <v>0</v>
      </c>
      <c r="M1343">
        <v>0</v>
      </c>
      <c r="N1343">
        <v>41.35</v>
      </c>
      <c r="P1343" t="s">
        <v>149</v>
      </c>
      <c r="Q1343" s="38"/>
    </row>
    <row r="1344" spans="1:17" x14ac:dyDescent="0.25">
      <c r="A1344" s="39">
        <v>45420</v>
      </c>
      <c r="B1344" t="s">
        <v>111</v>
      </c>
      <c r="C1344" s="38" t="s">
        <v>8</v>
      </c>
      <c r="D1344" t="s">
        <v>189</v>
      </c>
      <c r="E1344" t="s">
        <v>81</v>
      </c>
      <c r="F1344" t="s">
        <v>285</v>
      </c>
      <c r="G1344" t="s">
        <v>138</v>
      </c>
      <c r="H1344" s="9" t="s">
        <v>112</v>
      </c>
      <c r="I1344" t="s">
        <v>58</v>
      </c>
      <c r="J1344">
        <v>0</v>
      </c>
      <c r="K1344">
        <v>0</v>
      </c>
      <c r="L1344">
        <v>0</v>
      </c>
      <c r="M1344">
        <v>0</v>
      </c>
      <c r="N1344">
        <v>20.48</v>
      </c>
      <c r="P1344" t="s">
        <v>153</v>
      </c>
      <c r="Q1344" s="38"/>
    </row>
    <row r="1345" spans="1:17" x14ac:dyDescent="0.25">
      <c r="A1345" s="39">
        <v>45420</v>
      </c>
      <c r="B1345" t="s">
        <v>109</v>
      </c>
      <c r="C1345" s="38" t="s">
        <v>8</v>
      </c>
      <c r="D1345" t="s">
        <v>142</v>
      </c>
      <c r="E1345" t="s">
        <v>56</v>
      </c>
      <c r="F1345" t="s">
        <v>199</v>
      </c>
      <c r="G1345" t="s">
        <v>138</v>
      </c>
      <c r="H1345" s="9" t="s">
        <v>110</v>
      </c>
      <c r="I1345" t="s">
        <v>58</v>
      </c>
      <c r="J1345">
        <v>0</v>
      </c>
      <c r="K1345">
        <v>0</v>
      </c>
      <c r="L1345">
        <v>0</v>
      </c>
      <c r="M1345">
        <v>0</v>
      </c>
      <c r="N1345">
        <v>41.05</v>
      </c>
      <c r="P1345" t="s">
        <v>149</v>
      </c>
      <c r="Q1345" s="38"/>
    </row>
    <row r="1346" spans="1:17" x14ac:dyDescent="0.25">
      <c r="A1346" s="39">
        <v>45420</v>
      </c>
      <c r="B1346" t="s">
        <v>107</v>
      </c>
      <c r="C1346" s="38" t="s">
        <v>8</v>
      </c>
      <c r="D1346" t="s">
        <v>401</v>
      </c>
      <c r="E1346" t="s">
        <v>56</v>
      </c>
      <c r="F1346" t="s">
        <v>93</v>
      </c>
      <c r="G1346" t="s">
        <v>138</v>
      </c>
      <c r="H1346" s="9" t="s">
        <v>108</v>
      </c>
      <c r="I1346" t="s">
        <v>58</v>
      </c>
      <c r="J1346">
        <v>0</v>
      </c>
      <c r="K1346">
        <v>0</v>
      </c>
      <c r="L1346">
        <v>0</v>
      </c>
      <c r="M1346">
        <v>0</v>
      </c>
      <c r="N1346">
        <v>12.09</v>
      </c>
      <c r="P1346" t="s">
        <v>403</v>
      </c>
      <c r="Q1346" s="38"/>
    </row>
    <row r="1347" spans="1:17" x14ac:dyDescent="0.25">
      <c r="A1347" s="39">
        <v>45420</v>
      </c>
      <c r="B1347" t="s">
        <v>41</v>
      </c>
      <c r="C1347" s="38" t="s">
        <v>8</v>
      </c>
      <c r="D1347" t="s">
        <v>123</v>
      </c>
      <c r="E1347" t="s">
        <v>81</v>
      </c>
      <c r="F1347" t="s">
        <v>285</v>
      </c>
      <c r="G1347" t="s">
        <v>138</v>
      </c>
      <c r="H1347" s="9" t="s">
        <v>106</v>
      </c>
      <c r="I1347" t="s">
        <v>58</v>
      </c>
      <c r="J1347">
        <v>0</v>
      </c>
      <c r="K1347">
        <v>0</v>
      </c>
      <c r="L1347">
        <v>0</v>
      </c>
      <c r="M1347">
        <v>0</v>
      </c>
      <c r="N1347">
        <v>17.88</v>
      </c>
      <c r="P1347" t="s">
        <v>152</v>
      </c>
      <c r="Q1347" s="38"/>
    </row>
    <row r="1348" spans="1:17" x14ac:dyDescent="0.25">
      <c r="A1348" s="39">
        <v>45420</v>
      </c>
      <c r="B1348" t="s">
        <v>43</v>
      </c>
      <c r="C1348" s="38" t="s">
        <v>8</v>
      </c>
      <c r="D1348" t="s">
        <v>282</v>
      </c>
      <c r="E1348" t="s">
        <v>275</v>
      </c>
      <c r="F1348" t="s">
        <v>276</v>
      </c>
      <c r="G1348" t="s">
        <v>138</v>
      </c>
      <c r="H1348" s="9" t="s">
        <v>208</v>
      </c>
      <c r="I1348" t="s">
        <v>58</v>
      </c>
      <c r="J1348">
        <v>0</v>
      </c>
      <c r="K1348">
        <v>0</v>
      </c>
      <c r="L1348">
        <v>0</v>
      </c>
      <c r="M1348">
        <v>0</v>
      </c>
      <c r="N1348">
        <v>17.25</v>
      </c>
      <c r="P1348" t="s">
        <v>154</v>
      </c>
      <c r="Q1348" s="38"/>
    </row>
    <row r="1349" spans="1:17" x14ac:dyDescent="0.25">
      <c r="A1349" s="39">
        <v>45420</v>
      </c>
      <c r="B1349" t="s">
        <v>5</v>
      </c>
      <c r="C1349" s="38" t="s">
        <v>8</v>
      </c>
      <c r="D1349" t="s">
        <v>283</v>
      </c>
      <c r="E1349" t="s">
        <v>60</v>
      </c>
      <c r="F1349" t="s">
        <v>285</v>
      </c>
      <c r="G1349" t="s">
        <v>138</v>
      </c>
      <c r="H1349" s="9" t="s">
        <v>209</v>
      </c>
      <c r="I1349" t="s">
        <v>58</v>
      </c>
      <c r="J1349">
        <v>0</v>
      </c>
      <c r="K1349">
        <v>0</v>
      </c>
      <c r="L1349">
        <v>0</v>
      </c>
      <c r="M1349">
        <v>0</v>
      </c>
      <c r="N1349">
        <v>16.46</v>
      </c>
      <c r="P1349" t="s">
        <v>153</v>
      </c>
      <c r="Q1349" s="38"/>
    </row>
    <row r="1350" spans="1:17" x14ac:dyDescent="0.25">
      <c r="A1350" s="39">
        <v>45420</v>
      </c>
      <c r="B1350" t="s">
        <v>9</v>
      </c>
      <c r="C1350" s="38" t="s">
        <v>8</v>
      </c>
      <c r="D1350" t="s">
        <v>189</v>
      </c>
      <c r="E1350" t="s">
        <v>360</v>
      </c>
      <c r="F1350" t="s">
        <v>276</v>
      </c>
      <c r="G1350" t="s">
        <v>138</v>
      </c>
      <c r="H1350" s="9" t="s">
        <v>210</v>
      </c>
      <c r="I1350" t="s">
        <v>58</v>
      </c>
      <c r="J1350">
        <v>0</v>
      </c>
      <c r="K1350">
        <v>0</v>
      </c>
      <c r="L1350">
        <v>0</v>
      </c>
      <c r="M1350">
        <v>0</v>
      </c>
      <c r="N1350">
        <v>23.18</v>
      </c>
      <c r="P1350" t="s">
        <v>153</v>
      </c>
      <c r="Q1350" s="38"/>
    </row>
    <row r="1351" spans="1:17" x14ac:dyDescent="0.25">
      <c r="A1351" s="39">
        <v>45420</v>
      </c>
      <c r="B1351" t="s">
        <v>10</v>
      </c>
      <c r="C1351" s="38" t="s">
        <v>8</v>
      </c>
      <c r="D1351" t="s">
        <v>263</v>
      </c>
      <c r="E1351" t="s">
        <v>342</v>
      </c>
      <c r="F1351" t="s">
        <v>90</v>
      </c>
      <c r="G1351" t="s">
        <v>138</v>
      </c>
      <c r="H1351" s="9" t="s">
        <v>211</v>
      </c>
      <c r="I1351" t="s">
        <v>58</v>
      </c>
      <c r="J1351">
        <v>0</v>
      </c>
      <c r="K1351">
        <v>0</v>
      </c>
      <c r="L1351">
        <v>0</v>
      </c>
      <c r="M1351">
        <v>0</v>
      </c>
      <c r="N1351">
        <v>74.34</v>
      </c>
      <c r="P1351" t="s">
        <v>151</v>
      </c>
      <c r="Q1351" s="38"/>
    </row>
    <row r="1352" spans="1:17" x14ac:dyDescent="0.25">
      <c r="A1352" s="39">
        <v>45420</v>
      </c>
      <c r="B1352" t="s">
        <v>11</v>
      </c>
      <c r="C1352" s="38" t="s">
        <v>8</v>
      </c>
      <c r="D1352" t="s">
        <v>205</v>
      </c>
      <c r="E1352" t="s">
        <v>60</v>
      </c>
      <c r="F1352" t="s">
        <v>93</v>
      </c>
      <c r="G1352" t="s">
        <v>138</v>
      </c>
      <c r="H1352" s="9" t="s">
        <v>212</v>
      </c>
      <c r="I1352" t="s">
        <v>58</v>
      </c>
      <c r="J1352">
        <v>0</v>
      </c>
      <c r="K1352">
        <v>0</v>
      </c>
      <c r="L1352">
        <v>0</v>
      </c>
      <c r="M1352">
        <v>0</v>
      </c>
      <c r="N1352">
        <v>11.39</v>
      </c>
      <c r="P1352" t="s">
        <v>147</v>
      </c>
      <c r="Q1352" s="38"/>
    </row>
    <row r="1353" spans="1:17" x14ac:dyDescent="0.25">
      <c r="A1353" s="39">
        <v>45420</v>
      </c>
      <c r="B1353" t="s">
        <v>12</v>
      </c>
      <c r="C1353" s="38" t="s">
        <v>8</v>
      </c>
      <c r="D1353" t="s">
        <v>286</v>
      </c>
      <c r="E1353" t="s">
        <v>60</v>
      </c>
      <c r="F1353" t="s">
        <v>285</v>
      </c>
      <c r="G1353" t="s">
        <v>138</v>
      </c>
      <c r="H1353" s="9" t="s">
        <v>213</v>
      </c>
      <c r="I1353" t="s">
        <v>58</v>
      </c>
      <c r="J1353">
        <v>0</v>
      </c>
      <c r="K1353">
        <v>0</v>
      </c>
      <c r="L1353">
        <v>0</v>
      </c>
      <c r="M1353">
        <v>0</v>
      </c>
      <c r="N1353">
        <v>11.98</v>
      </c>
      <c r="P1353" t="s">
        <v>154</v>
      </c>
      <c r="Q1353" s="38"/>
    </row>
    <row r="1354" spans="1:17" x14ac:dyDescent="0.25">
      <c r="A1354" s="39">
        <v>45420</v>
      </c>
      <c r="B1354" t="s">
        <v>105</v>
      </c>
      <c r="C1354" s="38" t="s">
        <v>8</v>
      </c>
      <c r="D1354" t="s">
        <v>267</v>
      </c>
      <c r="E1354" t="s">
        <v>60</v>
      </c>
      <c r="F1354" t="s">
        <v>93</v>
      </c>
      <c r="G1354" t="s">
        <v>138</v>
      </c>
      <c r="H1354" s="9" t="s">
        <v>214</v>
      </c>
      <c r="I1354" t="s">
        <v>58</v>
      </c>
      <c r="J1354">
        <v>0</v>
      </c>
      <c r="K1354">
        <v>0</v>
      </c>
      <c r="L1354">
        <v>0</v>
      </c>
      <c r="M1354">
        <v>0</v>
      </c>
      <c r="N1354">
        <v>12.39</v>
      </c>
      <c r="P1354" t="s">
        <v>147</v>
      </c>
      <c r="Q1354" s="38"/>
    </row>
    <row r="1355" spans="1:17" x14ac:dyDescent="0.25">
      <c r="A1355" s="39">
        <v>45420</v>
      </c>
      <c r="B1355" t="s">
        <v>104</v>
      </c>
      <c r="C1355" s="38" t="s">
        <v>8</v>
      </c>
      <c r="D1355" t="s">
        <v>143</v>
      </c>
      <c r="E1355" t="s">
        <v>60</v>
      </c>
      <c r="F1355" t="s">
        <v>285</v>
      </c>
      <c r="G1355" t="s">
        <v>138</v>
      </c>
      <c r="H1355" s="9" t="s">
        <v>215</v>
      </c>
      <c r="I1355" t="s">
        <v>58</v>
      </c>
      <c r="J1355">
        <v>0</v>
      </c>
      <c r="K1355">
        <v>0</v>
      </c>
      <c r="L1355">
        <v>0</v>
      </c>
      <c r="M1355">
        <v>0</v>
      </c>
      <c r="N1355">
        <v>13.96</v>
      </c>
      <c r="P1355" t="s">
        <v>154</v>
      </c>
      <c r="Q1355" s="38"/>
    </row>
    <row r="1356" spans="1:17" x14ac:dyDescent="0.25">
      <c r="A1356" s="39">
        <v>45420</v>
      </c>
      <c r="B1356" t="s">
        <v>13</v>
      </c>
      <c r="C1356" s="38" t="s">
        <v>8</v>
      </c>
      <c r="D1356" t="s">
        <v>350</v>
      </c>
      <c r="E1356" t="s">
        <v>60</v>
      </c>
      <c r="F1356" t="s">
        <v>93</v>
      </c>
      <c r="G1356" t="s">
        <v>138</v>
      </c>
      <c r="H1356" s="9" t="s">
        <v>216</v>
      </c>
      <c r="I1356" t="s">
        <v>58</v>
      </c>
      <c r="J1356">
        <v>0</v>
      </c>
      <c r="K1356">
        <v>0</v>
      </c>
      <c r="L1356">
        <v>0</v>
      </c>
      <c r="M1356">
        <v>0</v>
      </c>
      <c r="N1356">
        <v>12.4</v>
      </c>
      <c r="P1356" t="s">
        <v>147</v>
      </c>
      <c r="Q1356" s="38"/>
    </row>
    <row r="1357" spans="1:17" x14ac:dyDescent="0.25">
      <c r="A1357" s="39">
        <v>45420</v>
      </c>
      <c r="B1357" t="s">
        <v>103</v>
      </c>
      <c r="C1357" s="38" t="s">
        <v>8</v>
      </c>
      <c r="D1357" t="s">
        <v>179</v>
      </c>
      <c r="E1357" t="s">
        <v>81</v>
      </c>
      <c r="F1357" t="s">
        <v>90</v>
      </c>
      <c r="G1357" t="s">
        <v>138</v>
      </c>
      <c r="H1357" s="9" t="s">
        <v>217</v>
      </c>
      <c r="I1357" t="s">
        <v>65</v>
      </c>
      <c r="J1357">
        <v>0</v>
      </c>
      <c r="K1357">
        <v>0</v>
      </c>
      <c r="L1357">
        <v>0</v>
      </c>
      <c r="M1357">
        <v>0</v>
      </c>
      <c r="N1357">
        <v>41.9</v>
      </c>
      <c r="P1357" t="s">
        <v>187</v>
      </c>
      <c r="Q1357" s="38"/>
    </row>
    <row r="1358" spans="1:17" x14ac:dyDescent="0.25">
      <c r="A1358" s="39">
        <v>45420</v>
      </c>
      <c r="B1358" t="s">
        <v>101</v>
      </c>
      <c r="C1358" s="38" t="s">
        <v>8</v>
      </c>
      <c r="D1358" t="s">
        <v>405</v>
      </c>
      <c r="E1358" t="s">
        <v>81</v>
      </c>
      <c r="F1358" t="s">
        <v>285</v>
      </c>
      <c r="G1358" t="s">
        <v>138</v>
      </c>
      <c r="H1358" s="9" t="s">
        <v>102</v>
      </c>
      <c r="I1358" t="s">
        <v>58</v>
      </c>
      <c r="J1358">
        <v>0</v>
      </c>
      <c r="K1358">
        <v>0</v>
      </c>
      <c r="L1358">
        <v>0</v>
      </c>
      <c r="M1358">
        <v>0</v>
      </c>
      <c r="N1358">
        <v>19.600000000000001</v>
      </c>
      <c r="P1358" t="s">
        <v>151</v>
      </c>
      <c r="Q1358" s="38"/>
    </row>
    <row r="1359" spans="1:17" x14ac:dyDescent="0.25">
      <c r="A1359" s="39">
        <v>45420</v>
      </c>
      <c r="B1359" t="s">
        <v>99</v>
      </c>
      <c r="C1359" s="38" t="s">
        <v>8</v>
      </c>
      <c r="D1359" t="s">
        <v>249</v>
      </c>
      <c r="E1359" t="s">
        <v>81</v>
      </c>
      <c r="F1359" t="s">
        <v>90</v>
      </c>
      <c r="G1359" t="s">
        <v>138</v>
      </c>
      <c r="H1359" s="9" t="s">
        <v>100</v>
      </c>
      <c r="J1359">
        <v>0</v>
      </c>
      <c r="K1359">
        <v>0</v>
      </c>
      <c r="L1359">
        <v>0</v>
      </c>
      <c r="M1359">
        <v>0</v>
      </c>
      <c r="N1359">
        <v>41.83</v>
      </c>
      <c r="P1359" t="s">
        <v>152</v>
      </c>
      <c r="Q1359" s="38"/>
    </row>
    <row r="1360" spans="1:17" x14ac:dyDescent="0.25">
      <c r="A1360" s="39">
        <v>45420</v>
      </c>
      <c r="B1360" t="s">
        <v>97</v>
      </c>
      <c r="C1360" s="38" t="s">
        <v>8</v>
      </c>
      <c r="D1360" t="s">
        <v>288</v>
      </c>
      <c r="E1360" t="s">
        <v>352</v>
      </c>
      <c r="F1360" t="s">
        <v>285</v>
      </c>
      <c r="G1360" t="s">
        <v>138</v>
      </c>
      <c r="H1360" s="9" t="s">
        <v>98</v>
      </c>
      <c r="I1360" t="s">
        <v>58</v>
      </c>
      <c r="J1360">
        <v>0</v>
      </c>
      <c r="K1360">
        <v>0</v>
      </c>
      <c r="L1360">
        <v>0</v>
      </c>
      <c r="M1360">
        <v>0</v>
      </c>
      <c r="N1360">
        <v>22.49</v>
      </c>
      <c r="P1360" t="s">
        <v>148</v>
      </c>
      <c r="Q1360" s="38"/>
    </row>
    <row r="1361" spans="1:17" x14ac:dyDescent="0.25">
      <c r="A1361" s="39">
        <v>45420</v>
      </c>
      <c r="B1361" t="s">
        <v>95</v>
      </c>
      <c r="C1361" s="38" t="s">
        <v>8</v>
      </c>
      <c r="D1361" t="s">
        <v>181</v>
      </c>
      <c r="E1361" t="s">
        <v>81</v>
      </c>
      <c r="F1361" t="s">
        <v>90</v>
      </c>
      <c r="G1361" t="s">
        <v>138</v>
      </c>
      <c r="H1361" s="9" t="s">
        <v>96</v>
      </c>
      <c r="I1361" t="s">
        <v>65</v>
      </c>
      <c r="J1361">
        <v>0</v>
      </c>
      <c r="K1361">
        <v>0</v>
      </c>
      <c r="L1361">
        <v>0</v>
      </c>
      <c r="M1361">
        <v>0</v>
      </c>
      <c r="N1361">
        <v>20.38</v>
      </c>
      <c r="P1361" t="s">
        <v>152</v>
      </c>
      <c r="Q1361" s="38"/>
    </row>
    <row r="1362" spans="1:17" x14ac:dyDescent="0.25">
      <c r="A1362" s="39">
        <v>45420</v>
      </c>
      <c r="B1362" t="s">
        <v>14</v>
      </c>
      <c r="C1362" s="38" t="s">
        <v>8</v>
      </c>
      <c r="D1362" t="s">
        <v>289</v>
      </c>
      <c r="E1362" t="s">
        <v>352</v>
      </c>
      <c r="F1362" t="s">
        <v>285</v>
      </c>
      <c r="G1362" t="s">
        <v>138</v>
      </c>
      <c r="H1362" s="9" t="s">
        <v>94</v>
      </c>
      <c r="I1362" t="s">
        <v>58</v>
      </c>
      <c r="J1362">
        <v>0</v>
      </c>
      <c r="K1362">
        <v>0</v>
      </c>
      <c r="L1362">
        <v>0</v>
      </c>
      <c r="M1362">
        <v>0</v>
      </c>
      <c r="N1362">
        <v>25.88</v>
      </c>
      <c r="P1362" t="s">
        <v>151</v>
      </c>
      <c r="Q1362" s="38"/>
    </row>
    <row r="1363" spans="1:17" x14ac:dyDescent="0.25">
      <c r="A1363" s="39">
        <v>45420</v>
      </c>
      <c r="B1363" t="s">
        <v>91</v>
      </c>
      <c r="C1363" s="38" t="s">
        <v>8</v>
      </c>
      <c r="D1363" t="s">
        <v>180</v>
      </c>
      <c r="E1363" t="s">
        <v>81</v>
      </c>
      <c r="F1363" t="s">
        <v>90</v>
      </c>
      <c r="G1363" t="s">
        <v>138</v>
      </c>
      <c r="H1363" s="9" t="s">
        <v>92</v>
      </c>
      <c r="J1363">
        <v>0</v>
      </c>
      <c r="K1363">
        <v>0</v>
      </c>
      <c r="L1363">
        <v>0</v>
      </c>
      <c r="M1363">
        <v>0</v>
      </c>
      <c r="N1363">
        <v>16.73</v>
      </c>
      <c r="P1363" t="s">
        <v>148</v>
      </c>
      <c r="Q1363" s="38"/>
    </row>
    <row r="1364" spans="1:17" x14ac:dyDescent="0.25">
      <c r="A1364" s="39">
        <v>45420</v>
      </c>
      <c r="B1364" t="s">
        <v>15</v>
      </c>
      <c r="C1364" s="38" t="s">
        <v>8</v>
      </c>
      <c r="D1364" t="s">
        <v>140</v>
      </c>
      <c r="E1364" t="s">
        <v>81</v>
      </c>
      <c r="F1364" t="s">
        <v>285</v>
      </c>
      <c r="G1364" t="s">
        <v>138</v>
      </c>
      <c r="H1364" s="9" t="s">
        <v>218</v>
      </c>
      <c r="I1364" t="s">
        <v>58</v>
      </c>
      <c r="J1364">
        <v>0</v>
      </c>
      <c r="K1364">
        <v>0</v>
      </c>
      <c r="L1364">
        <v>0</v>
      </c>
      <c r="M1364">
        <v>0</v>
      </c>
      <c r="N1364">
        <v>20.190000000000001</v>
      </c>
      <c r="P1364" t="s">
        <v>148</v>
      </c>
      <c r="Q1364" s="38"/>
    </row>
    <row r="1365" spans="1:17" x14ac:dyDescent="0.25">
      <c r="A1365" s="39">
        <v>45420</v>
      </c>
      <c r="B1365" t="s">
        <v>89</v>
      </c>
      <c r="C1365" s="38" t="s">
        <v>8</v>
      </c>
      <c r="D1365" t="s">
        <v>176</v>
      </c>
      <c r="E1365" t="s">
        <v>398</v>
      </c>
      <c r="F1365" t="s">
        <v>90</v>
      </c>
      <c r="G1365" t="s">
        <v>138</v>
      </c>
      <c r="H1365" s="9" t="s">
        <v>219</v>
      </c>
      <c r="I1365" t="s">
        <v>65</v>
      </c>
      <c r="J1365">
        <v>0</v>
      </c>
      <c r="K1365">
        <v>0</v>
      </c>
      <c r="L1365">
        <v>0</v>
      </c>
      <c r="M1365">
        <v>0</v>
      </c>
      <c r="N1365">
        <v>17.670000000000002</v>
      </c>
      <c r="P1365" t="s">
        <v>186</v>
      </c>
      <c r="Q1365" s="38"/>
    </row>
    <row r="1366" spans="1:17" x14ac:dyDescent="0.25">
      <c r="A1366" s="39">
        <v>45420</v>
      </c>
      <c r="B1366" t="s">
        <v>16</v>
      </c>
      <c r="C1366" s="38" t="s">
        <v>8</v>
      </c>
      <c r="D1366" t="s">
        <v>407</v>
      </c>
      <c r="E1366" t="s">
        <v>360</v>
      </c>
      <c r="F1366" t="s">
        <v>253</v>
      </c>
      <c r="G1366" t="s">
        <v>138</v>
      </c>
      <c r="H1366" s="9" t="s">
        <v>220</v>
      </c>
      <c r="I1366" t="s">
        <v>58</v>
      </c>
      <c r="J1366">
        <v>0</v>
      </c>
      <c r="K1366">
        <v>0</v>
      </c>
      <c r="L1366">
        <v>0</v>
      </c>
      <c r="M1366">
        <v>0</v>
      </c>
      <c r="N1366">
        <v>21.19</v>
      </c>
      <c r="P1366" t="s">
        <v>151</v>
      </c>
      <c r="Q1366" s="38"/>
    </row>
    <row r="1367" spans="1:17" x14ac:dyDescent="0.25">
      <c r="A1367" s="39">
        <v>45420</v>
      </c>
      <c r="B1367" t="s">
        <v>88</v>
      </c>
      <c r="C1367" s="38" t="s">
        <v>8</v>
      </c>
      <c r="D1367" t="s">
        <v>311</v>
      </c>
      <c r="E1367" t="s">
        <v>60</v>
      </c>
      <c r="F1367" t="s">
        <v>253</v>
      </c>
      <c r="G1367" t="s">
        <v>138</v>
      </c>
      <c r="H1367" s="9" t="s">
        <v>221</v>
      </c>
      <c r="J1367">
        <v>0</v>
      </c>
      <c r="K1367">
        <v>0</v>
      </c>
      <c r="L1367">
        <v>0</v>
      </c>
      <c r="M1367">
        <v>0</v>
      </c>
      <c r="N1367">
        <v>38.44</v>
      </c>
      <c r="P1367" t="s">
        <v>154</v>
      </c>
      <c r="Q1367" s="38"/>
    </row>
    <row r="1368" spans="1:17" x14ac:dyDescent="0.25">
      <c r="A1368" s="39">
        <v>45420</v>
      </c>
      <c r="B1368" t="s">
        <v>17</v>
      </c>
      <c r="C1368" s="38" t="s">
        <v>8</v>
      </c>
      <c r="D1368" t="s">
        <v>272</v>
      </c>
      <c r="E1368" t="s">
        <v>275</v>
      </c>
      <c r="F1368" t="s">
        <v>276</v>
      </c>
      <c r="G1368" t="s">
        <v>138</v>
      </c>
      <c r="H1368" s="9" t="s">
        <v>222</v>
      </c>
      <c r="I1368" t="s">
        <v>58</v>
      </c>
      <c r="J1368">
        <v>0</v>
      </c>
      <c r="K1368">
        <v>0</v>
      </c>
      <c r="L1368">
        <v>0</v>
      </c>
      <c r="M1368">
        <v>0</v>
      </c>
      <c r="N1368">
        <v>20.56</v>
      </c>
      <c r="P1368" t="s">
        <v>151</v>
      </c>
      <c r="Q1368" s="38"/>
    </row>
    <row r="1369" spans="1:17" x14ac:dyDescent="0.25">
      <c r="A1369" s="39">
        <v>45420</v>
      </c>
      <c r="B1369" t="s">
        <v>19</v>
      </c>
      <c r="C1369" s="38" t="s">
        <v>8</v>
      </c>
      <c r="D1369" t="s">
        <v>343</v>
      </c>
      <c r="E1369" t="s">
        <v>81</v>
      </c>
      <c r="F1369" t="s">
        <v>253</v>
      </c>
      <c r="G1369" t="s">
        <v>138</v>
      </c>
      <c r="H1369" s="9" t="s">
        <v>223</v>
      </c>
      <c r="I1369" t="s">
        <v>65</v>
      </c>
      <c r="J1369">
        <v>0</v>
      </c>
      <c r="K1369">
        <v>0</v>
      </c>
      <c r="L1369">
        <v>0</v>
      </c>
      <c r="M1369">
        <v>0</v>
      </c>
      <c r="N1369">
        <v>41.06</v>
      </c>
      <c r="P1369" t="s">
        <v>151</v>
      </c>
      <c r="Q1369" s="38"/>
    </row>
    <row r="1370" spans="1:17" x14ac:dyDescent="0.25">
      <c r="A1370" s="39">
        <v>45420</v>
      </c>
      <c r="B1370" t="s">
        <v>18</v>
      </c>
      <c r="C1370" s="38" t="s">
        <v>8</v>
      </c>
      <c r="D1370" t="s">
        <v>268</v>
      </c>
      <c r="E1370" t="s">
        <v>408</v>
      </c>
      <c r="F1370" t="s">
        <v>253</v>
      </c>
      <c r="G1370" t="s">
        <v>138</v>
      </c>
      <c r="H1370" s="9" t="s">
        <v>224</v>
      </c>
      <c r="I1370" t="s">
        <v>58</v>
      </c>
      <c r="J1370">
        <v>0</v>
      </c>
      <c r="K1370">
        <v>0</v>
      </c>
      <c r="L1370">
        <v>0</v>
      </c>
      <c r="M1370">
        <v>0</v>
      </c>
      <c r="N1370">
        <v>18.89</v>
      </c>
      <c r="P1370" t="s">
        <v>148</v>
      </c>
      <c r="Q1370" s="38"/>
    </row>
    <row r="1371" spans="1:17" x14ac:dyDescent="0.25">
      <c r="A1371" s="39">
        <v>45420</v>
      </c>
      <c r="B1371" t="s">
        <v>87</v>
      </c>
      <c r="C1371" s="38" t="s">
        <v>8</v>
      </c>
      <c r="G1371" t="s">
        <v>138</v>
      </c>
      <c r="H1371" s="9" t="s">
        <v>225</v>
      </c>
      <c r="J1371">
        <v>0</v>
      </c>
      <c r="K1371">
        <v>0</v>
      </c>
      <c r="L1371">
        <v>0</v>
      </c>
      <c r="M1371">
        <v>0</v>
      </c>
      <c r="N1371">
        <v>41146219</v>
      </c>
      <c r="Q1371" s="38"/>
    </row>
    <row r="1372" spans="1:17" x14ac:dyDescent="0.25">
      <c r="A1372" s="39">
        <v>45420</v>
      </c>
      <c r="B1372" t="s">
        <v>42</v>
      </c>
      <c r="C1372" s="38" t="s">
        <v>8</v>
      </c>
      <c r="D1372" t="s">
        <v>246</v>
      </c>
      <c r="E1372" t="s">
        <v>81</v>
      </c>
      <c r="F1372" t="s">
        <v>285</v>
      </c>
      <c r="G1372" t="s">
        <v>138</v>
      </c>
      <c r="H1372" s="9" t="s">
        <v>226</v>
      </c>
      <c r="I1372" t="s">
        <v>58</v>
      </c>
      <c r="J1372">
        <v>0</v>
      </c>
      <c r="K1372">
        <v>0</v>
      </c>
      <c r="L1372">
        <v>0</v>
      </c>
      <c r="M1372">
        <v>0</v>
      </c>
      <c r="N1372">
        <v>20.7</v>
      </c>
      <c r="P1372" t="s">
        <v>148</v>
      </c>
      <c r="Q1372" s="38"/>
    </row>
    <row r="1373" spans="1:17" x14ac:dyDescent="0.25">
      <c r="A1373" s="39">
        <v>45420</v>
      </c>
      <c r="B1373" t="s">
        <v>86</v>
      </c>
      <c r="C1373" s="38" t="s">
        <v>8</v>
      </c>
      <c r="D1373" t="s">
        <v>271</v>
      </c>
      <c r="E1373" t="s">
        <v>275</v>
      </c>
      <c r="F1373" t="s">
        <v>276</v>
      </c>
      <c r="G1373" t="s">
        <v>138</v>
      </c>
      <c r="H1373" s="9" t="s">
        <v>227</v>
      </c>
      <c r="I1373" t="s">
        <v>65</v>
      </c>
      <c r="J1373">
        <v>0</v>
      </c>
      <c r="K1373">
        <v>0</v>
      </c>
      <c r="L1373">
        <v>0</v>
      </c>
      <c r="M1373">
        <v>0</v>
      </c>
      <c r="N1373">
        <v>41.64</v>
      </c>
      <c r="P1373" t="s">
        <v>152</v>
      </c>
      <c r="Q1373" s="38"/>
    </row>
    <row r="1374" spans="1:17" x14ac:dyDescent="0.25">
      <c r="A1374" s="39">
        <v>45420</v>
      </c>
      <c r="B1374" t="s">
        <v>38</v>
      </c>
      <c r="C1374" s="38" t="s">
        <v>8</v>
      </c>
      <c r="D1374" t="s">
        <v>141</v>
      </c>
      <c r="E1374" t="s">
        <v>81</v>
      </c>
      <c r="F1374" t="s">
        <v>285</v>
      </c>
      <c r="G1374" t="s">
        <v>138</v>
      </c>
      <c r="H1374" s="9" t="s">
        <v>85</v>
      </c>
      <c r="I1374" t="s">
        <v>58</v>
      </c>
      <c r="J1374">
        <v>0</v>
      </c>
      <c r="K1374">
        <v>0</v>
      </c>
      <c r="L1374">
        <v>0</v>
      </c>
      <c r="M1374">
        <v>0</v>
      </c>
      <c r="N1374">
        <v>37.5</v>
      </c>
      <c r="P1374" t="s">
        <v>151</v>
      </c>
      <c r="Q1374" s="38"/>
    </row>
    <row r="1375" spans="1:17" x14ac:dyDescent="0.25">
      <c r="A1375" s="39">
        <v>45420</v>
      </c>
      <c r="B1375" t="s">
        <v>83</v>
      </c>
      <c r="C1375" s="38" t="s">
        <v>8</v>
      </c>
      <c r="G1375" t="s">
        <v>138</v>
      </c>
      <c r="H1375" s="9" t="s">
        <v>84</v>
      </c>
      <c r="J1375">
        <v>0</v>
      </c>
      <c r="K1375">
        <v>0</v>
      </c>
      <c r="L1375">
        <v>0</v>
      </c>
      <c r="M1375">
        <v>0</v>
      </c>
      <c r="N1375">
        <v>41.36</v>
      </c>
      <c r="Q1375" s="38"/>
    </row>
    <row r="1376" spans="1:17" x14ac:dyDescent="0.25">
      <c r="A1376" s="39">
        <v>45420</v>
      </c>
      <c r="B1376" t="s">
        <v>20</v>
      </c>
      <c r="C1376" s="38" t="s">
        <v>8</v>
      </c>
      <c r="D1376" t="s">
        <v>351</v>
      </c>
      <c r="E1376" t="s">
        <v>352</v>
      </c>
      <c r="F1376" t="s">
        <v>285</v>
      </c>
      <c r="G1376" t="s">
        <v>138</v>
      </c>
      <c r="H1376" s="9" t="s">
        <v>82</v>
      </c>
      <c r="I1376" t="s">
        <v>58</v>
      </c>
      <c r="J1376">
        <v>0</v>
      </c>
      <c r="K1376">
        <v>0</v>
      </c>
      <c r="L1376">
        <v>0</v>
      </c>
      <c r="M1376">
        <v>0</v>
      </c>
      <c r="N1376">
        <v>22.79</v>
      </c>
      <c r="P1376" t="s">
        <v>151</v>
      </c>
      <c r="Q1376" s="38"/>
    </row>
    <row r="1377" spans="1:17" x14ac:dyDescent="0.25">
      <c r="A1377" s="39">
        <v>45420</v>
      </c>
      <c r="B1377" t="s">
        <v>21</v>
      </c>
      <c r="C1377" s="38" t="s">
        <v>8</v>
      </c>
      <c r="D1377" t="s">
        <v>291</v>
      </c>
      <c r="E1377" t="s">
        <v>352</v>
      </c>
      <c r="F1377" t="s">
        <v>285</v>
      </c>
      <c r="G1377" t="s">
        <v>138</v>
      </c>
      <c r="H1377" s="9" t="s">
        <v>80</v>
      </c>
      <c r="I1377" t="s">
        <v>65</v>
      </c>
      <c r="J1377">
        <v>0</v>
      </c>
      <c r="K1377">
        <v>0</v>
      </c>
      <c r="L1377">
        <v>0</v>
      </c>
      <c r="M1377">
        <v>0</v>
      </c>
      <c r="N1377">
        <v>21.59</v>
      </c>
      <c r="P1377" t="s">
        <v>152</v>
      </c>
      <c r="Q1377" s="38"/>
    </row>
    <row r="1378" spans="1:17" x14ac:dyDescent="0.25">
      <c r="A1378" s="39">
        <v>45420</v>
      </c>
      <c r="B1378" t="s">
        <v>22</v>
      </c>
      <c r="C1378" s="38" t="s">
        <v>8</v>
      </c>
      <c r="D1378" t="s">
        <v>353</v>
      </c>
      <c r="E1378" t="s">
        <v>352</v>
      </c>
      <c r="F1378" t="s">
        <v>285</v>
      </c>
      <c r="G1378" t="s">
        <v>138</v>
      </c>
      <c r="H1378" s="9" t="s">
        <v>79</v>
      </c>
      <c r="I1378" t="s">
        <v>58</v>
      </c>
      <c r="J1378">
        <v>0</v>
      </c>
      <c r="K1378">
        <v>0</v>
      </c>
      <c r="L1378">
        <v>0</v>
      </c>
      <c r="M1378">
        <v>0</v>
      </c>
      <c r="N1378">
        <v>13.62</v>
      </c>
      <c r="P1378" t="s">
        <v>148</v>
      </c>
      <c r="Q1378" s="38"/>
    </row>
    <row r="1379" spans="1:17" x14ac:dyDescent="0.25">
      <c r="A1379" s="39">
        <v>45420</v>
      </c>
      <c r="B1379" t="s">
        <v>77</v>
      </c>
      <c r="C1379" s="38" t="s">
        <v>8</v>
      </c>
      <c r="G1379" t="s">
        <v>138</v>
      </c>
      <c r="H1379" s="9" t="s">
        <v>78</v>
      </c>
      <c r="J1379">
        <v>0</v>
      </c>
      <c r="K1379">
        <v>0</v>
      </c>
      <c r="L1379">
        <v>0</v>
      </c>
      <c r="M1379">
        <v>0</v>
      </c>
      <c r="N1379">
        <v>17.88</v>
      </c>
      <c r="Q1379" s="38"/>
    </row>
    <row r="1380" spans="1:17" x14ac:dyDescent="0.25">
      <c r="A1380" s="39">
        <v>45420</v>
      </c>
      <c r="B1380" t="s">
        <v>23</v>
      </c>
      <c r="C1380" s="38" t="s">
        <v>8</v>
      </c>
      <c r="D1380" t="s">
        <v>409</v>
      </c>
      <c r="E1380" t="s">
        <v>352</v>
      </c>
      <c r="F1380" t="s">
        <v>285</v>
      </c>
      <c r="G1380" t="s">
        <v>138</v>
      </c>
      <c r="H1380" s="9" t="s">
        <v>228</v>
      </c>
      <c r="I1380" t="s">
        <v>58</v>
      </c>
      <c r="J1380">
        <v>0</v>
      </c>
      <c r="K1380">
        <v>0</v>
      </c>
      <c r="L1380">
        <v>0</v>
      </c>
      <c r="M1380">
        <v>0</v>
      </c>
      <c r="N1380">
        <v>23.22</v>
      </c>
      <c r="P1380" t="s">
        <v>148</v>
      </c>
      <c r="Q1380" s="38"/>
    </row>
    <row r="1381" spans="1:17" x14ac:dyDescent="0.25">
      <c r="A1381" s="39">
        <v>45420</v>
      </c>
      <c r="B1381" t="s">
        <v>24</v>
      </c>
      <c r="C1381" s="38" t="s">
        <v>8</v>
      </c>
      <c r="D1381" t="s">
        <v>344</v>
      </c>
      <c r="E1381" t="s">
        <v>379</v>
      </c>
      <c r="F1381" t="s">
        <v>253</v>
      </c>
      <c r="G1381" t="s">
        <v>138</v>
      </c>
      <c r="H1381" s="9" t="s">
        <v>229</v>
      </c>
      <c r="I1381" t="s">
        <v>65</v>
      </c>
      <c r="J1381">
        <v>0</v>
      </c>
      <c r="K1381">
        <v>0</v>
      </c>
      <c r="L1381">
        <v>0</v>
      </c>
      <c r="M1381">
        <v>0</v>
      </c>
      <c r="N1381">
        <v>18.37</v>
      </c>
      <c r="P1381" t="s">
        <v>152</v>
      </c>
      <c r="Q1381" s="38"/>
    </row>
    <row r="1382" spans="1:17" x14ac:dyDescent="0.25">
      <c r="A1382" s="39">
        <v>45420</v>
      </c>
      <c r="B1382" t="s">
        <v>75</v>
      </c>
      <c r="C1382" s="38" t="s">
        <v>8</v>
      </c>
      <c r="D1382" t="s">
        <v>410</v>
      </c>
      <c r="E1382" t="s">
        <v>202</v>
      </c>
      <c r="F1382" t="s">
        <v>346</v>
      </c>
      <c r="G1382" t="s">
        <v>138</v>
      </c>
      <c r="H1382" s="9" t="s">
        <v>230</v>
      </c>
      <c r="I1382" t="s">
        <v>58</v>
      </c>
      <c r="J1382">
        <v>0</v>
      </c>
      <c r="K1382">
        <v>0</v>
      </c>
      <c r="L1382">
        <v>0</v>
      </c>
      <c r="M1382">
        <v>0</v>
      </c>
      <c r="N1382">
        <v>12.9</v>
      </c>
      <c r="P1382" t="s">
        <v>303</v>
      </c>
      <c r="Q1382" s="38"/>
    </row>
    <row r="1383" spans="1:17" x14ac:dyDescent="0.25">
      <c r="A1383" s="39">
        <v>45420</v>
      </c>
      <c r="B1383" t="s">
        <v>25</v>
      </c>
      <c r="C1383" s="38" t="s">
        <v>8</v>
      </c>
      <c r="D1383" t="s">
        <v>383</v>
      </c>
      <c r="E1383" t="s">
        <v>81</v>
      </c>
      <c r="F1383" t="s">
        <v>285</v>
      </c>
      <c r="G1383" t="s">
        <v>138</v>
      </c>
      <c r="H1383" s="9" t="s">
        <v>231</v>
      </c>
      <c r="I1383" t="s">
        <v>65</v>
      </c>
      <c r="J1383">
        <v>0</v>
      </c>
      <c r="K1383">
        <v>0</v>
      </c>
      <c r="L1383">
        <v>0</v>
      </c>
      <c r="M1383">
        <v>0</v>
      </c>
      <c r="N1383">
        <v>12.16</v>
      </c>
      <c r="P1383" t="s">
        <v>148</v>
      </c>
      <c r="Q1383" s="38"/>
    </row>
    <row r="1384" spans="1:17" x14ac:dyDescent="0.25">
      <c r="A1384" s="39">
        <v>45420</v>
      </c>
      <c r="B1384" t="s">
        <v>74</v>
      </c>
      <c r="C1384" s="38" t="s">
        <v>8</v>
      </c>
      <c r="D1384" t="s">
        <v>292</v>
      </c>
      <c r="E1384" t="s">
        <v>60</v>
      </c>
      <c r="F1384" t="s">
        <v>346</v>
      </c>
      <c r="G1384" t="s">
        <v>138</v>
      </c>
      <c r="H1384" s="9" t="s">
        <v>232</v>
      </c>
      <c r="I1384" t="s">
        <v>58</v>
      </c>
      <c r="J1384">
        <v>0</v>
      </c>
      <c r="K1384">
        <v>0</v>
      </c>
      <c r="L1384">
        <v>0</v>
      </c>
      <c r="M1384">
        <v>0</v>
      </c>
      <c r="N1384">
        <v>15.61</v>
      </c>
      <c r="P1384" t="s">
        <v>293</v>
      </c>
      <c r="Q1384" s="38"/>
    </row>
    <row r="1385" spans="1:17" x14ac:dyDescent="0.25">
      <c r="A1385" s="39">
        <v>45420</v>
      </c>
      <c r="B1385" t="s">
        <v>26</v>
      </c>
      <c r="C1385" s="38" t="s">
        <v>8</v>
      </c>
      <c r="D1385" t="s">
        <v>294</v>
      </c>
      <c r="E1385" t="s">
        <v>56</v>
      </c>
      <c r="F1385" t="s">
        <v>184</v>
      </c>
      <c r="G1385" t="s">
        <v>138</v>
      </c>
      <c r="H1385" s="9" t="s">
        <v>233</v>
      </c>
      <c r="I1385" t="s">
        <v>65</v>
      </c>
      <c r="J1385">
        <v>0</v>
      </c>
      <c r="K1385">
        <v>0</v>
      </c>
      <c r="L1385">
        <v>0</v>
      </c>
      <c r="M1385">
        <v>0</v>
      </c>
      <c r="N1385">
        <v>13.29</v>
      </c>
      <c r="P1385" t="s">
        <v>155</v>
      </c>
      <c r="Q1385" s="38"/>
    </row>
    <row r="1386" spans="1:17" x14ac:dyDescent="0.25">
      <c r="A1386" s="39">
        <v>45420</v>
      </c>
      <c r="B1386" t="s">
        <v>27</v>
      </c>
      <c r="C1386" s="38" t="s">
        <v>8</v>
      </c>
      <c r="D1386" t="s">
        <v>384</v>
      </c>
      <c r="E1386" t="s">
        <v>366</v>
      </c>
      <c r="F1386" t="s">
        <v>346</v>
      </c>
      <c r="G1386" t="s">
        <v>138</v>
      </c>
      <c r="H1386" s="9" t="s">
        <v>234</v>
      </c>
      <c r="I1386" t="s">
        <v>58</v>
      </c>
      <c r="J1386">
        <v>0</v>
      </c>
      <c r="K1386">
        <v>0</v>
      </c>
      <c r="L1386">
        <v>0</v>
      </c>
      <c r="M1386">
        <v>0</v>
      </c>
      <c r="N1386">
        <v>13.89</v>
      </c>
      <c r="P1386" t="s">
        <v>269</v>
      </c>
      <c r="Q1386" s="38"/>
    </row>
    <row r="1387" spans="1:17" x14ac:dyDescent="0.25">
      <c r="A1387" s="39">
        <v>45420</v>
      </c>
      <c r="B1387" t="s">
        <v>28</v>
      </c>
      <c r="C1387" s="38" t="s">
        <v>8</v>
      </c>
      <c r="D1387" t="s">
        <v>411</v>
      </c>
      <c r="E1387" t="s">
        <v>56</v>
      </c>
      <c r="F1387" t="s">
        <v>338</v>
      </c>
      <c r="G1387" t="s">
        <v>138</v>
      </c>
      <c r="H1387" s="9" t="s">
        <v>235</v>
      </c>
      <c r="I1387" t="s">
        <v>65</v>
      </c>
      <c r="J1387">
        <v>0</v>
      </c>
      <c r="K1387">
        <v>0</v>
      </c>
      <c r="L1387">
        <v>0</v>
      </c>
      <c r="M1387">
        <v>0</v>
      </c>
      <c r="N1387">
        <v>13.9</v>
      </c>
      <c r="P1387" t="s">
        <v>155</v>
      </c>
      <c r="Q1387" s="38"/>
    </row>
    <row r="1388" spans="1:17" x14ac:dyDescent="0.25">
      <c r="A1388" s="39">
        <v>45420</v>
      </c>
      <c r="B1388" t="s">
        <v>72</v>
      </c>
      <c r="C1388" s="38" t="s">
        <v>8</v>
      </c>
      <c r="D1388" t="s">
        <v>322</v>
      </c>
      <c r="E1388" t="s">
        <v>202</v>
      </c>
      <c r="F1388" t="s">
        <v>346</v>
      </c>
      <c r="G1388" t="s">
        <v>138</v>
      </c>
      <c r="H1388" s="9" t="s">
        <v>422</v>
      </c>
      <c r="I1388" t="s">
        <v>58</v>
      </c>
      <c r="J1388">
        <v>0</v>
      </c>
      <c r="K1388">
        <v>0</v>
      </c>
      <c r="L1388">
        <v>0</v>
      </c>
      <c r="M1388">
        <v>0</v>
      </c>
      <c r="N1388">
        <v>15.45</v>
      </c>
      <c r="P1388" t="s">
        <v>157</v>
      </c>
      <c r="Q1388" s="38"/>
    </row>
    <row r="1389" spans="1:17" x14ac:dyDescent="0.25">
      <c r="A1389" s="39">
        <v>45420</v>
      </c>
      <c r="B1389" t="s">
        <v>29</v>
      </c>
      <c r="C1389" s="38" t="s">
        <v>8</v>
      </c>
      <c r="D1389" t="s">
        <v>315</v>
      </c>
      <c r="E1389" t="s">
        <v>56</v>
      </c>
      <c r="F1389" t="s">
        <v>338</v>
      </c>
      <c r="G1389" t="s">
        <v>138</v>
      </c>
      <c r="H1389" s="9" t="s">
        <v>236</v>
      </c>
      <c r="I1389" t="s">
        <v>65</v>
      </c>
      <c r="J1389">
        <v>0</v>
      </c>
      <c r="K1389">
        <v>0</v>
      </c>
      <c r="L1389">
        <v>0</v>
      </c>
      <c r="M1389">
        <v>0</v>
      </c>
      <c r="N1389">
        <v>13.98</v>
      </c>
      <c r="P1389" t="s">
        <v>156</v>
      </c>
      <c r="Q1389" s="38"/>
    </row>
    <row r="1390" spans="1:17" x14ac:dyDescent="0.25">
      <c r="A1390" s="39">
        <v>45420</v>
      </c>
      <c r="B1390" t="s">
        <v>30</v>
      </c>
      <c r="C1390" s="38" t="s">
        <v>8</v>
      </c>
      <c r="D1390" t="s">
        <v>305</v>
      </c>
      <c r="E1390" t="s">
        <v>81</v>
      </c>
      <c r="F1390" t="s">
        <v>90</v>
      </c>
      <c r="G1390" t="s">
        <v>138</v>
      </c>
      <c r="H1390" s="9" t="s">
        <v>71</v>
      </c>
      <c r="I1390" t="s">
        <v>58</v>
      </c>
      <c r="J1390">
        <v>0</v>
      </c>
      <c r="K1390">
        <v>0</v>
      </c>
      <c r="L1390">
        <v>0</v>
      </c>
      <c r="M1390">
        <v>0</v>
      </c>
      <c r="N1390">
        <v>10.84</v>
      </c>
      <c r="P1390" t="s">
        <v>150</v>
      </c>
      <c r="Q1390" s="38"/>
    </row>
    <row r="1391" spans="1:17" x14ac:dyDescent="0.25">
      <c r="A1391" s="39">
        <v>45420</v>
      </c>
      <c r="B1391" t="s">
        <v>31</v>
      </c>
      <c r="C1391" s="38" t="s">
        <v>8</v>
      </c>
      <c r="E1391" t="s">
        <v>56</v>
      </c>
      <c r="G1391" t="s">
        <v>138</v>
      </c>
      <c r="H1391" s="9" t="s">
        <v>70</v>
      </c>
      <c r="I1391" t="s">
        <v>65</v>
      </c>
      <c r="J1391">
        <v>0</v>
      </c>
      <c r="K1391">
        <v>0</v>
      </c>
      <c r="L1391">
        <v>0</v>
      </c>
      <c r="M1391">
        <v>0</v>
      </c>
      <c r="N1391">
        <v>13.5</v>
      </c>
      <c r="P1391" t="s">
        <v>156</v>
      </c>
      <c r="Q1391" s="38"/>
    </row>
    <row r="1392" spans="1:17" x14ac:dyDescent="0.25">
      <c r="A1392" s="39">
        <v>45420</v>
      </c>
      <c r="B1392" t="s">
        <v>32</v>
      </c>
      <c r="C1392" s="38" t="s">
        <v>8</v>
      </c>
      <c r="D1392" t="s">
        <v>413</v>
      </c>
      <c r="E1392" t="s">
        <v>202</v>
      </c>
      <c r="F1392" t="s">
        <v>346</v>
      </c>
      <c r="G1392" t="s">
        <v>138</v>
      </c>
      <c r="H1392" s="9" t="s">
        <v>69</v>
      </c>
      <c r="I1392" t="s">
        <v>58</v>
      </c>
      <c r="J1392">
        <v>0</v>
      </c>
      <c r="K1392">
        <v>0</v>
      </c>
      <c r="L1392">
        <v>0</v>
      </c>
      <c r="M1392">
        <v>0</v>
      </c>
      <c r="N1392">
        <v>14.39</v>
      </c>
      <c r="P1392" t="s">
        <v>414</v>
      </c>
      <c r="Q1392" s="38"/>
    </row>
    <row r="1393" spans="1:17" x14ac:dyDescent="0.25">
      <c r="A1393" s="39">
        <v>45420</v>
      </c>
      <c r="B1393" t="s">
        <v>67</v>
      </c>
      <c r="C1393" s="38" t="s">
        <v>8</v>
      </c>
      <c r="D1393" t="s">
        <v>354</v>
      </c>
      <c r="E1393" t="s">
        <v>56</v>
      </c>
      <c r="F1393" t="s">
        <v>367</v>
      </c>
      <c r="G1393" t="s">
        <v>138</v>
      </c>
      <c r="H1393" s="9" t="s">
        <v>68</v>
      </c>
      <c r="I1393" t="s">
        <v>65</v>
      </c>
      <c r="J1393">
        <v>0</v>
      </c>
      <c r="K1393">
        <v>0</v>
      </c>
      <c r="L1393">
        <v>0</v>
      </c>
      <c r="M1393">
        <v>0</v>
      </c>
      <c r="N1393">
        <v>13.8</v>
      </c>
      <c r="P1393" t="s">
        <v>156</v>
      </c>
      <c r="Q1393" s="38"/>
    </row>
    <row r="1394" spans="1:17" x14ac:dyDescent="0.25">
      <c r="A1394" s="39">
        <v>45420</v>
      </c>
      <c r="B1394" t="s">
        <v>33</v>
      </c>
      <c r="C1394" s="38" t="s">
        <v>8</v>
      </c>
      <c r="D1394" t="s">
        <v>277</v>
      </c>
      <c r="E1394" t="s">
        <v>73</v>
      </c>
      <c r="F1394" t="s">
        <v>346</v>
      </c>
      <c r="G1394" t="s">
        <v>138</v>
      </c>
      <c r="H1394" s="9" t="s">
        <v>66</v>
      </c>
      <c r="I1394" t="s">
        <v>58</v>
      </c>
      <c r="J1394">
        <v>0</v>
      </c>
      <c r="K1394">
        <v>0</v>
      </c>
      <c r="L1394">
        <v>0</v>
      </c>
      <c r="M1394">
        <v>0</v>
      </c>
      <c r="N1394">
        <v>14.19</v>
      </c>
      <c r="P1394" t="s">
        <v>201</v>
      </c>
      <c r="Q1394" s="38"/>
    </row>
    <row r="1395" spans="1:17" x14ac:dyDescent="0.25">
      <c r="A1395" s="39">
        <v>45420</v>
      </c>
      <c r="B1395" t="s">
        <v>34</v>
      </c>
      <c r="C1395" s="38" t="s">
        <v>8</v>
      </c>
      <c r="D1395" t="s">
        <v>415</v>
      </c>
      <c r="E1395" t="s">
        <v>56</v>
      </c>
      <c r="F1395" t="s">
        <v>346</v>
      </c>
      <c r="G1395" t="s">
        <v>138</v>
      </c>
      <c r="H1395" s="9" t="s">
        <v>64</v>
      </c>
      <c r="I1395" t="s">
        <v>65</v>
      </c>
      <c r="J1395">
        <v>0</v>
      </c>
      <c r="K1395">
        <v>0</v>
      </c>
      <c r="L1395">
        <v>0</v>
      </c>
      <c r="M1395">
        <v>0</v>
      </c>
      <c r="N1395">
        <v>15.6</v>
      </c>
      <c r="P1395" t="s">
        <v>416</v>
      </c>
      <c r="Q1395" s="38"/>
    </row>
    <row r="1396" spans="1:17" x14ac:dyDescent="0.25">
      <c r="A1396" s="39">
        <v>45420</v>
      </c>
      <c r="B1396" t="s">
        <v>35</v>
      </c>
      <c r="C1396" s="38" t="s">
        <v>8</v>
      </c>
      <c r="D1396" t="s">
        <v>331</v>
      </c>
      <c r="E1396" t="s">
        <v>60</v>
      </c>
      <c r="F1396" t="s">
        <v>346</v>
      </c>
      <c r="G1396" t="s">
        <v>138</v>
      </c>
      <c r="H1396" s="9" t="s">
        <v>237</v>
      </c>
      <c r="I1396" t="s">
        <v>58</v>
      </c>
      <c r="J1396">
        <v>0</v>
      </c>
      <c r="K1396">
        <v>0</v>
      </c>
      <c r="L1396">
        <v>0</v>
      </c>
      <c r="M1396">
        <v>0</v>
      </c>
      <c r="N1396">
        <v>14.64</v>
      </c>
      <c r="P1396" t="s">
        <v>158</v>
      </c>
      <c r="Q1396" s="38"/>
    </row>
    <row r="1397" spans="1:17" x14ac:dyDescent="0.25">
      <c r="A1397" s="39">
        <v>45420</v>
      </c>
      <c r="B1397" t="s">
        <v>418</v>
      </c>
      <c r="C1397" s="38" t="s">
        <v>8</v>
      </c>
      <c r="G1397" t="s">
        <v>138</v>
      </c>
      <c r="H1397" s="9" t="s">
        <v>240</v>
      </c>
      <c r="I1397" t="s">
        <v>262</v>
      </c>
      <c r="J1397">
        <v>0</v>
      </c>
      <c r="K1397">
        <v>0</v>
      </c>
      <c r="L1397">
        <v>0</v>
      </c>
      <c r="M1397">
        <v>0</v>
      </c>
      <c r="N1397">
        <v>17.670000000000002</v>
      </c>
      <c r="Q1397" s="38"/>
    </row>
    <row r="1398" spans="1:17" x14ac:dyDescent="0.25">
      <c r="A1398" s="39">
        <v>45420</v>
      </c>
      <c r="B1398" t="s">
        <v>419</v>
      </c>
      <c r="C1398" s="38" t="s">
        <v>8</v>
      </c>
      <c r="G1398" t="s">
        <v>138</v>
      </c>
      <c r="H1398" s="9" t="s">
        <v>240</v>
      </c>
      <c r="I1398" t="s">
        <v>262</v>
      </c>
      <c r="J1398">
        <v>0</v>
      </c>
      <c r="K1398">
        <v>0</v>
      </c>
      <c r="L1398">
        <v>0</v>
      </c>
      <c r="M1398">
        <v>0</v>
      </c>
      <c r="N1398">
        <v>13.49</v>
      </c>
      <c r="Q1398" s="38"/>
    </row>
    <row r="1399" spans="1:17" x14ac:dyDescent="0.25">
      <c r="A1399" s="39">
        <v>45420</v>
      </c>
      <c r="B1399" t="s">
        <v>36</v>
      </c>
      <c r="C1399" s="38" t="s">
        <v>8</v>
      </c>
      <c r="D1399" t="s">
        <v>295</v>
      </c>
      <c r="E1399" t="s">
        <v>81</v>
      </c>
      <c r="F1399" t="s">
        <v>369</v>
      </c>
      <c r="G1399" t="s">
        <v>138</v>
      </c>
      <c r="H1399" s="9" t="s">
        <v>423</v>
      </c>
      <c r="I1399" t="s">
        <v>58</v>
      </c>
      <c r="J1399">
        <v>0</v>
      </c>
      <c r="K1399">
        <v>0</v>
      </c>
      <c r="L1399">
        <v>0</v>
      </c>
      <c r="M1399">
        <v>0</v>
      </c>
      <c r="N1399">
        <v>38472557</v>
      </c>
      <c r="P1399" t="s">
        <v>156</v>
      </c>
      <c r="Q1399" s="38"/>
    </row>
    <row r="1400" spans="1:17" x14ac:dyDescent="0.25">
      <c r="A1400" s="39">
        <v>45420</v>
      </c>
      <c r="B1400" t="s">
        <v>256</v>
      </c>
      <c r="C1400" s="38" t="s">
        <v>8</v>
      </c>
      <c r="D1400" t="s">
        <v>392</v>
      </c>
      <c r="E1400" t="s">
        <v>417</v>
      </c>
      <c r="F1400" t="s">
        <v>192</v>
      </c>
      <c r="G1400" t="s">
        <v>138</v>
      </c>
      <c r="H1400" s="9"/>
      <c r="I1400" t="s">
        <v>262</v>
      </c>
      <c r="J1400">
        <v>0</v>
      </c>
      <c r="K1400">
        <v>0</v>
      </c>
      <c r="L1400">
        <v>0</v>
      </c>
      <c r="M1400">
        <v>0</v>
      </c>
      <c r="N1400">
        <v>0</v>
      </c>
      <c r="P1400" t="s">
        <v>149</v>
      </c>
      <c r="Q1400" s="38"/>
    </row>
    <row r="1401" spans="1:17" x14ac:dyDescent="0.25">
      <c r="A1401" s="39">
        <v>45420</v>
      </c>
      <c r="B1401" t="s">
        <v>257</v>
      </c>
      <c r="C1401" s="38" t="s">
        <v>8</v>
      </c>
      <c r="D1401" t="s">
        <v>392</v>
      </c>
      <c r="E1401" t="s">
        <v>417</v>
      </c>
      <c r="F1401" t="s">
        <v>192</v>
      </c>
      <c r="G1401" t="s">
        <v>138</v>
      </c>
      <c r="H1401" s="9"/>
      <c r="I1401" t="s">
        <v>58</v>
      </c>
      <c r="J1401">
        <v>0</v>
      </c>
      <c r="K1401">
        <v>0</v>
      </c>
      <c r="L1401">
        <v>0</v>
      </c>
      <c r="M1401">
        <v>0</v>
      </c>
      <c r="N1401">
        <v>38.46</v>
      </c>
      <c r="P1401" t="s">
        <v>149</v>
      </c>
      <c r="Q1401" s="38"/>
    </row>
    <row r="1402" spans="1:17" x14ac:dyDescent="0.25">
      <c r="A1402" s="39">
        <v>45420</v>
      </c>
      <c r="B1402" t="s">
        <v>37</v>
      </c>
      <c r="C1402" s="38" t="s">
        <v>8</v>
      </c>
      <c r="D1402" t="s">
        <v>347</v>
      </c>
      <c r="E1402" t="s">
        <v>348</v>
      </c>
      <c r="F1402" t="s">
        <v>346</v>
      </c>
      <c r="G1402" t="s">
        <v>138</v>
      </c>
      <c r="H1402" s="9" t="s">
        <v>425</v>
      </c>
      <c r="I1402" t="s">
        <v>58</v>
      </c>
      <c r="J1402">
        <v>0</v>
      </c>
      <c r="K1402">
        <v>0</v>
      </c>
      <c r="L1402">
        <v>0</v>
      </c>
      <c r="M1402">
        <v>0</v>
      </c>
      <c r="N1402">
        <v>13.5</v>
      </c>
      <c r="P1402" t="s">
        <v>270</v>
      </c>
      <c r="Q1402" s="38"/>
    </row>
    <row r="1403" spans="1:17" x14ac:dyDescent="0.25">
      <c r="A1403" s="39">
        <v>45420</v>
      </c>
      <c r="B1403" t="s">
        <v>258</v>
      </c>
      <c r="C1403" s="38" t="s">
        <v>8</v>
      </c>
      <c r="G1403" t="s">
        <v>138</v>
      </c>
      <c r="H1403" s="9" t="s">
        <v>426</v>
      </c>
      <c r="I1403" t="s">
        <v>262</v>
      </c>
      <c r="J1403">
        <v>0</v>
      </c>
      <c r="K1403">
        <v>0</v>
      </c>
      <c r="L1403">
        <v>0</v>
      </c>
      <c r="M1403">
        <v>0</v>
      </c>
      <c r="N1403">
        <v>13.5</v>
      </c>
      <c r="P1403" t="s">
        <v>148</v>
      </c>
      <c r="Q1403" s="38"/>
    </row>
    <row r="1404" spans="1:17" x14ac:dyDescent="0.25">
      <c r="A1404" s="39">
        <v>45420</v>
      </c>
      <c r="B1404" t="s">
        <v>259</v>
      </c>
      <c r="C1404" s="38" t="s">
        <v>8</v>
      </c>
      <c r="G1404" t="s">
        <v>138</v>
      </c>
      <c r="H1404" s="9" t="s">
        <v>426</v>
      </c>
      <c r="I1404" t="s">
        <v>262</v>
      </c>
      <c r="J1404">
        <v>0</v>
      </c>
      <c r="K1404">
        <v>0</v>
      </c>
      <c r="L1404">
        <v>0</v>
      </c>
      <c r="M1404">
        <v>0</v>
      </c>
      <c r="N1404">
        <v>41.06</v>
      </c>
      <c r="P1404" t="s">
        <v>148</v>
      </c>
      <c r="Q1404" s="38"/>
    </row>
    <row r="1405" spans="1:17" x14ac:dyDescent="0.25">
      <c r="A1405" s="39">
        <v>45420</v>
      </c>
      <c r="B1405" t="s">
        <v>54</v>
      </c>
      <c r="C1405" s="38" t="s">
        <v>8</v>
      </c>
      <c r="D1405" t="s">
        <v>55</v>
      </c>
      <c r="E1405" t="s">
        <v>56</v>
      </c>
      <c r="F1405" t="s">
        <v>57</v>
      </c>
      <c r="G1405" t="s">
        <v>138</v>
      </c>
      <c r="H1405" s="9" t="s">
        <v>427</v>
      </c>
      <c r="I1405" t="s">
        <v>58</v>
      </c>
      <c r="J1405">
        <v>0</v>
      </c>
      <c r="K1405">
        <v>0</v>
      </c>
      <c r="L1405">
        <v>0</v>
      </c>
      <c r="M1405">
        <v>0</v>
      </c>
      <c r="N1405">
        <v>41.06</v>
      </c>
      <c r="P1405" t="s">
        <v>159</v>
      </c>
      <c r="Q1405" s="38"/>
    </row>
    <row r="1406" spans="1:17" x14ac:dyDescent="0.25">
      <c r="A1406" s="39">
        <v>45421</v>
      </c>
      <c r="B1406" t="s">
        <v>136</v>
      </c>
      <c r="C1406" s="38" t="s">
        <v>6</v>
      </c>
      <c r="D1406" t="s">
        <v>174</v>
      </c>
      <c r="E1406" t="s">
        <v>81</v>
      </c>
      <c r="F1406" t="s">
        <v>90</v>
      </c>
      <c r="G1406" t="s">
        <v>138</v>
      </c>
      <c r="H1406" s="9" t="s">
        <v>160</v>
      </c>
      <c r="I1406" t="s">
        <v>58</v>
      </c>
      <c r="J1406">
        <v>0</v>
      </c>
      <c r="K1406">
        <v>0</v>
      </c>
      <c r="L1406">
        <v>0</v>
      </c>
      <c r="M1406">
        <v>0</v>
      </c>
      <c r="N1406">
        <v>42144554</v>
      </c>
      <c r="P1406" t="s">
        <v>153</v>
      </c>
      <c r="Q1406" s="38"/>
    </row>
    <row r="1407" spans="1:17" x14ac:dyDescent="0.25">
      <c r="A1407" s="39">
        <v>45421</v>
      </c>
      <c r="B1407" s="38" t="s">
        <v>135</v>
      </c>
      <c r="C1407" s="38" t="s">
        <v>6</v>
      </c>
      <c r="D1407" s="38" t="s">
        <v>332</v>
      </c>
      <c r="E1407" s="38" t="s">
        <v>81</v>
      </c>
      <c r="F1407" s="38" t="s">
        <v>90</v>
      </c>
      <c r="G1407" s="38" t="s">
        <v>138</v>
      </c>
      <c r="H1407" s="9" t="s">
        <v>161</v>
      </c>
      <c r="I1407" s="38" t="s">
        <v>58</v>
      </c>
      <c r="J1407" s="38">
        <v>0</v>
      </c>
      <c r="K1407">
        <v>0</v>
      </c>
      <c r="L1407">
        <v>0</v>
      </c>
      <c r="M1407">
        <v>0</v>
      </c>
      <c r="N1407" s="38">
        <v>24.09</v>
      </c>
      <c r="O1407" s="38"/>
      <c r="P1407" s="38" t="s">
        <v>148</v>
      </c>
      <c r="Q1407" s="38"/>
    </row>
    <row r="1408" spans="1:17" x14ac:dyDescent="0.25">
      <c r="A1408" s="39">
        <v>45421</v>
      </c>
      <c r="B1408" s="38" t="s">
        <v>134</v>
      </c>
      <c r="C1408" s="38" t="s">
        <v>6</v>
      </c>
      <c r="D1408" s="38" t="s">
        <v>175</v>
      </c>
      <c r="E1408" s="38" t="s">
        <v>81</v>
      </c>
      <c r="F1408" s="38" t="s">
        <v>90</v>
      </c>
      <c r="G1408" s="38" t="s">
        <v>138</v>
      </c>
      <c r="H1408" s="9" t="s">
        <v>206</v>
      </c>
      <c r="I1408" s="38" t="s">
        <v>58</v>
      </c>
      <c r="J1408" s="38">
        <v>0</v>
      </c>
      <c r="K1408">
        <v>0</v>
      </c>
      <c r="L1408">
        <v>0</v>
      </c>
      <c r="M1408">
        <v>0</v>
      </c>
      <c r="N1408" s="38">
        <v>0</v>
      </c>
      <c r="O1408" s="38"/>
      <c r="P1408" s="38" t="s">
        <v>148</v>
      </c>
      <c r="Q1408" s="38"/>
    </row>
    <row r="1409" spans="1:17" x14ac:dyDescent="0.25">
      <c r="A1409" s="39">
        <v>45421</v>
      </c>
      <c r="B1409" s="38" t="s">
        <v>132</v>
      </c>
      <c r="C1409" s="38" t="s">
        <v>6</v>
      </c>
      <c r="D1409" s="38" t="s">
        <v>133</v>
      </c>
      <c r="E1409" s="38" t="s">
        <v>126</v>
      </c>
      <c r="F1409" s="38" t="s">
        <v>199</v>
      </c>
      <c r="G1409" s="38" t="s">
        <v>138</v>
      </c>
      <c r="H1409" s="9" t="s">
        <v>162</v>
      </c>
      <c r="I1409" s="38" t="s">
        <v>58</v>
      </c>
      <c r="J1409" s="38">
        <v>0</v>
      </c>
      <c r="K1409">
        <v>0</v>
      </c>
      <c r="L1409">
        <v>0</v>
      </c>
      <c r="M1409">
        <v>0</v>
      </c>
      <c r="N1409" s="38">
        <v>38.369999999999997</v>
      </c>
      <c r="O1409" s="38"/>
      <c r="P1409" s="38" t="s">
        <v>149</v>
      </c>
      <c r="Q1409" s="38"/>
    </row>
    <row r="1410" spans="1:17" x14ac:dyDescent="0.25">
      <c r="A1410" s="39">
        <v>45421</v>
      </c>
      <c r="B1410" s="38" t="s">
        <v>131</v>
      </c>
      <c r="C1410" s="38" t="s">
        <v>6</v>
      </c>
      <c r="D1410" s="38" t="s">
        <v>396</v>
      </c>
      <c r="E1410" s="38" t="s">
        <v>60</v>
      </c>
      <c r="F1410" s="38" t="s">
        <v>90</v>
      </c>
      <c r="G1410" s="38" t="s">
        <v>138</v>
      </c>
      <c r="H1410" s="9" t="s">
        <v>163</v>
      </c>
      <c r="I1410" s="38" t="s">
        <v>58</v>
      </c>
      <c r="J1410" s="38">
        <v>0</v>
      </c>
      <c r="K1410">
        <v>0</v>
      </c>
      <c r="L1410">
        <v>0</v>
      </c>
      <c r="M1410">
        <v>0</v>
      </c>
      <c r="N1410" s="38">
        <v>23.93</v>
      </c>
      <c r="O1410" s="38"/>
      <c r="P1410" s="38" t="s">
        <v>154</v>
      </c>
      <c r="Q1410" s="38"/>
    </row>
    <row r="1411" spans="1:17" x14ac:dyDescent="0.25">
      <c r="A1411" s="39">
        <v>45421</v>
      </c>
      <c r="B1411" s="38" t="s">
        <v>130</v>
      </c>
      <c r="C1411" s="38" t="s">
        <v>6</v>
      </c>
      <c r="D1411" s="38" t="s">
        <v>191</v>
      </c>
      <c r="E1411" s="38" t="s">
        <v>81</v>
      </c>
      <c r="F1411" s="38" t="s">
        <v>285</v>
      </c>
      <c r="G1411" s="38" t="s">
        <v>138</v>
      </c>
      <c r="H1411" s="9" t="s">
        <v>420</v>
      </c>
      <c r="I1411" s="38" t="s">
        <v>58</v>
      </c>
      <c r="J1411" s="38">
        <v>0</v>
      </c>
      <c r="K1411">
        <v>0</v>
      </c>
      <c r="L1411">
        <v>0</v>
      </c>
      <c r="M1411">
        <v>0</v>
      </c>
      <c r="N1411" s="38">
        <v>14.99</v>
      </c>
      <c r="O1411" s="38"/>
      <c r="P1411" s="38" t="s">
        <v>148</v>
      </c>
      <c r="Q1411" s="38"/>
    </row>
    <row r="1412" spans="1:17" x14ac:dyDescent="0.25">
      <c r="A1412" s="39">
        <v>45421</v>
      </c>
      <c r="B1412" s="38" t="s">
        <v>128</v>
      </c>
      <c r="C1412" s="38" t="s">
        <v>6</v>
      </c>
      <c r="D1412" s="38" t="s">
        <v>129</v>
      </c>
      <c r="E1412" s="38" t="s">
        <v>126</v>
      </c>
      <c r="F1412" s="38" t="s">
        <v>199</v>
      </c>
      <c r="G1412" s="38" t="s">
        <v>138</v>
      </c>
      <c r="H1412" s="9" t="s">
        <v>164</v>
      </c>
      <c r="I1412" s="38" t="s">
        <v>58</v>
      </c>
      <c r="J1412" s="38">
        <v>0</v>
      </c>
      <c r="K1412">
        <v>0</v>
      </c>
      <c r="L1412">
        <v>0</v>
      </c>
      <c r="M1412">
        <v>0</v>
      </c>
      <c r="N1412" s="38">
        <v>41.06</v>
      </c>
      <c r="O1412" s="38"/>
      <c r="P1412" s="38" t="s">
        <v>149</v>
      </c>
      <c r="Q1412" s="38"/>
    </row>
    <row r="1413" spans="1:17" x14ac:dyDescent="0.25">
      <c r="A1413" s="39">
        <v>45421</v>
      </c>
      <c r="B1413" s="38" t="s">
        <v>40</v>
      </c>
      <c r="C1413" s="38" t="s">
        <v>6</v>
      </c>
      <c r="D1413" s="38" t="s">
        <v>397</v>
      </c>
      <c r="E1413" s="38" t="s">
        <v>60</v>
      </c>
      <c r="F1413" s="38" t="s">
        <v>200</v>
      </c>
      <c r="G1413" s="38" t="s">
        <v>138</v>
      </c>
      <c r="H1413" s="9" t="s">
        <v>165</v>
      </c>
      <c r="I1413" s="38" t="s">
        <v>58</v>
      </c>
      <c r="J1413" s="38">
        <v>0</v>
      </c>
      <c r="K1413">
        <v>0</v>
      </c>
      <c r="L1413">
        <v>0</v>
      </c>
      <c r="M1413">
        <v>0</v>
      </c>
      <c r="N1413" s="38">
        <v>14.92</v>
      </c>
      <c r="O1413" s="38"/>
      <c r="P1413" s="38" t="s">
        <v>153</v>
      </c>
      <c r="Q1413" s="38"/>
    </row>
    <row r="1414" spans="1:17" x14ac:dyDescent="0.25">
      <c r="A1414" s="39">
        <v>45421</v>
      </c>
      <c r="B1414" s="38" t="s">
        <v>127</v>
      </c>
      <c r="C1414" s="38" t="s">
        <v>6</v>
      </c>
      <c r="D1414" s="38" t="s">
        <v>203</v>
      </c>
      <c r="E1414" s="38" t="s">
        <v>81</v>
      </c>
      <c r="F1414" s="38" t="s">
        <v>285</v>
      </c>
      <c r="G1414" s="38" t="s">
        <v>138</v>
      </c>
      <c r="H1414" s="9" t="s">
        <v>207</v>
      </c>
      <c r="I1414" s="38" t="s">
        <v>58</v>
      </c>
      <c r="J1414" s="38">
        <v>0</v>
      </c>
      <c r="K1414">
        <v>0</v>
      </c>
      <c r="L1414">
        <v>0</v>
      </c>
      <c r="M1414">
        <v>0</v>
      </c>
      <c r="N1414" s="38">
        <v>20.85</v>
      </c>
      <c r="O1414" s="38"/>
      <c r="P1414" s="38" t="s">
        <v>151</v>
      </c>
      <c r="Q1414" s="38"/>
    </row>
    <row r="1415" spans="1:17" x14ac:dyDescent="0.25">
      <c r="A1415" s="39">
        <v>45421</v>
      </c>
      <c r="B1415" s="38" t="s">
        <v>124</v>
      </c>
      <c r="C1415" s="38" t="s">
        <v>6</v>
      </c>
      <c r="D1415" s="38" t="s">
        <v>340</v>
      </c>
      <c r="E1415" s="38" t="s">
        <v>126</v>
      </c>
      <c r="F1415" s="38" t="s">
        <v>199</v>
      </c>
      <c r="G1415" s="38" t="s">
        <v>138</v>
      </c>
      <c r="H1415" s="9" t="s">
        <v>166</v>
      </c>
      <c r="I1415" s="38" t="s">
        <v>58</v>
      </c>
      <c r="J1415" s="38">
        <v>0</v>
      </c>
      <c r="K1415">
        <v>0</v>
      </c>
      <c r="L1415">
        <v>0</v>
      </c>
      <c r="M1415">
        <v>0</v>
      </c>
      <c r="N1415" s="38">
        <v>39863813</v>
      </c>
      <c r="O1415" s="38"/>
      <c r="P1415" s="38" t="s">
        <v>149</v>
      </c>
      <c r="Q1415" s="38"/>
    </row>
    <row r="1416" spans="1:17" x14ac:dyDescent="0.25">
      <c r="A1416" s="39">
        <v>45421</v>
      </c>
      <c r="B1416" s="38" t="s">
        <v>122</v>
      </c>
      <c r="C1416" s="38" t="s">
        <v>6</v>
      </c>
      <c r="D1416" s="38" t="s">
        <v>356</v>
      </c>
      <c r="E1416" s="38" t="s">
        <v>81</v>
      </c>
      <c r="F1416" s="38" t="s">
        <v>90</v>
      </c>
      <c r="G1416" s="38" t="s">
        <v>138</v>
      </c>
      <c r="H1416" s="9" t="s">
        <v>167</v>
      </c>
      <c r="I1416" s="38" t="s">
        <v>58</v>
      </c>
      <c r="J1416" s="38">
        <v>0</v>
      </c>
      <c r="K1416">
        <v>0</v>
      </c>
      <c r="L1416">
        <v>0</v>
      </c>
      <c r="M1416">
        <v>0</v>
      </c>
      <c r="N1416" s="38">
        <v>20.9</v>
      </c>
      <c r="O1416" s="38"/>
      <c r="P1416" s="38" t="s">
        <v>148</v>
      </c>
      <c r="Q1416" s="38"/>
    </row>
    <row r="1417" spans="1:17" x14ac:dyDescent="0.25">
      <c r="A1417" s="39">
        <v>45421</v>
      </c>
      <c r="B1417" s="38" t="s">
        <v>120</v>
      </c>
      <c r="C1417" s="38" t="s">
        <v>6</v>
      </c>
      <c r="D1417" s="38" t="s">
        <v>333</v>
      </c>
      <c r="E1417" s="38" t="s">
        <v>375</v>
      </c>
      <c r="F1417" s="38" t="s">
        <v>285</v>
      </c>
      <c r="G1417" s="38" t="s">
        <v>138</v>
      </c>
      <c r="H1417" s="9" t="s">
        <v>121</v>
      </c>
      <c r="I1417" s="38" t="s">
        <v>58</v>
      </c>
      <c r="J1417" s="38">
        <v>0</v>
      </c>
      <c r="K1417">
        <v>0</v>
      </c>
      <c r="L1417">
        <v>0</v>
      </c>
      <c r="M1417">
        <v>0</v>
      </c>
      <c r="N1417" s="38">
        <v>41.69</v>
      </c>
      <c r="O1417" s="38"/>
      <c r="P1417" s="38" t="s">
        <v>151</v>
      </c>
      <c r="Q1417" s="38"/>
    </row>
    <row r="1418" spans="1:17" x14ac:dyDescent="0.25">
      <c r="A1418" s="39">
        <v>45421</v>
      </c>
      <c r="B1418" s="38" t="s">
        <v>119</v>
      </c>
      <c r="C1418" s="38" t="s">
        <v>6</v>
      </c>
      <c r="D1418" s="38" t="s">
        <v>178</v>
      </c>
      <c r="E1418" s="38" t="s">
        <v>399</v>
      </c>
      <c r="F1418" s="38" t="s">
        <v>192</v>
      </c>
      <c r="G1418" s="38" t="s">
        <v>138</v>
      </c>
      <c r="H1418" s="9" t="s">
        <v>168</v>
      </c>
      <c r="I1418" s="38" t="s">
        <v>58</v>
      </c>
      <c r="J1418" s="38">
        <v>0</v>
      </c>
      <c r="K1418">
        <v>0</v>
      </c>
      <c r="L1418">
        <v>0</v>
      </c>
      <c r="M1418">
        <v>0</v>
      </c>
      <c r="N1418" s="38">
        <v>41.62</v>
      </c>
      <c r="O1418" s="38"/>
      <c r="P1418" s="38" t="s">
        <v>149</v>
      </c>
      <c r="Q1418" s="38"/>
    </row>
    <row r="1419" spans="1:17" x14ac:dyDescent="0.25">
      <c r="A1419" s="39">
        <v>45421</v>
      </c>
      <c r="B1419" s="38" t="s">
        <v>117</v>
      </c>
      <c r="C1419" s="38" t="s">
        <v>6</v>
      </c>
      <c r="D1419" s="38" t="s">
        <v>349</v>
      </c>
      <c r="E1419" s="38" t="s">
        <v>398</v>
      </c>
      <c r="F1419" s="38" t="s">
        <v>90</v>
      </c>
      <c r="G1419" s="38" t="s">
        <v>138</v>
      </c>
      <c r="H1419" s="9" t="s">
        <v>118</v>
      </c>
      <c r="I1419" s="38" t="s">
        <v>58</v>
      </c>
      <c r="J1419" s="38">
        <v>0</v>
      </c>
      <c r="K1419">
        <v>0</v>
      </c>
      <c r="L1419">
        <v>0</v>
      </c>
      <c r="M1419">
        <v>0</v>
      </c>
      <c r="N1419" s="38">
        <v>34.69</v>
      </c>
      <c r="O1419" s="38"/>
      <c r="P1419" s="38" t="s">
        <v>151</v>
      </c>
      <c r="Q1419" s="38"/>
    </row>
    <row r="1420" spans="1:17" x14ac:dyDescent="0.25">
      <c r="A1420" s="39">
        <v>45421</v>
      </c>
      <c r="B1420" s="38" t="s">
        <v>39</v>
      </c>
      <c r="C1420" s="38" t="s">
        <v>6</v>
      </c>
      <c r="D1420" s="38" t="s">
        <v>177</v>
      </c>
      <c r="E1420" s="38" t="s">
        <v>377</v>
      </c>
      <c r="F1420" s="38" t="s">
        <v>90</v>
      </c>
      <c r="G1420" s="38" t="s">
        <v>138</v>
      </c>
      <c r="H1420" s="9" t="s">
        <v>116</v>
      </c>
      <c r="I1420" s="38" t="s">
        <v>58</v>
      </c>
      <c r="J1420" s="38">
        <v>0</v>
      </c>
      <c r="K1420">
        <v>0</v>
      </c>
      <c r="L1420">
        <v>0</v>
      </c>
      <c r="M1420">
        <v>0</v>
      </c>
      <c r="N1420" s="38">
        <v>41.24</v>
      </c>
      <c r="O1420" s="38"/>
      <c r="P1420" s="38" t="s">
        <v>151</v>
      </c>
      <c r="Q1420" s="38"/>
    </row>
    <row r="1421" spans="1:17" x14ac:dyDescent="0.25">
      <c r="A1421" s="39">
        <v>45421</v>
      </c>
      <c r="B1421" s="38" t="s">
        <v>113</v>
      </c>
      <c r="C1421" s="38" t="s">
        <v>6</v>
      </c>
      <c r="D1421" s="38" t="s">
        <v>188</v>
      </c>
      <c r="E1421" s="38" t="s">
        <v>126</v>
      </c>
      <c r="F1421" s="38" t="s">
        <v>199</v>
      </c>
      <c r="G1421" s="38" t="s">
        <v>138</v>
      </c>
      <c r="H1421" s="9" t="s">
        <v>114</v>
      </c>
      <c r="I1421" s="38" t="s">
        <v>58</v>
      </c>
      <c r="J1421" s="38">
        <v>0</v>
      </c>
      <c r="K1421">
        <v>0</v>
      </c>
      <c r="L1421">
        <v>0</v>
      </c>
      <c r="M1421">
        <v>0</v>
      </c>
      <c r="N1421" s="38">
        <v>41.35</v>
      </c>
      <c r="O1421" s="38"/>
      <c r="P1421" s="38" t="s">
        <v>149</v>
      </c>
      <c r="Q1421" s="38"/>
    </row>
    <row r="1422" spans="1:17" x14ac:dyDescent="0.25">
      <c r="A1422" s="39">
        <v>45421</v>
      </c>
      <c r="B1422" s="38" t="s">
        <v>111</v>
      </c>
      <c r="C1422" s="38" t="s">
        <v>6</v>
      </c>
      <c r="D1422" s="38" t="s">
        <v>189</v>
      </c>
      <c r="E1422" s="38" t="s">
        <v>81</v>
      </c>
      <c r="F1422" s="38" t="s">
        <v>285</v>
      </c>
      <c r="G1422" s="38" t="s">
        <v>138</v>
      </c>
      <c r="H1422" s="9" t="s">
        <v>112</v>
      </c>
      <c r="I1422" s="38" t="s">
        <v>58</v>
      </c>
      <c r="J1422" s="38">
        <v>0</v>
      </c>
      <c r="K1422">
        <v>0</v>
      </c>
      <c r="L1422">
        <v>0</v>
      </c>
      <c r="M1422">
        <v>0</v>
      </c>
      <c r="N1422" s="38">
        <v>20.48</v>
      </c>
      <c r="O1422" s="38"/>
      <c r="P1422" s="38" t="s">
        <v>153</v>
      </c>
      <c r="Q1422" s="38"/>
    </row>
    <row r="1423" spans="1:17" x14ac:dyDescent="0.25">
      <c r="A1423" s="39">
        <v>45421</v>
      </c>
      <c r="B1423" s="38" t="s">
        <v>109</v>
      </c>
      <c r="C1423" s="38" t="s">
        <v>6</v>
      </c>
      <c r="D1423" s="38" t="s">
        <v>142</v>
      </c>
      <c r="E1423" s="38" t="s">
        <v>56</v>
      </c>
      <c r="F1423" s="38" t="s">
        <v>199</v>
      </c>
      <c r="G1423" s="38" t="s">
        <v>138</v>
      </c>
      <c r="H1423" s="9" t="s">
        <v>110</v>
      </c>
      <c r="I1423" s="38" t="s">
        <v>58</v>
      </c>
      <c r="J1423" s="38">
        <v>0</v>
      </c>
      <c r="K1423">
        <v>0</v>
      </c>
      <c r="L1423">
        <v>0</v>
      </c>
      <c r="M1423">
        <v>0</v>
      </c>
      <c r="N1423" s="38">
        <v>41.05</v>
      </c>
      <c r="O1423" s="38"/>
      <c r="P1423" s="38" t="s">
        <v>149</v>
      </c>
      <c r="Q1423" s="38"/>
    </row>
    <row r="1424" spans="1:17" x14ac:dyDescent="0.25">
      <c r="A1424" s="39">
        <v>45421</v>
      </c>
      <c r="B1424" s="38" t="s">
        <v>107</v>
      </c>
      <c r="C1424" s="38" t="s">
        <v>6</v>
      </c>
      <c r="D1424" s="38" t="s">
        <v>401</v>
      </c>
      <c r="E1424" s="38" t="s">
        <v>56</v>
      </c>
      <c r="F1424" s="38" t="s">
        <v>93</v>
      </c>
      <c r="G1424" s="38" t="s">
        <v>138</v>
      </c>
      <c r="H1424" s="9" t="s">
        <v>108</v>
      </c>
      <c r="I1424" s="38" t="s">
        <v>58</v>
      </c>
      <c r="J1424" s="38">
        <v>0</v>
      </c>
      <c r="K1424">
        <v>0</v>
      </c>
      <c r="L1424">
        <v>0</v>
      </c>
      <c r="M1424">
        <v>0</v>
      </c>
      <c r="N1424" s="38">
        <v>12.09</v>
      </c>
      <c r="O1424" s="38"/>
      <c r="P1424" s="38" t="s">
        <v>403</v>
      </c>
      <c r="Q1424" s="38"/>
    </row>
    <row r="1425" spans="1:17" x14ac:dyDescent="0.25">
      <c r="A1425" s="39">
        <v>45421</v>
      </c>
      <c r="B1425" s="38" t="s">
        <v>41</v>
      </c>
      <c r="C1425" s="38" t="s">
        <v>6</v>
      </c>
      <c r="D1425" s="38" t="s">
        <v>123</v>
      </c>
      <c r="E1425" s="38" t="s">
        <v>81</v>
      </c>
      <c r="F1425" s="38" t="s">
        <v>285</v>
      </c>
      <c r="G1425" s="38" t="s">
        <v>138</v>
      </c>
      <c r="H1425" s="9" t="s">
        <v>106</v>
      </c>
      <c r="I1425" s="38" t="s">
        <v>58</v>
      </c>
      <c r="J1425" s="38">
        <v>0</v>
      </c>
      <c r="K1425">
        <v>0</v>
      </c>
      <c r="L1425">
        <v>0</v>
      </c>
      <c r="M1425">
        <v>0</v>
      </c>
      <c r="N1425" s="38">
        <v>17.88</v>
      </c>
      <c r="O1425" s="38"/>
      <c r="P1425" s="38" t="s">
        <v>152</v>
      </c>
      <c r="Q1425" s="38"/>
    </row>
    <row r="1426" spans="1:17" x14ac:dyDescent="0.25">
      <c r="A1426" s="39">
        <v>45421</v>
      </c>
      <c r="B1426" s="38" t="s">
        <v>43</v>
      </c>
      <c r="C1426" s="38" t="s">
        <v>6</v>
      </c>
      <c r="D1426" s="38" t="s">
        <v>282</v>
      </c>
      <c r="E1426" s="38" t="s">
        <v>275</v>
      </c>
      <c r="F1426" s="38" t="s">
        <v>276</v>
      </c>
      <c r="G1426" s="38" t="s">
        <v>138</v>
      </c>
      <c r="H1426" s="9" t="s">
        <v>208</v>
      </c>
      <c r="I1426" s="38" t="s">
        <v>58</v>
      </c>
      <c r="J1426" s="38">
        <v>0</v>
      </c>
      <c r="K1426">
        <v>0</v>
      </c>
      <c r="L1426">
        <v>0</v>
      </c>
      <c r="M1426">
        <v>0</v>
      </c>
      <c r="N1426" s="38">
        <v>17.25</v>
      </c>
      <c r="O1426" s="38"/>
      <c r="P1426" s="38" t="s">
        <v>154</v>
      </c>
      <c r="Q1426" s="38"/>
    </row>
    <row r="1427" spans="1:17" x14ac:dyDescent="0.25">
      <c r="A1427" s="39">
        <v>45421</v>
      </c>
      <c r="B1427" s="38" t="s">
        <v>5</v>
      </c>
      <c r="C1427" s="38" t="s">
        <v>6</v>
      </c>
      <c r="D1427" s="38" t="s">
        <v>283</v>
      </c>
      <c r="E1427" s="38" t="s">
        <v>60</v>
      </c>
      <c r="F1427" s="38" t="s">
        <v>285</v>
      </c>
      <c r="G1427" s="38" t="s">
        <v>138</v>
      </c>
      <c r="H1427" s="9" t="s">
        <v>209</v>
      </c>
      <c r="I1427" s="38" t="s">
        <v>58</v>
      </c>
      <c r="J1427" s="38">
        <v>0</v>
      </c>
      <c r="K1427">
        <v>0</v>
      </c>
      <c r="L1427">
        <v>0</v>
      </c>
      <c r="M1427">
        <v>0</v>
      </c>
      <c r="N1427" s="38">
        <v>16.46</v>
      </c>
      <c r="O1427" s="38"/>
      <c r="P1427" s="38" t="s">
        <v>153</v>
      </c>
      <c r="Q1427" s="38"/>
    </row>
    <row r="1428" spans="1:17" x14ac:dyDescent="0.25">
      <c r="A1428" s="39">
        <v>45421</v>
      </c>
      <c r="B1428" s="38" t="s">
        <v>9</v>
      </c>
      <c r="C1428" s="38" t="s">
        <v>6</v>
      </c>
      <c r="D1428" s="38" t="s">
        <v>189</v>
      </c>
      <c r="E1428" s="38" t="s">
        <v>360</v>
      </c>
      <c r="F1428" s="38" t="s">
        <v>276</v>
      </c>
      <c r="G1428" s="38" t="s">
        <v>138</v>
      </c>
      <c r="H1428" s="9" t="s">
        <v>210</v>
      </c>
      <c r="I1428" s="38" t="s">
        <v>58</v>
      </c>
      <c r="J1428" s="38">
        <v>0</v>
      </c>
      <c r="K1428">
        <v>0</v>
      </c>
      <c r="L1428">
        <v>0</v>
      </c>
      <c r="M1428">
        <v>0</v>
      </c>
      <c r="N1428" s="38">
        <v>23.18</v>
      </c>
      <c r="O1428" s="38"/>
      <c r="P1428" s="38" t="s">
        <v>153</v>
      </c>
      <c r="Q1428" s="38"/>
    </row>
    <row r="1429" spans="1:17" x14ac:dyDescent="0.25">
      <c r="A1429" s="39">
        <v>45421</v>
      </c>
      <c r="B1429" s="38" t="s">
        <v>10</v>
      </c>
      <c r="C1429" s="38" t="s">
        <v>6</v>
      </c>
      <c r="D1429" s="38" t="s">
        <v>263</v>
      </c>
      <c r="E1429" s="38" t="s">
        <v>342</v>
      </c>
      <c r="F1429" s="38" t="s">
        <v>90</v>
      </c>
      <c r="G1429" s="38" t="s">
        <v>138</v>
      </c>
      <c r="H1429" s="9" t="s">
        <v>211</v>
      </c>
      <c r="I1429" s="38" t="s">
        <v>58</v>
      </c>
      <c r="J1429" s="38">
        <v>0</v>
      </c>
      <c r="K1429">
        <v>0</v>
      </c>
      <c r="L1429">
        <v>0</v>
      </c>
      <c r="M1429">
        <v>0</v>
      </c>
      <c r="N1429" s="38">
        <v>74.34</v>
      </c>
      <c r="O1429" s="38"/>
      <c r="P1429" s="38" t="s">
        <v>151</v>
      </c>
      <c r="Q1429" s="38"/>
    </row>
    <row r="1430" spans="1:17" x14ac:dyDescent="0.25">
      <c r="A1430" s="39">
        <v>45421</v>
      </c>
      <c r="B1430" s="38" t="s">
        <v>11</v>
      </c>
      <c r="C1430" s="38" t="s">
        <v>6</v>
      </c>
      <c r="D1430" s="38" t="s">
        <v>205</v>
      </c>
      <c r="E1430" s="38" t="s">
        <v>60</v>
      </c>
      <c r="F1430" s="38" t="s">
        <v>93</v>
      </c>
      <c r="G1430" s="38" t="s">
        <v>138</v>
      </c>
      <c r="H1430" s="9" t="s">
        <v>212</v>
      </c>
      <c r="I1430" s="38" t="s">
        <v>58</v>
      </c>
      <c r="J1430" s="38">
        <v>0</v>
      </c>
      <c r="K1430">
        <v>0</v>
      </c>
      <c r="L1430">
        <v>0</v>
      </c>
      <c r="M1430">
        <v>0</v>
      </c>
      <c r="N1430" s="38">
        <v>11.39</v>
      </c>
      <c r="O1430" s="38"/>
      <c r="P1430" s="38" t="s">
        <v>147</v>
      </c>
      <c r="Q1430" s="38"/>
    </row>
    <row r="1431" spans="1:17" x14ac:dyDescent="0.25">
      <c r="A1431" s="39">
        <v>45421</v>
      </c>
      <c r="B1431" s="38" t="s">
        <v>12</v>
      </c>
      <c r="C1431" s="38" t="s">
        <v>6</v>
      </c>
      <c r="D1431" s="38" t="s">
        <v>286</v>
      </c>
      <c r="E1431" s="38" t="s">
        <v>60</v>
      </c>
      <c r="F1431" s="38" t="s">
        <v>285</v>
      </c>
      <c r="G1431" s="38" t="s">
        <v>138</v>
      </c>
      <c r="H1431" s="9" t="s">
        <v>213</v>
      </c>
      <c r="I1431" s="38" t="s">
        <v>58</v>
      </c>
      <c r="J1431" s="38">
        <v>0</v>
      </c>
      <c r="K1431">
        <v>0</v>
      </c>
      <c r="L1431">
        <v>0</v>
      </c>
      <c r="M1431">
        <v>0</v>
      </c>
      <c r="N1431" s="38">
        <v>11.98</v>
      </c>
      <c r="O1431" s="38"/>
      <c r="P1431" s="38" t="s">
        <v>154</v>
      </c>
      <c r="Q1431" s="38"/>
    </row>
    <row r="1432" spans="1:17" x14ac:dyDescent="0.25">
      <c r="A1432" s="39">
        <v>45421</v>
      </c>
      <c r="B1432" s="38" t="s">
        <v>105</v>
      </c>
      <c r="C1432" s="38" t="s">
        <v>6</v>
      </c>
      <c r="D1432" s="38" t="s">
        <v>267</v>
      </c>
      <c r="E1432" s="38" t="s">
        <v>60</v>
      </c>
      <c r="F1432" s="38" t="s">
        <v>93</v>
      </c>
      <c r="G1432" s="38" t="s">
        <v>138</v>
      </c>
      <c r="H1432" s="9" t="s">
        <v>214</v>
      </c>
      <c r="I1432" s="38" t="s">
        <v>58</v>
      </c>
      <c r="J1432" s="38">
        <v>0</v>
      </c>
      <c r="K1432">
        <v>0</v>
      </c>
      <c r="L1432">
        <v>0</v>
      </c>
      <c r="M1432">
        <v>0</v>
      </c>
      <c r="N1432" s="38">
        <v>12.39</v>
      </c>
      <c r="O1432" s="38"/>
      <c r="P1432" s="38" t="s">
        <v>147</v>
      </c>
      <c r="Q1432" s="38"/>
    </row>
    <row r="1433" spans="1:17" x14ac:dyDescent="0.25">
      <c r="A1433" s="39">
        <v>45421</v>
      </c>
      <c r="B1433" s="38" t="s">
        <v>104</v>
      </c>
      <c r="C1433" s="38" t="s">
        <v>6</v>
      </c>
      <c r="D1433" s="38" t="s">
        <v>143</v>
      </c>
      <c r="E1433" s="38" t="s">
        <v>60</v>
      </c>
      <c r="F1433" s="38" t="s">
        <v>285</v>
      </c>
      <c r="G1433" s="38" t="s">
        <v>138</v>
      </c>
      <c r="H1433" s="9" t="s">
        <v>215</v>
      </c>
      <c r="I1433" s="38" t="s">
        <v>58</v>
      </c>
      <c r="J1433" s="38">
        <v>0</v>
      </c>
      <c r="K1433">
        <v>0</v>
      </c>
      <c r="L1433">
        <v>0</v>
      </c>
      <c r="M1433">
        <v>0</v>
      </c>
      <c r="N1433" s="38">
        <v>13.96</v>
      </c>
      <c r="O1433" s="38"/>
      <c r="P1433" s="38" t="s">
        <v>154</v>
      </c>
      <c r="Q1433" s="38"/>
    </row>
    <row r="1434" spans="1:17" x14ac:dyDescent="0.25">
      <c r="A1434" s="39">
        <v>45421</v>
      </c>
      <c r="B1434" s="38" t="s">
        <v>13</v>
      </c>
      <c r="C1434" s="38" t="s">
        <v>6</v>
      </c>
      <c r="D1434" s="38" t="s">
        <v>350</v>
      </c>
      <c r="E1434" s="38" t="s">
        <v>60</v>
      </c>
      <c r="F1434" s="38" t="s">
        <v>93</v>
      </c>
      <c r="G1434" s="38" t="s">
        <v>138</v>
      </c>
      <c r="H1434" s="9" t="s">
        <v>216</v>
      </c>
      <c r="I1434" s="38" t="s">
        <v>58</v>
      </c>
      <c r="J1434" s="38">
        <v>0</v>
      </c>
      <c r="K1434">
        <v>0</v>
      </c>
      <c r="L1434">
        <v>0</v>
      </c>
      <c r="M1434">
        <v>0</v>
      </c>
      <c r="N1434" s="38">
        <v>12.4</v>
      </c>
      <c r="O1434" s="38"/>
      <c r="P1434" s="38" t="s">
        <v>147</v>
      </c>
      <c r="Q1434" s="38"/>
    </row>
    <row r="1435" spans="1:17" x14ac:dyDescent="0.25">
      <c r="A1435" s="39">
        <v>45421</v>
      </c>
      <c r="B1435" s="38" t="s">
        <v>103</v>
      </c>
      <c r="C1435" s="38" t="s">
        <v>6</v>
      </c>
      <c r="D1435" s="38" t="s">
        <v>179</v>
      </c>
      <c r="E1435" s="38" t="s">
        <v>81</v>
      </c>
      <c r="F1435" s="38" t="s">
        <v>90</v>
      </c>
      <c r="G1435" s="38" t="s">
        <v>138</v>
      </c>
      <c r="H1435" s="9" t="s">
        <v>217</v>
      </c>
      <c r="I1435" s="38" t="s">
        <v>65</v>
      </c>
      <c r="J1435" s="38">
        <v>0</v>
      </c>
      <c r="K1435">
        <v>0</v>
      </c>
      <c r="L1435">
        <v>0</v>
      </c>
      <c r="M1435">
        <v>0</v>
      </c>
      <c r="N1435" s="38">
        <v>41.9</v>
      </c>
      <c r="O1435" s="38"/>
      <c r="P1435" s="38" t="s">
        <v>187</v>
      </c>
      <c r="Q1435" s="38"/>
    </row>
    <row r="1436" spans="1:17" x14ac:dyDescent="0.25">
      <c r="A1436" s="39">
        <v>45421</v>
      </c>
      <c r="B1436" s="38" t="s">
        <v>101</v>
      </c>
      <c r="C1436" s="38" t="s">
        <v>6</v>
      </c>
      <c r="D1436" s="38" t="s">
        <v>405</v>
      </c>
      <c r="E1436" s="38" t="s">
        <v>81</v>
      </c>
      <c r="F1436" s="38" t="s">
        <v>285</v>
      </c>
      <c r="G1436" s="38" t="s">
        <v>138</v>
      </c>
      <c r="H1436" s="9" t="s">
        <v>102</v>
      </c>
      <c r="I1436" s="38" t="s">
        <v>58</v>
      </c>
      <c r="J1436" s="38">
        <v>0</v>
      </c>
      <c r="K1436">
        <v>0</v>
      </c>
      <c r="L1436">
        <v>0</v>
      </c>
      <c r="M1436">
        <v>0</v>
      </c>
      <c r="N1436" s="38">
        <v>19.600000000000001</v>
      </c>
      <c r="O1436" s="38"/>
      <c r="P1436" s="38" t="s">
        <v>151</v>
      </c>
      <c r="Q1436" s="38"/>
    </row>
    <row r="1437" spans="1:17" x14ac:dyDescent="0.25">
      <c r="A1437" s="39">
        <v>45421</v>
      </c>
      <c r="B1437" s="38" t="s">
        <v>99</v>
      </c>
      <c r="C1437" s="38" t="s">
        <v>6</v>
      </c>
      <c r="D1437" s="38" t="s">
        <v>249</v>
      </c>
      <c r="E1437" s="38" t="s">
        <v>81</v>
      </c>
      <c r="F1437" s="38" t="s">
        <v>90</v>
      </c>
      <c r="G1437" s="38" t="s">
        <v>138</v>
      </c>
      <c r="H1437" s="9" t="s">
        <v>100</v>
      </c>
      <c r="I1437" s="38"/>
      <c r="J1437" s="38">
        <v>0</v>
      </c>
      <c r="K1437">
        <v>0</v>
      </c>
      <c r="L1437">
        <v>0</v>
      </c>
      <c r="M1437">
        <v>0</v>
      </c>
      <c r="N1437" s="38">
        <v>41.83</v>
      </c>
      <c r="O1437" s="38"/>
      <c r="P1437" s="38" t="s">
        <v>152</v>
      </c>
      <c r="Q1437" s="38"/>
    </row>
    <row r="1438" spans="1:17" x14ac:dyDescent="0.25">
      <c r="A1438" s="39">
        <v>45421</v>
      </c>
      <c r="B1438" s="38" t="s">
        <v>97</v>
      </c>
      <c r="C1438" s="38" t="s">
        <v>6</v>
      </c>
      <c r="D1438" s="38" t="s">
        <v>288</v>
      </c>
      <c r="E1438" s="38" t="s">
        <v>352</v>
      </c>
      <c r="F1438" s="38" t="s">
        <v>285</v>
      </c>
      <c r="G1438" s="38" t="s">
        <v>138</v>
      </c>
      <c r="H1438" s="9" t="s">
        <v>98</v>
      </c>
      <c r="I1438" s="38" t="s">
        <v>58</v>
      </c>
      <c r="J1438" s="38">
        <v>0</v>
      </c>
      <c r="K1438">
        <v>0</v>
      </c>
      <c r="L1438">
        <v>0</v>
      </c>
      <c r="M1438">
        <v>0</v>
      </c>
      <c r="N1438" s="38">
        <v>22.49</v>
      </c>
      <c r="O1438" s="38"/>
      <c r="P1438" s="38" t="s">
        <v>148</v>
      </c>
      <c r="Q1438" s="38"/>
    </row>
    <row r="1439" spans="1:17" x14ac:dyDescent="0.25">
      <c r="A1439" s="39">
        <v>45421</v>
      </c>
      <c r="B1439" s="38" t="s">
        <v>95</v>
      </c>
      <c r="C1439" s="38" t="s">
        <v>6</v>
      </c>
      <c r="D1439" s="38" t="s">
        <v>181</v>
      </c>
      <c r="E1439" s="38" t="s">
        <v>81</v>
      </c>
      <c r="F1439" s="38" t="s">
        <v>90</v>
      </c>
      <c r="G1439" s="38" t="s">
        <v>138</v>
      </c>
      <c r="H1439" s="9" t="s">
        <v>96</v>
      </c>
      <c r="I1439" s="38" t="s">
        <v>65</v>
      </c>
      <c r="J1439" s="38">
        <v>0</v>
      </c>
      <c r="K1439">
        <v>0</v>
      </c>
      <c r="L1439">
        <v>0</v>
      </c>
      <c r="M1439">
        <v>0</v>
      </c>
      <c r="N1439" s="38">
        <v>20.38</v>
      </c>
      <c r="O1439" s="38"/>
      <c r="P1439" s="38" t="s">
        <v>152</v>
      </c>
      <c r="Q1439" s="38"/>
    </row>
    <row r="1440" spans="1:17" x14ac:dyDescent="0.25">
      <c r="A1440" s="39">
        <v>45421</v>
      </c>
      <c r="B1440" s="38" t="s">
        <v>14</v>
      </c>
      <c r="C1440" s="38" t="s">
        <v>6</v>
      </c>
      <c r="D1440" s="38" t="s">
        <v>289</v>
      </c>
      <c r="E1440" s="38" t="s">
        <v>352</v>
      </c>
      <c r="F1440" s="38" t="s">
        <v>285</v>
      </c>
      <c r="G1440" s="38" t="s">
        <v>138</v>
      </c>
      <c r="H1440" s="9" t="s">
        <v>94</v>
      </c>
      <c r="I1440" s="38" t="s">
        <v>58</v>
      </c>
      <c r="J1440" s="38">
        <v>0</v>
      </c>
      <c r="K1440">
        <v>0</v>
      </c>
      <c r="L1440">
        <v>0</v>
      </c>
      <c r="M1440">
        <v>0</v>
      </c>
      <c r="N1440" s="38">
        <v>25.88</v>
      </c>
      <c r="O1440" s="38"/>
      <c r="P1440" s="38" t="s">
        <v>151</v>
      </c>
      <c r="Q1440" s="38"/>
    </row>
    <row r="1441" spans="1:17" x14ac:dyDescent="0.25">
      <c r="A1441" s="39">
        <v>45421</v>
      </c>
      <c r="B1441" s="38" t="s">
        <v>91</v>
      </c>
      <c r="C1441" s="38" t="s">
        <v>6</v>
      </c>
      <c r="D1441" s="38" t="s">
        <v>180</v>
      </c>
      <c r="E1441" s="38" t="s">
        <v>81</v>
      </c>
      <c r="F1441" s="38" t="s">
        <v>90</v>
      </c>
      <c r="G1441" s="38" t="s">
        <v>138</v>
      </c>
      <c r="H1441" s="9" t="s">
        <v>92</v>
      </c>
      <c r="I1441" s="38"/>
      <c r="J1441" s="38">
        <v>0</v>
      </c>
      <c r="K1441">
        <v>0</v>
      </c>
      <c r="L1441">
        <v>0</v>
      </c>
      <c r="M1441">
        <v>0</v>
      </c>
      <c r="N1441" s="38">
        <v>16.73</v>
      </c>
      <c r="O1441" s="38"/>
      <c r="P1441" s="38" t="s">
        <v>148</v>
      </c>
      <c r="Q1441" s="38"/>
    </row>
    <row r="1442" spans="1:17" x14ac:dyDescent="0.25">
      <c r="A1442" s="39">
        <v>45421</v>
      </c>
      <c r="B1442" s="38" t="s">
        <v>15</v>
      </c>
      <c r="C1442" s="38" t="s">
        <v>6</v>
      </c>
      <c r="D1442" s="38" t="s">
        <v>140</v>
      </c>
      <c r="E1442" s="38" t="s">
        <v>81</v>
      </c>
      <c r="F1442" s="38" t="s">
        <v>285</v>
      </c>
      <c r="G1442" s="38" t="s">
        <v>138</v>
      </c>
      <c r="H1442" s="9" t="s">
        <v>218</v>
      </c>
      <c r="I1442" s="38" t="s">
        <v>58</v>
      </c>
      <c r="J1442" s="38">
        <v>0</v>
      </c>
      <c r="K1442">
        <v>0</v>
      </c>
      <c r="L1442">
        <v>0</v>
      </c>
      <c r="M1442">
        <v>0</v>
      </c>
      <c r="N1442" s="38">
        <v>20.190000000000001</v>
      </c>
      <c r="O1442" s="38"/>
      <c r="P1442" s="38" t="s">
        <v>148</v>
      </c>
      <c r="Q1442" s="38"/>
    </row>
    <row r="1443" spans="1:17" x14ac:dyDescent="0.25">
      <c r="A1443" s="39">
        <v>45421</v>
      </c>
      <c r="B1443" s="38" t="s">
        <v>89</v>
      </c>
      <c r="C1443" s="38" t="s">
        <v>6</v>
      </c>
      <c r="D1443" s="38" t="s">
        <v>176</v>
      </c>
      <c r="E1443" s="38" t="s">
        <v>398</v>
      </c>
      <c r="F1443" s="38" t="s">
        <v>90</v>
      </c>
      <c r="G1443" s="38" t="s">
        <v>138</v>
      </c>
      <c r="H1443" s="9" t="s">
        <v>219</v>
      </c>
      <c r="I1443" s="38" t="s">
        <v>65</v>
      </c>
      <c r="J1443" s="38">
        <v>0</v>
      </c>
      <c r="K1443">
        <v>0</v>
      </c>
      <c r="L1443">
        <v>0</v>
      </c>
      <c r="M1443">
        <v>0</v>
      </c>
      <c r="N1443" s="38">
        <v>17.670000000000002</v>
      </c>
      <c r="O1443" s="38"/>
      <c r="P1443" s="38" t="s">
        <v>186</v>
      </c>
      <c r="Q1443" s="38"/>
    </row>
    <row r="1444" spans="1:17" x14ac:dyDescent="0.25">
      <c r="A1444" s="39">
        <v>45421</v>
      </c>
      <c r="B1444" s="38" t="s">
        <v>16</v>
      </c>
      <c r="C1444" s="38" t="s">
        <v>6</v>
      </c>
      <c r="D1444" s="38" t="s">
        <v>407</v>
      </c>
      <c r="E1444" s="38" t="s">
        <v>360</v>
      </c>
      <c r="F1444" s="38" t="s">
        <v>253</v>
      </c>
      <c r="G1444" s="38" t="s">
        <v>138</v>
      </c>
      <c r="H1444" s="9" t="s">
        <v>220</v>
      </c>
      <c r="I1444" s="38" t="s">
        <v>58</v>
      </c>
      <c r="J1444" s="38">
        <v>0</v>
      </c>
      <c r="K1444">
        <v>0</v>
      </c>
      <c r="L1444">
        <v>0</v>
      </c>
      <c r="M1444">
        <v>0</v>
      </c>
      <c r="N1444" s="38">
        <v>21.19</v>
      </c>
      <c r="O1444" s="38"/>
      <c r="P1444" s="38" t="s">
        <v>151</v>
      </c>
      <c r="Q1444" s="38"/>
    </row>
    <row r="1445" spans="1:17" x14ac:dyDescent="0.25">
      <c r="A1445" s="39">
        <v>45421</v>
      </c>
      <c r="B1445" s="38" t="s">
        <v>88</v>
      </c>
      <c r="C1445" s="38" t="s">
        <v>6</v>
      </c>
      <c r="D1445" s="38" t="s">
        <v>311</v>
      </c>
      <c r="E1445" s="38" t="s">
        <v>60</v>
      </c>
      <c r="F1445" s="38" t="s">
        <v>253</v>
      </c>
      <c r="G1445" s="38" t="s">
        <v>138</v>
      </c>
      <c r="H1445" s="9" t="s">
        <v>221</v>
      </c>
      <c r="I1445" s="38"/>
      <c r="J1445" s="38">
        <v>0</v>
      </c>
      <c r="K1445">
        <v>0</v>
      </c>
      <c r="L1445">
        <v>0</v>
      </c>
      <c r="M1445">
        <v>0</v>
      </c>
      <c r="N1445" s="38">
        <v>38.44</v>
      </c>
      <c r="O1445" s="38"/>
      <c r="P1445" s="38" t="s">
        <v>154</v>
      </c>
      <c r="Q1445" s="38"/>
    </row>
    <row r="1446" spans="1:17" x14ac:dyDescent="0.25">
      <c r="A1446" s="39">
        <v>45421</v>
      </c>
      <c r="B1446" s="38" t="s">
        <v>17</v>
      </c>
      <c r="C1446" s="38" t="s">
        <v>6</v>
      </c>
      <c r="D1446" s="38" t="s">
        <v>272</v>
      </c>
      <c r="E1446" s="38" t="s">
        <v>275</v>
      </c>
      <c r="F1446" s="38" t="s">
        <v>276</v>
      </c>
      <c r="G1446" s="38" t="s">
        <v>138</v>
      </c>
      <c r="H1446" s="9" t="s">
        <v>222</v>
      </c>
      <c r="I1446" s="38" t="s">
        <v>58</v>
      </c>
      <c r="J1446" s="38">
        <v>0</v>
      </c>
      <c r="K1446">
        <v>0</v>
      </c>
      <c r="L1446">
        <v>0</v>
      </c>
      <c r="M1446">
        <v>0</v>
      </c>
      <c r="N1446" s="38">
        <v>20.56</v>
      </c>
      <c r="O1446" s="38"/>
      <c r="P1446" s="38" t="s">
        <v>151</v>
      </c>
      <c r="Q1446" s="38"/>
    </row>
    <row r="1447" spans="1:17" x14ac:dyDescent="0.25">
      <c r="A1447" s="39">
        <v>45421</v>
      </c>
      <c r="B1447" s="38" t="s">
        <v>19</v>
      </c>
      <c r="C1447" s="38" t="s">
        <v>6</v>
      </c>
      <c r="D1447" s="38" t="s">
        <v>343</v>
      </c>
      <c r="E1447" s="38" t="s">
        <v>81</v>
      </c>
      <c r="F1447" s="38" t="s">
        <v>253</v>
      </c>
      <c r="G1447" s="38" t="s">
        <v>138</v>
      </c>
      <c r="H1447" s="9" t="s">
        <v>223</v>
      </c>
      <c r="I1447" s="38" t="s">
        <v>65</v>
      </c>
      <c r="J1447" s="38">
        <v>0</v>
      </c>
      <c r="K1447">
        <v>0</v>
      </c>
      <c r="L1447">
        <v>0</v>
      </c>
      <c r="M1447">
        <v>0</v>
      </c>
      <c r="N1447" s="38">
        <v>41.06</v>
      </c>
      <c r="O1447" s="38"/>
      <c r="P1447" s="38" t="s">
        <v>151</v>
      </c>
      <c r="Q1447" s="38"/>
    </row>
    <row r="1448" spans="1:17" x14ac:dyDescent="0.25">
      <c r="A1448" s="39">
        <v>45421</v>
      </c>
      <c r="B1448" s="38" t="s">
        <v>18</v>
      </c>
      <c r="C1448" s="38" t="s">
        <v>6</v>
      </c>
      <c r="D1448" s="38" t="s">
        <v>268</v>
      </c>
      <c r="E1448" s="38" t="s">
        <v>408</v>
      </c>
      <c r="F1448" s="38" t="s">
        <v>253</v>
      </c>
      <c r="G1448" s="38" t="s">
        <v>138</v>
      </c>
      <c r="H1448" s="9" t="s">
        <v>224</v>
      </c>
      <c r="I1448" s="38" t="s">
        <v>58</v>
      </c>
      <c r="J1448" s="38">
        <v>0</v>
      </c>
      <c r="K1448">
        <v>0</v>
      </c>
      <c r="L1448">
        <v>0</v>
      </c>
      <c r="M1448">
        <v>0</v>
      </c>
      <c r="N1448" s="38">
        <v>18.89</v>
      </c>
      <c r="O1448" s="38"/>
      <c r="P1448" s="38" t="s">
        <v>148</v>
      </c>
      <c r="Q1448" s="38"/>
    </row>
    <row r="1449" spans="1:17" x14ac:dyDescent="0.25">
      <c r="A1449" s="39">
        <v>45421</v>
      </c>
      <c r="B1449" s="38" t="s">
        <v>87</v>
      </c>
      <c r="C1449" s="38" t="s">
        <v>6</v>
      </c>
      <c r="D1449" s="38"/>
      <c r="E1449" s="38"/>
      <c r="F1449" s="38"/>
      <c r="G1449" s="38" t="s">
        <v>138</v>
      </c>
      <c r="H1449" s="9" t="s">
        <v>225</v>
      </c>
      <c r="I1449" s="38"/>
      <c r="J1449" s="38">
        <v>0</v>
      </c>
      <c r="K1449">
        <v>0</v>
      </c>
      <c r="L1449">
        <v>0</v>
      </c>
      <c r="M1449">
        <v>0</v>
      </c>
      <c r="N1449" s="38">
        <v>41146219</v>
      </c>
      <c r="O1449" s="38"/>
      <c r="P1449" s="38"/>
      <c r="Q1449" s="38"/>
    </row>
    <row r="1450" spans="1:17" x14ac:dyDescent="0.25">
      <c r="A1450" s="39">
        <v>45421</v>
      </c>
      <c r="B1450" s="38" t="s">
        <v>42</v>
      </c>
      <c r="C1450" s="38" t="s">
        <v>6</v>
      </c>
      <c r="D1450" s="38" t="s">
        <v>246</v>
      </c>
      <c r="E1450" s="38" t="s">
        <v>81</v>
      </c>
      <c r="F1450" s="38" t="s">
        <v>285</v>
      </c>
      <c r="G1450" s="38" t="s">
        <v>138</v>
      </c>
      <c r="H1450" s="9" t="s">
        <v>226</v>
      </c>
      <c r="I1450" s="38" t="s">
        <v>58</v>
      </c>
      <c r="J1450" s="38">
        <v>0</v>
      </c>
      <c r="K1450">
        <v>0</v>
      </c>
      <c r="L1450">
        <v>0</v>
      </c>
      <c r="M1450">
        <v>0</v>
      </c>
      <c r="N1450" s="38">
        <v>20.7</v>
      </c>
      <c r="O1450" s="38"/>
      <c r="P1450" s="38" t="s">
        <v>148</v>
      </c>
      <c r="Q1450" s="38"/>
    </row>
    <row r="1451" spans="1:17" x14ac:dyDescent="0.25">
      <c r="A1451" s="39">
        <v>45421</v>
      </c>
      <c r="B1451" s="38" t="s">
        <v>86</v>
      </c>
      <c r="C1451" s="38" t="s">
        <v>6</v>
      </c>
      <c r="D1451" s="38" t="s">
        <v>271</v>
      </c>
      <c r="E1451" s="38" t="s">
        <v>275</v>
      </c>
      <c r="F1451" s="38" t="s">
        <v>276</v>
      </c>
      <c r="G1451" s="38" t="s">
        <v>138</v>
      </c>
      <c r="H1451" s="9" t="s">
        <v>227</v>
      </c>
      <c r="I1451" s="38" t="s">
        <v>65</v>
      </c>
      <c r="J1451" s="38">
        <v>0</v>
      </c>
      <c r="K1451">
        <v>0</v>
      </c>
      <c r="L1451">
        <v>0</v>
      </c>
      <c r="M1451">
        <v>0</v>
      </c>
      <c r="N1451" s="38">
        <v>41.64</v>
      </c>
      <c r="O1451" s="38"/>
      <c r="P1451" s="38" t="s">
        <v>152</v>
      </c>
      <c r="Q1451" s="38"/>
    </row>
    <row r="1452" spans="1:17" x14ac:dyDescent="0.25">
      <c r="A1452" s="39">
        <v>45421</v>
      </c>
      <c r="B1452" s="38" t="s">
        <v>38</v>
      </c>
      <c r="C1452" s="38" t="s">
        <v>6</v>
      </c>
      <c r="D1452" s="38" t="s">
        <v>141</v>
      </c>
      <c r="E1452" s="38" t="s">
        <v>81</v>
      </c>
      <c r="F1452" s="38" t="s">
        <v>285</v>
      </c>
      <c r="G1452" s="38" t="s">
        <v>138</v>
      </c>
      <c r="H1452" s="9" t="s">
        <v>85</v>
      </c>
      <c r="I1452" s="38" t="s">
        <v>58</v>
      </c>
      <c r="J1452" s="38">
        <v>0</v>
      </c>
      <c r="K1452">
        <v>0</v>
      </c>
      <c r="L1452">
        <v>0</v>
      </c>
      <c r="M1452">
        <v>0</v>
      </c>
      <c r="N1452" s="38">
        <v>37.5</v>
      </c>
      <c r="O1452" s="38"/>
      <c r="P1452" s="38" t="s">
        <v>151</v>
      </c>
      <c r="Q1452" s="38"/>
    </row>
    <row r="1453" spans="1:17" x14ac:dyDescent="0.25">
      <c r="A1453" s="39">
        <v>45421</v>
      </c>
      <c r="B1453" s="38" t="s">
        <v>83</v>
      </c>
      <c r="C1453" s="38" t="s">
        <v>6</v>
      </c>
      <c r="D1453" s="38"/>
      <c r="E1453" s="38"/>
      <c r="F1453" s="38"/>
      <c r="G1453" s="38" t="s">
        <v>138</v>
      </c>
      <c r="H1453" s="9" t="s">
        <v>84</v>
      </c>
      <c r="I1453" s="38"/>
      <c r="J1453" s="38">
        <v>0</v>
      </c>
      <c r="K1453">
        <v>0</v>
      </c>
      <c r="L1453">
        <v>0</v>
      </c>
      <c r="M1453">
        <v>0</v>
      </c>
      <c r="N1453" s="38">
        <v>41.36</v>
      </c>
      <c r="O1453" s="38"/>
      <c r="P1453" s="38"/>
      <c r="Q1453" s="38"/>
    </row>
    <row r="1454" spans="1:17" x14ac:dyDescent="0.25">
      <c r="A1454" s="39">
        <v>45421</v>
      </c>
      <c r="B1454" s="38" t="s">
        <v>20</v>
      </c>
      <c r="C1454" s="38" t="s">
        <v>6</v>
      </c>
      <c r="D1454" s="38" t="s">
        <v>351</v>
      </c>
      <c r="E1454" s="38" t="s">
        <v>352</v>
      </c>
      <c r="F1454" s="38" t="s">
        <v>285</v>
      </c>
      <c r="G1454" s="38" t="s">
        <v>138</v>
      </c>
      <c r="H1454" s="9" t="s">
        <v>82</v>
      </c>
      <c r="I1454" s="38" t="s">
        <v>58</v>
      </c>
      <c r="J1454" s="38">
        <v>0</v>
      </c>
      <c r="K1454">
        <v>0</v>
      </c>
      <c r="L1454">
        <v>0</v>
      </c>
      <c r="M1454">
        <v>0</v>
      </c>
      <c r="N1454" s="38">
        <v>22.79</v>
      </c>
      <c r="O1454" s="38"/>
      <c r="P1454" s="38" t="s">
        <v>151</v>
      </c>
      <c r="Q1454" s="38"/>
    </row>
    <row r="1455" spans="1:17" x14ac:dyDescent="0.25">
      <c r="A1455" s="39">
        <v>45421</v>
      </c>
      <c r="B1455" s="38" t="s">
        <v>21</v>
      </c>
      <c r="C1455" s="38" t="s">
        <v>6</v>
      </c>
      <c r="D1455" s="38" t="s">
        <v>291</v>
      </c>
      <c r="E1455" s="38" t="s">
        <v>352</v>
      </c>
      <c r="F1455" s="38" t="s">
        <v>285</v>
      </c>
      <c r="G1455" s="38" t="s">
        <v>138</v>
      </c>
      <c r="H1455" s="9" t="s">
        <v>80</v>
      </c>
      <c r="I1455" s="38" t="s">
        <v>65</v>
      </c>
      <c r="J1455" s="38">
        <v>0</v>
      </c>
      <c r="K1455">
        <v>0</v>
      </c>
      <c r="L1455">
        <v>0</v>
      </c>
      <c r="M1455">
        <v>0</v>
      </c>
      <c r="N1455" s="38">
        <v>21.59</v>
      </c>
      <c r="O1455" s="38"/>
      <c r="P1455" s="38" t="s">
        <v>152</v>
      </c>
      <c r="Q1455" s="38"/>
    </row>
    <row r="1456" spans="1:17" x14ac:dyDescent="0.25">
      <c r="A1456" s="39">
        <v>45421</v>
      </c>
      <c r="B1456" s="38" t="s">
        <v>22</v>
      </c>
      <c r="C1456" s="38" t="s">
        <v>6</v>
      </c>
      <c r="D1456" s="38" t="s">
        <v>353</v>
      </c>
      <c r="E1456" s="38" t="s">
        <v>352</v>
      </c>
      <c r="F1456" s="38" t="s">
        <v>285</v>
      </c>
      <c r="G1456" s="38" t="s">
        <v>138</v>
      </c>
      <c r="H1456" s="9" t="s">
        <v>79</v>
      </c>
      <c r="I1456" s="38" t="s">
        <v>58</v>
      </c>
      <c r="J1456" s="38">
        <v>0</v>
      </c>
      <c r="K1456">
        <v>0</v>
      </c>
      <c r="L1456">
        <v>0</v>
      </c>
      <c r="M1456">
        <v>0</v>
      </c>
      <c r="N1456" s="38">
        <v>13.62</v>
      </c>
      <c r="O1456" s="38"/>
      <c r="P1456" s="38" t="s">
        <v>148</v>
      </c>
      <c r="Q1456" s="38"/>
    </row>
    <row r="1457" spans="1:17" x14ac:dyDescent="0.25">
      <c r="A1457" s="39">
        <v>45421</v>
      </c>
      <c r="B1457" s="38" t="s">
        <v>77</v>
      </c>
      <c r="C1457" s="38" t="s">
        <v>6</v>
      </c>
      <c r="D1457" s="38"/>
      <c r="E1457" s="38"/>
      <c r="F1457" s="38"/>
      <c r="G1457" s="38" t="s">
        <v>138</v>
      </c>
      <c r="H1457" s="9" t="s">
        <v>78</v>
      </c>
      <c r="I1457" s="38"/>
      <c r="J1457" s="38">
        <v>0</v>
      </c>
      <c r="K1457">
        <v>0</v>
      </c>
      <c r="L1457">
        <v>0</v>
      </c>
      <c r="M1457">
        <v>0</v>
      </c>
      <c r="N1457" s="38">
        <v>17.88</v>
      </c>
      <c r="O1457" s="38"/>
      <c r="P1457" s="38"/>
      <c r="Q1457" s="38"/>
    </row>
    <row r="1458" spans="1:17" x14ac:dyDescent="0.25">
      <c r="A1458" s="39">
        <v>45421</v>
      </c>
      <c r="B1458" s="38" t="s">
        <v>23</v>
      </c>
      <c r="C1458" s="38" t="s">
        <v>6</v>
      </c>
      <c r="D1458" s="38" t="s">
        <v>409</v>
      </c>
      <c r="E1458" s="38" t="s">
        <v>352</v>
      </c>
      <c r="F1458" s="38" t="s">
        <v>285</v>
      </c>
      <c r="G1458" s="38" t="s">
        <v>138</v>
      </c>
      <c r="H1458" s="9" t="s">
        <v>228</v>
      </c>
      <c r="I1458" s="38" t="s">
        <v>58</v>
      </c>
      <c r="J1458" s="38">
        <v>0</v>
      </c>
      <c r="K1458">
        <v>0</v>
      </c>
      <c r="L1458">
        <v>0</v>
      </c>
      <c r="M1458">
        <v>0</v>
      </c>
      <c r="N1458" s="38">
        <v>23.22</v>
      </c>
      <c r="O1458" s="38"/>
      <c r="P1458" s="38" t="s">
        <v>148</v>
      </c>
      <c r="Q1458" s="38"/>
    </row>
    <row r="1459" spans="1:17" x14ac:dyDescent="0.25">
      <c r="A1459" s="39">
        <v>45421</v>
      </c>
      <c r="B1459" s="38" t="s">
        <v>24</v>
      </c>
      <c r="C1459" s="38" t="s">
        <v>6</v>
      </c>
      <c r="D1459" s="38" t="s">
        <v>344</v>
      </c>
      <c r="E1459" s="38" t="s">
        <v>379</v>
      </c>
      <c r="F1459" s="38" t="s">
        <v>253</v>
      </c>
      <c r="G1459" s="38" t="s">
        <v>138</v>
      </c>
      <c r="H1459" s="9" t="s">
        <v>229</v>
      </c>
      <c r="I1459" s="38" t="s">
        <v>65</v>
      </c>
      <c r="J1459" s="38">
        <v>0</v>
      </c>
      <c r="K1459">
        <v>0</v>
      </c>
      <c r="L1459">
        <v>0</v>
      </c>
      <c r="M1459">
        <v>0</v>
      </c>
      <c r="N1459" s="38">
        <v>18.37</v>
      </c>
      <c r="O1459" s="38"/>
      <c r="P1459" s="38" t="s">
        <v>152</v>
      </c>
      <c r="Q1459" s="38"/>
    </row>
    <row r="1460" spans="1:17" x14ac:dyDescent="0.25">
      <c r="A1460" s="39">
        <v>45421</v>
      </c>
      <c r="B1460" s="38" t="s">
        <v>75</v>
      </c>
      <c r="C1460" s="38" t="s">
        <v>6</v>
      </c>
      <c r="D1460" s="38" t="s">
        <v>410</v>
      </c>
      <c r="E1460" s="38" t="s">
        <v>202</v>
      </c>
      <c r="F1460" s="38" t="s">
        <v>346</v>
      </c>
      <c r="G1460" s="38" t="s">
        <v>138</v>
      </c>
      <c r="H1460" s="9" t="s">
        <v>230</v>
      </c>
      <c r="I1460" s="38" t="s">
        <v>58</v>
      </c>
      <c r="J1460" s="38">
        <v>0</v>
      </c>
      <c r="K1460">
        <v>0</v>
      </c>
      <c r="L1460">
        <v>0</v>
      </c>
      <c r="M1460">
        <v>0</v>
      </c>
      <c r="N1460" s="38">
        <v>12.9</v>
      </c>
      <c r="O1460" s="38"/>
      <c r="P1460" s="38" t="s">
        <v>303</v>
      </c>
      <c r="Q1460" s="38"/>
    </row>
    <row r="1461" spans="1:17" x14ac:dyDescent="0.25">
      <c r="A1461" s="39">
        <v>45421</v>
      </c>
      <c r="B1461" s="38" t="s">
        <v>25</v>
      </c>
      <c r="C1461" s="38" t="s">
        <v>6</v>
      </c>
      <c r="D1461" s="38" t="s">
        <v>383</v>
      </c>
      <c r="E1461" s="38" t="s">
        <v>81</v>
      </c>
      <c r="F1461" s="38" t="s">
        <v>285</v>
      </c>
      <c r="G1461" s="38" t="s">
        <v>138</v>
      </c>
      <c r="H1461" s="9" t="s">
        <v>231</v>
      </c>
      <c r="I1461" s="38" t="s">
        <v>65</v>
      </c>
      <c r="J1461" s="38">
        <v>0</v>
      </c>
      <c r="K1461">
        <v>0</v>
      </c>
      <c r="L1461">
        <v>0</v>
      </c>
      <c r="M1461">
        <v>0</v>
      </c>
      <c r="N1461" s="38">
        <v>12.16</v>
      </c>
      <c r="O1461" s="38"/>
      <c r="P1461" s="38" t="s">
        <v>148</v>
      </c>
      <c r="Q1461" s="38"/>
    </row>
    <row r="1462" spans="1:17" x14ac:dyDescent="0.25">
      <c r="A1462" s="39">
        <v>45421</v>
      </c>
      <c r="B1462" s="38" t="s">
        <v>74</v>
      </c>
      <c r="C1462" s="38" t="s">
        <v>6</v>
      </c>
      <c r="D1462" s="38" t="s">
        <v>292</v>
      </c>
      <c r="E1462" s="38" t="s">
        <v>60</v>
      </c>
      <c r="F1462" s="38" t="s">
        <v>346</v>
      </c>
      <c r="G1462" s="38" t="s">
        <v>138</v>
      </c>
      <c r="H1462" s="9" t="s">
        <v>232</v>
      </c>
      <c r="I1462" s="38" t="s">
        <v>58</v>
      </c>
      <c r="J1462" s="38">
        <v>0</v>
      </c>
      <c r="K1462">
        <v>0</v>
      </c>
      <c r="L1462">
        <v>0</v>
      </c>
      <c r="M1462">
        <v>0</v>
      </c>
      <c r="N1462" s="38">
        <v>15.61</v>
      </c>
      <c r="O1462" s="38"/>
      <c r="P1462" s="38" t="s">
        <v>293</v>
      </c>
      <c r="Q1462" s="38"/>
    </row>
    <row r="1463" spans="1:17" x14ac:dyDescent="0.25">
      <c r="A1463" s="39">
        <v>45421</v>
      </c>
      <c r="B1463" s="38" t="s">
        <v>26</v>
      </c>
      <c r="C1463" s="38" t="s">
        <v>6</v>
      </c>
      <c r="D1463" s="38" t="s">
        <v>294</v>
      </c>
      <c r="E1463" s="38" t="s">
        <v>56</v>
      </c>
      <c r="F1463" s="38" t="s">
        <v>184</v>
      </c>
      <c r="G1463" s="38" t="s">
        <v>138</v>
      </c>
      <c r="H1463" s="9" t="s">
        <v>233</v>
      </c>
      <c r="I1463" s="38" t="s">
        <v>65</v>
      </c>
      <c r="J1463" s="38">
        <v>0</v>
      </c>
      <c r="K1463">
        <v>0</v>
      </c>
      <c r="L1463">
        <v>0</v>
      </c>
      <c r="M1463">
        <v>0</v>
      </c>
      <c r="N1463" s="38">
        <v>13.29</v>
      </c>
      <c r="O1463" s="38"/>
      <c r="P1463" s="38" t="s">
        <v>155</v>
      </c>
      <c r="Q1463" s="38"/>
    </row>
    <row r="1464" spans="1:17" x14ac:dyDescent="0.25">
      <c r="A1464" s="39">
        <v>45421</v>
      </c>
      <c r="B1464" s="38" t="s">
        <v>27</v>
      </c>
      <c r="C1464" s="38" t="s">
        <v>6</v>
      </c>
      <c r="D1464" s="38" t="s">
        <v>384</v>
      </c>
      <c r="E1464" s="38" t="s">
        <v>366</v>
      </c>
      <c r="F1464" s="38" t="s">
        <v>346</v>
      </c>
      <c r="G1464" s="38" t="s">
        <v>138</v>
      </c>
      <c r="H1464" s="9" t="s">
        <v>234</v>
      </c>
      <c r="I1464" s="38" t="s">
        <v>58</v>
      </c>
      <c r="J1464" s="38">
        <v>0</v>
      </c>
      <c r="K1464">
        <v>0</v>
      </c>
      <c r="L1464">
        <v>0</v>
      </c>
      <c r="M1464">
        <v>0</v>
      </c>
      <c r="N1464" s="38">
        <v>13.89</v>
      </c>
      <c r="O1464" s="38"/>
      <c r="P1464" s="38" t="s">
        <v>269</v>
      </c>
      <c r="Q1464" s="38"/>
    </row>
    <row r="1465" spans="1:17" x14ac:dyDescent="0.25">
      <c r="A1465" s="39">
        <v>45421</v>
      </c>
      <c r="B1465" s="38" t="s">
        <v>28</v>
      </c>
      <c r="C1465" s="38" t="s">
        <v>6</v>
      </c>
      <c r="D1465" s="38" t="s">
        <v>411</v>
      </c>
      <c r="E1465" s="38" t="s">
        <v>56</v>
      </c>
      <c r="F1465" s="38" t="s">
        <v>338</v>
      </c>
      <c r="G1465" s="38" t="s">
        <v>138</v>
      </c>
      <c r="H1465" s="9" t="s">
        <v>235</v>
      </c>
      <c r="I1465" s="38" t="s">
        <v>65</v>
      </c>
      <c r="J1465" s="38">
        <v>0</v>
      </c>
      <c r="K1465">
        <v>0</v>
      </c>
      <c r="L1465">
        <v>0</v>
      </c>
      <c r="M1465">
        <v>0</v>
      </c>
      <c r="N1465" s="38">
        <v>13.9</v>
      </c>
      <c r="O1465" s="38"/>
      <c r="P1465" s="38" t="s">
        <v>155</v>
      </c>
      <c r="Q1465" s="38"/>
    </row>
    <row r="1466" spans="1:17" x14ac:dyDescent="0.25">
      <c r="A1466" s="39">
        <v>45421</v>
      </c>
      <c r="B1466" s="38" t="s">
        <v>72</v>
      </c>
      <c r="C1466" s="38" t="s">
        <v>6</v>
      </c>
      <c r="D1466" s="38" t="s">
        <v>322</v>
      </c>
      <c r="E1466" s="38" t="s">
        <v>202</v>
      </c>
      <c r="F1466" s="38" t="s">
        <v>346</v>
      </c>
      <c r="G1466" s="38" t="s">
        <v>138</v>
      </c>
      <c r="H1466" s="9" t="s">
        <v>422</v>
      </c>
      <c r="I1466" s="38" t="s">
        <v>58</v>
      </c>
      <c r="J1466" s="38">
        <v>0</v>
      </c>
      <c r="K1466">
        <v>0</v>
      </c>
      <c r="L1466">
        <v>0</v>
      </c>
      <c r="M1466">
        <v>0</v>
      </c>
      <c r="N1466" s="38">
        <v>15.45</v>
      </c>
      <c r="O1466" s="38"/>
      <c r="P1466" s="38" t="s">
        <v>157</v>
      </c>
      <c r="Q1466" s="38"/>
    </row>
    <row r="1467" spans="1:17" x14ac:dyDescent="0.25">
      <c r="A1467" s="39">
        <v>45421</v>
      </c>
      <c r="B1467" s="38" t="s">
        <v>29</v>
      </c>
      <c r="C1467" s="38" t="s">
        <v>6</v>
      </c>
      <c r="D1467" s="38" t="s">
        <v>315</v>
      </c>
      <c r="E1467" s="38" t="s">
        <v>56</v>
      </c>
      <c r="F1467" s="38" t="s">
        <v>338</v>
      </c>
      <c r="G1467" s="38" t="s">
        <v>138</v>
      </c>
      <c r="H1467" s="9" t="s">
        <v>236</v>
      </c>
      <c r="I1467" s="38" t="s">
        <v>65</v>
      </c>
      <c r="J1467" s="38">
        <v>0</v>
      </c>
      <c r="K1467">
        <v>0</v>
      </c>
      <c r="L1467">
        <v>0</v>
      </c>
      <c r="M1467">
        <v>0</v>
      </c>
      <c r="N1467" s="38">
        <v>13.98</v>
      </c>
      <c r="O1467" s="38"/>
      <c r="P1467" s="38" t="s">
        <v>156</v>
      </c>
      <c r="Q1467" s="38"/>
    </row>
    <row r="1468" spans="1:17" x14ac:dyDescent="0.25">
      <c r="A1468" s="39">
        <v>45421</v>
      </c>
      <c r="B1468" s="38" t="s">
        <v>30</v>
      </c>
      <c r="C1468" s="38" t="s">
        <v>6</v>
      </c>
      <c r="D1468" s="38" t="s">
        <v>305</v>
      </c>
      <c r="E1468" s="38" t="s">
        <v>81</v>
      </c>
      <c r="F1468" s="38" t="s">
        <v>90</v>
      </c>
      <c r="G1468" s="38" t="s">
        <v>138</v>
      </c>
      <c r="H1468" s="9" t="s">
        <v>71</v>
      </c>
      <c r="I1468" s="38" t="s">
        <v>58</v>
      </c>
      <c r="J1468" s="38">
        <v>0</v>
      </c>
      <c r="K1468">
        <v>0</v>
      </c>
      <c r="L1468">
        <v>0</v>
      </c>
      <c r="M1468">
        <v>0</v>
      </c>
      <c r="N1468" s="38">
        <v>10.84</v>
      </c>
      <c r="O1468" s="38"/>
      <c r="P1468" s="38" t="s">
        <v>150</v>
      </c>
      <c r="Q1468" s="38"/>
    </row>
    <row r="1469" spans="1:17" x14ac:dyDescent="0.25">
      <c r="A1469" s="39">
        <v>45421</v>
      </c>
      <c r="B1469" s="38" t="s">
        <v>31</v>
      </c>
      <c r="C1469" s="38" t="s">
        <v>6</v>
      </c>
      <c r="D1469" s="38"/>
      <c r="E1469" s="38" t="s">
        <v>56</v>
      </c>
      <c r="F1469" s="38"/>
      <c r="G1469" s="38" t="s">
        <v>138</v>
      </c>
      <c r="H1469" s="9" t="s">
        <v>70</v>
      </c>
      <c r="I1469" s="38" t="s">
        <v>65</v>
      </c>
      <c r="J1469" s="38">
        <v>0</v>
      </c>
      <c r="K1469">
        <v>0</v>
      </c>
      <c r="L1469">
        <v>0</v>
      </c>
      <c r="M1469">
        <v>0</v>
      </c>
      <c r="N1469" s="38">
        <v>13.5</v>
      </c>
      <c r="O1469" s="38"/>
      <c r="P1469" s="38" t="s">
        <v>156</v>
      </c>
      <c r="Q1469" s="38"/>
    </row>
    <row r="1470" spans="1:17" x14ac:dyDescent="0.25">
      <c r="A1470" s="39">
        <v>45421</v>
      </c>
      <c r="B1470" s="38" t="s">
        <v>32</v>
      </c>
      <c r="C1470" s="38" t="s">
        <v>6</v>
      </c>
      <c r="D1470" s="38" t="s">
        <v>413</v>
      </c>
      <c r="E1470" s="38" t="s">
        <v>202</v>
      </c>
      <c r="F1470" s="38" t="s">
        <v>346</v>
      </c>
      <c r="G1470" s="38" t="s">
        <v>138</v>
      </c>
      <c r="H1470" s="9" t="s">
        <v>69</v>
      </c>
      <c r="I1470" s="38" t="s">
        <v>58</v>
      </c>
      <c r="J1470" s="38">
        <v>0</v>
      </c>
      <c r="K1470">
        <v>0</v>
      </c>
      <c r="L1470">
        <v>0</v>
      </c>
      <c r="M1470">
        <v>0</v>
      </c>
      <c r="N1470" s="38">
        <v>14.39</v>
      </c>
      <c r="O1470" s="38"/>
      <c r="P1470" s="38" t="s">
        <v>414</v>
      </c>
      <c r="Q1470" s="38"/>
    </row>
    <row r="1471" spans="1:17" x14ac:dyDescent="0.25">
      <c r="A1471" s="39">
        <v>45421</v>
      </c>
      <c r="B1471" s="38" t="s">
        <v>67</v>
      </c>
      <c r="C1471" s="38" t="s">
        <v>6</v>
      </c>
      <c r="D1471" s="38" t="s">
        <v>354</v>
      </c>
      <c r="E1471" s="38" t="s">
        <v>56</v>
      </c>
      <c r="F1471" s="38" t="s">
        <v>367</v>
      </c>
      <c r="G1471" s="38" t="s">
        <v>138</v>
      </c>
      <c r="H1471" s="9" t="s">
        <v>68</v>
      </c>
      <c r="I1471" s="38" t="s">
        <v>65</v>
      </c>
      <c r="J1471" s="38">
        <v>0</v>
      </c>
      <c r="K1471">
        <v>0</v>
      </c>
      <c r="L1471">
        <v>0</v>
      </c>
      <c r="M1471">
        <v>0</v>
      </c>
      <c r="N1471" s="38">
        <v>13.8</v>
      </c>
      <c r="O1471" s="38"/>
      <c r="P1471" s="38" t="s">
        <v>156</v>
      </c>
      <c r="Q1471" s="38"/>
    </row>
    <row r="1472" spans="1:17" x14ac:dyDescent="0.25">
      <c r="A1472" s="39">
        <v>45421</v>
      </c>
      <c r="B1472" s="38" t="s">
        <v>33</v>
      </c>
      <c r="C1472" s="38" t="s">
        <v>6</v>
      </c>
      <c r="D1472" s="38" t="s">
        <v>277</v>
      </c>
      <c r="E1472" s="38" t="s">
        <v>73</v>
      </c>
      <c r="F1472" s="38" t="s">
        <v>346</v>
      </c>
      <c r="G1472" s="38" t="s">
        <v>138</v>
      </c>
      <c r="H1472" s="9" t="s">
        <v>66</v>
      </c>
      <c r="I1472" s="38" t="s">
        <v>58</v>
      </c>
      <c r="J1472" s="38">
        <v>0</v>
      </c>
      <c r="K1472">
        <v>0</v>
      </c>
      <c r="L1472">
        <v>0</v>
      </c>
      <c r="M1472">
        <v>0</v>
      </c>
      <c r="N1472" s="38">
        <v>14.19</v>
      </c>
      <c r="O1472" s="38"/>
      <c r="P1472" s="38" t="s">
        <v>201</v>
      </c>
      <c r="Q1472" s="38"/>
    </row>
    <row r="1473" spans="1:17" x14ac:dyDescent="0.25">
      <c r="A1473" s="39">
        <v>45421</v>
      </c>
      <c r="B1473" s="38" t="s">
        <v>34</v>
      </c>
      <c r="C1473" s="38" t="s">
        <v>6</v>
      </c>
      <c r="D1473" s="38" t="s">
        <v>415</v>
      </c>
      <c r="E1473" s="38" t="s">
        <v>56</v>
      </c>
      <c r="F1473" s="38" t="s">
        <v>346</v>
      </c>
      <c r="G1473" s="38" t="s">
        <v>138</v>
      </c>
      <c r="H1473" s="9" t="s">
        <v>64</v>
      </c>
      <c r="I1473" s="38" t="s">
        <v>65</v>
      </c>
      <c r="J1473" s="38">
        <v>0</v>
      </c>
      <c r="K1473">
        <v>0</v>
      </c>
      <c r="L1473">
        <v>0</v>
      </c>
      <c r="M1473">
        <v>0</v>
      </c>
      <c r="N1473" s="38">
        <v>15.6</v>
      </c>
      <c r="O1473" s="38"/>
      <c r="P1473" s="38" t="s">
        <v>416</v>
      </c>
      <c r="Q1473" s="38"/>
    </row>
    <row r="1474" spans="1:17" x14ac:dyDescent="0.25">
      <c r="A1474" s="39">
        <v>45421</v>
      </c>
      <c r="B1474" s="38" t="s">
        <v>35</v>
      </c>
      <c r="C1474" s="38" t="s">
        <v>6</v>
      </c>
      <c r="D1474" s="38" t="s">
        <v>331</v>
      </c>
      <c r="E1474" s="38" t="s">
        <v>60</v>
      </c>
      <c r="F1474" s="38" t="s">
        <v>346</v>
      </c>
      <c r="G1474" s="38" t="s">
        <v>138</v>
      </c>
      <c r="H1474" s="9" t="s">
        <v>237</v>
      </c>
      <c r="I1474" s="38" t="s">
        <v>58</v>
      </c>
      <c r="J1474" s="38">
        <v>0</v>
      </c>
      <c r="K1474">
        <v>0</v>
      </c>
      <c r="L1474">
        <v>0</v>
      </c>
      <c r="M1474">
        <v>0</v>
      </c>
      <c r="N1474" s="38">
        <v>14.64</v>
      </c>
      <c r="O1474" s="38"/>
      <c r="P1474" s="38" t="s">
        <v>158</v>
      </c>
      <c r="Q1474" s="38"/>
    </row>
    <row r="1475" spans="1:17" x14ac:dyDescent="0.25">
      <c r="A1475" s="39">
        <v>45421</v>
      </c>
      <c r="B1475" s="38" t="s">
        <v>418</v>
      </c>
      <c r="C1475" s="38" t="s">
        <v>6</v>
      </c>
      <c r="D1475" s="38"/>
      <c r="E1475" s="38"/>
      <c r="F1475" s="38"/>
      <c r="G1475" s="38" t="s">
        <v>138</v>
      </c>
      <c r="H1475" s="9" t="s">
        <v>240</v>
      </c>
      <c r="I1475" s="38" t="s">
        <v>262</v>
      </c>
      <c r="J1475" s="38">
        <v>0</v>
      </c>
      <c r="K1475">
        <v>0</v>
      </c>
      <c r="L1475">
        <v>0</v>
      </c>
      <c r="M1475">
        <v>0</v>
      </c>
      <c r="N1475" s="38">
        <v>17.670000000000002</v>
      </c>
      <c r="O1475" s="38"/>
      <c r="P1475" s="38"/>
      <c r="Q1475" s="38"/>
    </row>
    <row r="1476" spans="1:17" x14ac:dyDescent="0.25">
      <c r="A1476" s="39">
        <v>45421</v>
      </c>
      <c r="B1476" s="38" t="s">
        <v>419</v>
      </c>
      <c r="C1476" s="38" t="s">
        <v>6</v>
      </c>
      <c r="D1476" s="38"/>
      <c r="E1476" s="38"/>
      <c r="F1476" s="38"/>
      <c r="G1476" s="38" t="s">
        <v>138</v>
      </c>
      <c r="H1476" s="9" t="s">
        <v>240</v>
      </c>
      <c r="I1476" s="38" t="s">
        <v>262</v>
      </c>
      <c r="J1476" s="38">
        <v>0</v>
      </c>
      <c r="K1476">
        <v>0</v>
      </c>
      <c r="L1476">
        <v>0</v>
      </c>
      <c r="M1476">
        <v>0</v>
      </c>
      <c r="N1476" s="38">
        <v>13.49</v>
      </c>
      <c r="O1476" s="38"/>
      <c r="P1476" s="38"/>
      <c r="Q1476" s="38"/>
    </row>
    <row r="1477" spans="1:17" x14ac:dyDescent="0.25">
      <c r="A1477" s="39">
        <v>45421</v>
      </c>
      <c r="B1477" s="38" t="s">
        <v>36</v>
      </c>
      <c r="C1477" s="38" t="s">
        <v>6</v>
      </c>
      <c r="D1477" s="38" t="s">
        <v>295</v>
      </c>
      <c r="E1477" s="38" t="s">
        <v>81</v>
      </c>
      <c r="F1477" s="38" t="s">
        <v>369</v>
      </c>
      <c r="G1477" s="38" t="s">
        <v>138</v>
      </c>
      <c r="H1477" s="9" t="s">
        <v>423</v>
      </c>
      <c r="I1477" s="38" t="s">
        <v>58</v>
      </c>
      <c r="J1477" s="38">
        <v>0</v>
      </c>
      <c r="K1477">
        <v>0</v>
      </c>
      <c r="L1477">
        <v>0</v>
      </c>
      <c r="M1477">
        <v>0</v>
      </c>
      <c r="N1477" s="38">
        <v>38472557</v>
      </c>
      <c r="O1477" s="38"/>
      <c r="P1477" s="38" t="s">
        <v>156</v>
      </c>
      <c r="Q1477" s="38"/>
    </row>
    <row r="1478" spans="1:17" x14ac:dyDescent="0.25">
      <c r="A1478" s="39">
        <v>45421</v>
      </c>
      <c r="B1478" s="38" t="s">
        <v>256</v>
      </c>
      <c r="C1478" s="38" t="s">
        <v>6</v>
      </c>
      <c r="D1478" s="38" t="s">
        <v>392</v>
      </c>
      <c r="E1478" s="38" t="s">
        <v>417</v>
      </c>
      <c r="F1478" s="38" t="s">
        <v>192</v>
      </c>
      <c r="G1478" s="38" t="s">
        <v>138</v>
      </c>
      <c r="H1478" s="9"/>
      <c r="I1478" s="38" t="s">
        <v>262</v>
      </c>
      <c r="J1478" s="38">
        <v>0</v>
      </c>
      <c r="K1478">
        <v>0</v>
      </c>
      <c r="L1478">
        <v>0</v>
      </c>
      <c r="M1478">
        <v>0</v>
      </c>
      <c r="N1478" s="38">
        <v>0</v>
      </c>
      <c r="O1478" s="38"/>
      <c r="P1478" s="38" t="s">
        <v>149</v>
      </c>
      <c r="Q1478" s="38"/>
    </row>
    <row r="1479" spans="1:17" x14ac:dyDescent="0.25">
      <c r="A1479" s="39">
        <v>45421</v>
      </c>
      <c r="B1479" s="38" t="s">
        <v>257</v>
      </c>
      <c r="C1479" s="38" t="s">
        <v>6</v>
      </c>
      <c r="D1479" s="38" t="s">
        <v>392</v>
      </c>
      <c r="E1479" s="38" t="s">
        <v>417</v>
      </c>
      <c r="F1479" s="38" t="s">
        <v>192</v>
      </c>
      <c r="G1479" s="38" t="s">
        <v>138</v>
      </c>
      <c r="H1479" s="9"/>
      <c r="I1479" s="38" t="s">
        <v>58</v>
      </c>
      <c r="J1479" s="38">
        <v>0</v>
      </c>
      <c r="K1479">
        <v>0</v>
      </c>
      <c r="L1479">
        <v>0</v>
      </c>
      <c r="M1479">
        <v>0</v>
      </c>
      <c r="N1479" s="38">
        <v>38.46</v>
      </c>
      <c r="O1479" s="38"/>
      <c r="P1479" s="38" t="s">
        <v>149</v>
      </c>
      <c r="Q1479" s="38"/>
    </row>
    <row r="1480" spans="1:17" x14ac:dyDescent="0.25">
      <c r="A1480" s="39">
        <v>45421</v>
      </c>
      <c r="B1480" s="38" t="s">
        <v>37</v>
      </c>
      <c r="C1480" s="38" t="s">
        <v>6</v>
      </c>
      <c r="D1480" s="38" t="s">
        <v>347</v>
      </c>
      <c r="E1480" s="38" t="s">
        <v>348</v>
      </c>
      <c r="F1480" s="38" t="s">
        <v>346</v>
      </c>
      <c r="G1480" s="38" t="s">
        <v>138</v>
      </c>
      <c r="H1480" s="9" t="s">
        <v>425</v>
      </c>
      <c r="I1480" s="38" t="s">
        <v>58</v>
      </c>
      <c r="J1480" s="38">
        <v>0</v>
      </c>
      <c r="K1480">
        <v>0</v>
      </c>
      <c r="L1480">
        <v>0</v>
      </c>
      <c r="M1480">
        <v>0</v>
      </c>
      <c r="N1480" s="38">
        <v>13.5</v>
      </c>
      <c r="O1480" s="38"/>
      <c r="P1480" s="38" t="s">
        <v>270</v>
      </c>
      <c r="Q1480" s="38"/>
    </row>
    <row r="1481" spans="1:17" x14ac:dyDescent="0.25">
      <c r="A1481" s="39">
        <v>45421</v>
      </c>
      <c r="B1481" s="38" t="s">
        <v>258</v>
      </c>
      <c r="C1481" s="38" t="s">
        <v>6</v>
      </c>
      <c r="D1481" s="38"/>
      <c r="E1481" s="38"/>
      <c r="F1481" s="38"/>
      <c r="G1481" s="38" t="s">
        <v>138</v>
      </c>
      <c r="H1481" s="9" t="s">
        <v>426</v>
      </c>
      <c r="I1481" s="38" t="s">
        <v>262</v>
      </c>
      <c r="J1481" s="38">
        <v>0</v>
      </c>
      <c r="K1481">
        <v>0</v>
      </c>
      <c r="L1481">
        <v>0</v>
      </c>
      <c r="M1481">
        <v>0</v>
      </c>
      <c r="N1481" s="38">
        <v>13.5</v>
      </c>
      <c r="O1481" s="38"/>
      <c r="P1481" s="38" t="s">
        <v>148</v>
      </c>
      <c r="Q1481" s="38"/>
    </row>
    <row r="1482" spans="1:17" x14ac:dyDescent="0.25">
      <c r="A1482" s="39">
        <v>45421</v>
      </c>
      <c r="B1482" s="38" t="s">
        <v>259</v>
      </c>
      <c r="C1482" s="38" t="s">
        <v>6</v>
      </c>
      <c r="D1482" s="38"/>
      <c r="E1482" s="38"/>
      <c r="F1482" s="38"/>
      <c r="G1482" s="38" t="s">
        <v>138</v>
      </c>
      <c r="H1482" s="9" t="s">
        <v>426</v>
      </c>
      <c r="I1482" s="38" t="s">
        <v>262</v>
      </c>
      <c r="J1482" s="38">
        <v>0</v>
      </c>
      <c r="K1482">
        <v>0</v>
      </c>
      <c r="L1482">
        <v>0</v>
      </c>
      <c r="M1482">
        <v>0</v>
      </c>
      <c r="N1482" s="38">
        <v>41.06</v>
      </c>
      <c r="O1482" s="38"/>
      <c r="P1482" s="38" t="s">
        <v>148</v>
      </c>
      <c r="Q1482" s="38"/>
    </row>
    <row r="1483" spans="1:17" x14ac:dyDescent="0.25">
      <c r="A1483" s="39">
        <v>45421</v>
      </c>
      <c r="B1483" s="38" t="s">
        <v>54</v>
      </c>
      <c r="C1483" s="38" t="s">
        <v>6</v>
      </c>
      <c r="D1483" s="38" t="s">
        <v>55</v>
      </c>
      <c r="E1483" s="38" t="s">
        <v>56</v>
      </c>
      <c r="F1483" s="38" t="s">
        <v>57</v>
      </c>
      <c r="G1483" s="38" t="s">
        <v>138</v>
      </c>
      <c r="H1483" s="9" t="s">
        <v>427</v>
      </c>
      <c r="I1483" s="38" t="s">
        <v>58</v>
      </c>
      <c r="J1483" s="38">
        <v>0</v>
      </c>
      <c r="K1483">
        <v>0</v>
      </c>
      <c r="L1483">
        <v>0</v>
      </c>
      <c r="M1483">
        <v>0</v>
      </c>
      <c r="N1483" s="38">
        <v>41.06</v>
      </c>
      <c r="O1483" s="38"/>
      <c r="P1483" s="38" t="s">
        <v>159</v>
      </c>
      <c r="Q1483" s="38"/>
    </row>
    <row r="1484" spans="1:17" x14ac:dyDescent="0.25">
      <c r="A1484" s="39">
        <v>45421</v>
      </c>
      <c r="B1484" s="38" t="s">
        <v>136</v>
      </c>
      <c r="C1484" s="38" t="s">
        <v>7</v>
      </c>
      <c r="D1484" s="38" t="s">
        <v>174</v>
      </c>
      <c r="E1484" s="38" t="s">
        <v>81</v>
      </c>
      <c r="F1484" s="38" t="s">
        <v>90</v>
      </c>
      <c r="G1484" s="38" t="s">
        <v>138</v>
      </c>
      <c r="H1484" s="9" t="s">
        <v>160</v>
      </c>
      <c r="I1484" s="38" t="s">
        <v>58</v>
      </c>
      <c r="J1484" s="38">
        <v>0</v>
      </c>
      <c r="K1484">
        <v>0</v>
      </c>
      <c r="L1484">
        <v>0</v>
      </c>
      <c r="M1484">
        <v>0</v>
      </c>
      <c r="N1484" s="38">
        <v>42144554</v>
      </c>
      <c r="O1484" s="38"/>
      <c r="P1484" s="38" t="s">
        <v>153</v>
      </c>
      <c r="Q1484" s="38"/>
    </row>
    <row r="1485" spans="1:17" x14ac:dyDescent="0.25">
      <c r="A1485" s="39">
        <v>45421</v>
      </c>
      <c r="B1485" s="38" t="s">
        <v>135</v>
      </c>
      <c r="C1485" s="38" t="s">
        <v>7</v>
      </c>
      <c r="D1485" s="38" t="s">
        <v>332</v>
      </c>
      <c r="E1485" s="38" t="s">
        <v>81</v>
      </c>
      <c r="F1485" s="38" t="s">
        <v>90</v>
      </c>
      <c r="G1485" s="38" t="s">
        <v>138</v>
      </c>
      <c r="H1485" s="9" t="s">
        <v>161</v>
      </c>
      <c r="I1485" s="38" t="s">
        <v>58</v>
      </c>
      <c r="J1485" s="38">
        <v>0</v>
      </c>
      <c r="K1485">
        <v>0</v>
      </c>
      <c r="L1485">
        <v>0</v>
      </c>
      <c r="M1485">
        <v>0</v>
      </c>
      <c r="N1485" s="38">
        <v>24.09</v>
      </c>
      <c r="O1485" s="38"/>
      <c r="P1485" s="38" t="s">
        <v>148</v>
      </c>
      <c r="Q1485" s="38"/>
    </row>
    <row r="1486" spans="1:17" x14ac:dyDescent="0.25">
      <c r="A1486" s="39">
        <v>45421</v>
      </c>
      <c r="B1486" s="38" t="s">
        <v>134</v>
      </c>
      <c r="C1486" s="38" t="s">
        <v>7</v>
      </c>
      <c r="D1486" s="38" t="s">
        <v>175</v>
      </c>
      <c r="E1486" s="38" t="s">
        <v>81</v>
      </c>
      <c r="F1486" s="38" t="s">
        <v>90</v>
      </c>
      <c r="G1486" s="38" t="s">
        <v>138</v>
      </c>
      <c r="H1486" s="9" t="s">
        <v>206</v>
      </c>
      <c r="I1486" s="38" t="s">
        <v>58</v>
      </c>
      <c r="J1486" s="38">
        <v>0</v>
      </c>
      <c r="K1486">
        <v>0</v>
      </c>
      <c r="L1486">
        <v>0</v>
      </c>
      <c r="M1486">
        <v>0</v>
      </c>
      <c r="N1486" s="38">
        <v>0</v>
      </c>
      <c r="O1486" s="38"/>
      <c r="P1486" s="38" t="s">
        <v>148</v>
      </c>
      <c r="Q1486" s="38"/>
    </row>
    <row r="1487" spans="1:17" x14ac:dyDescent="0.25">
      <c r="A1487" s="39">
        <v>45421</v>
      </c>
      <c r="B1487" s="38" t="s">
        <v>132</v>
      </c>
      <c r="C1487" s="38" t="s">
        <v>7</v>
      </c>
      <c r="D1487" s="38" t="s">
        <v>133</v>
      </c>
      <c r="E1487" s="38" t="s">
        <v>126</v>
      </c>
      <c r="F1487" s="38" t="s">
        <v>199</v>
      </c>
      <c r="G1487" s="38" t="s">
        <v>138</v>
      </c>
      <c r="H1487" s="9" t="s">
        <v>162</v>
      </c>
      <c r="I1487" s="38" t="s">
        <v>58</v>
      </c>
      <c r="J1487" s="38">
        <v>0</v>
      </c>
      <c r="K1487">
        <v>0</v>
      </c>
      <c r="L1487">
        <v>0</v>
      </c>
      <c r="M1487">
        <v>0</v>
      </c>
      <c r="N1487" s="38">
        <v>38.369999999999997</v>
      </c>
      <c r="O1487" s="38"/>
      <c r="P1487" s="38" t="s">
        <v>149</v>
      </c>
      <c r="Q1487" s="38"/>
    </row>
    <row r="1488" spans="1:17" x14ac:dyDescent="0.25">
      <c r="A1488" s="39">
        <v>45421</v>
      </c>
      <c r="B1488" s="38" t="s">
        <v>131</v>
      </c>
      <c r="C1488" s="38" t="s">
        <v>7</v>
      </c>
      <c r="D1488" s="38" t="s">
        <v>396</v>
      </c>
      <c r="E1488" s="38" t="s">
        <v>60</v>
      </c>
      <c r="F1488" s="38" t="s">
        <v>90</v>
      </c>
      <c r="G1488" s="38" t="s">
        <v>138</v>
      </c>
      <c r="H1488" s="9" t="s">
        <v>163</v>
      </c>
      <c r="I1488" s="38" t="s">
        <v>58</v>
      </c>
      <c r="J1488" s="38">
        <v>0</v>
      </c>
      <c r="K1488">
        <v>0</v>
      </c>
      <c r="L1488">
        <v>0</v>
      </c>
      <c r="M1488">
        <v>0</v>
      </c>
      <c r="N1488" s="38">
        <v>23.93</v>
      </c>
      <c r="O1488" s="38"/>
      <c r="P1488" s="38" t="s">
        <v>154</v>
      </c>
      <c r="Q1488" s="38"/>
    </row>
    <row r="1489" spans="1:17" x14ac:dyDescent="0.25">
      <c r="A1489" s="39">
        <v>45421</v>
      </c>
      <c r="B1489" s="38" t="s">
        <v>130</v>
      </c>
      <c r="C1489" s="38" t="s">
        <v>7</v>
      </c>
      <c r="D1489" s="38" t="s">
        <v>191</v>
      </c>
      <c r="E1489" s="38" t="s">
        <v>81</v>
      </c>
      <c r="F1489" s="38" t="s">
        <v>285</v>
      </c>
      <c r="G1489" s="38" t="s">
        <v>138</v>
      </c>
      <c r="H1489" s="9" t="s">
        <v>420</v>
      </c>
      <c r="I1489" s="38" t="s">
        <v>58</v>
      </c>
      <c r="J1489" s="38">
        <v>0</v>
      </c>
      <c r="K1489">
        <v>0</v>
      </c>
      <c r="L1489">
        <v>0</v>
      </c>
      <c r="M1489">
        <v>0</v>
      </c>
      <c r="N1489" s="38">
        <v>14.99</v>
      </c>
      <c r="O1489" s="38"/>
      <c r="P1489" s="38" t="s">
        <v>148</v>
      </c>
      <c r="Q1489" s="38"/>
    </row>
    <row r="1490" spans="1:17" x14ac:dyDescent="0.25">
      <c r="A1490" s="39">
        <v>45421</v>
      </c>
      <c r="B1490" s="38" t="s">
        <v>128</v>
      </c>
      <c r="C1490" s="38" t="s">
        <v>7</v>
      </c>
      <c r="D1490" s="38" t="s">
        <v>129</v>
      </c>
      <c r="E1490" s="38" t="s">
        <v>126</v>
      </c>
      <c r="F1490" s="38" t="s">
        <v>199</v>
      </c>
      <c r="G1490" s="38" t="s">
        <v>138</v>
      </c>
      <c r="H1490" s="9" t="s">
        <v>164</v>
      </c>
      <c r="I1490" s="38" t="s">
        <v>58</v>
      </c>
      <c r="J1490" s="38">
        <v>0</v>
      </c>
      <c r="K1490">
        <v>0</v>
      </c>
      <c r="L1490">
        <v>0</v>
      </c>
      <c r="M1490">
        <v>0</v>
      </c>
      <c r="N1490" s="38">
        <v>41.06</v>
      </c>
      <c r="O1490" s="38"/>
      <c r="P1490" s="38" t="s">
        <v>149</v>
      </c>
      <c r="Q1490" s="38"/>
    </row>
    <row r="1491" spans="1:17" x14ac:dyDescent="0.25">
      <c r="A1491" s="39">
        <v>45421</v>
      </c>
      <c r="B1491" s="38" t="s">
        <v>40</v>
      </c>
      <c r="C1491" s="38" t="s">
        <v>7</v>
      </c>
      <c r="D1491" s="38" t="s">
        <v>397</v>
      </c>
      <c r="E1491" s="38" t="s">
        <v>60</v>
      </c>
      <c r="F1491" s="38" t="s">
        <v>200</v>
      </c>
      <c r="G1491" s="38" t="s">
        <v>138</v>
      </c>
      <c r="H1491" s="9" t="s">
        <v>165</v>
      </c>
      <c r="I1491" s="38" t="s">
        <v>58</v>
      </c>
      <c r="J1491" s="38">
        <v>0</v>
      </c>
      <c r="K1491">
        <v>0</v>
      </c>
      <c r="L1491">
        <v>0</v>
      </c>
      <c r="M1491">
        <v>0</v>
      </c>
      <c r="N1491" s="38">
        <v>14.92</v>
      </c>
      <c r="O1491" s="38"/>
      <c r="P1491" s="38" t="s">
        <v>153</v>
      </c>
      <c r="Q1491" s="38"/>
    </row>
    <row r="1492" spans="1:17" x14ac:dyDescent="0.25">
      <c r="A1492" s="39">
        <v>45421</v>
      </c>
      <c r="B1492" s="38" t="s">
        <v>127</v>
      </c>
      <c r="C1492" s="38" t="s">
        <v>7</v>
      </c>
      <c r="D1492" s="38" t="s">
        <v>203</v>
      </c>
      <c r="E1492" s="38" t="s">
        <v>81</v>
      </c>
      <c r="F1492" s="38" t="s">
        <v>285</v>
      </c>
      <c r="G1492" s="38" t="s">
        <v>138</v>
      </c>
      <c r="H1492" s="9" t="s">
        <v>207</v>
      </c>
      <c r="I1492" s="38" t="s">
        <v>58</v>
      </c>
      <c r="J1492" s="38">
        <v>0</v>
      </c>
      <c r="K1492">
        <v>0</v>
      </c>
      <c r="L1492">
        <v>0</v>
      </c>
      <c r="M1492">
        <v>0</v>
      </c>
      <c r="N1492" s="38">
        <v>20.85</v>
      </c>
      <c r="O1492" s="38"/>
      <c r="P1492" s="38" t="s">
        <v>151</v>
      </c>
      <c r="Q1492" s="38"/>
    </row>
    <row r="1493" spans="1:17" x14ac:dyDescent="0.25">
      <c r="A1493" s="39">
        <v>45421</v>
      </c>
      <c r="B1493" s="38" t="s">
        <v>124</v>
      </c>
      <c r="C1493" s="38" t="s">
        <v>7</v>
      </c>
      <c r="D1493" s="38" t="s">
        <v>340</v>
      </c>
      <c r="E1493" s="38" t="s">
        <v>126</v>
      </c>
      <c r="F1493" s="38" t="s">
        <v>199</v>
      </c>
      <c r="G1493" s="38" t="s">
        <v>138</v>
      </c>
      <c r="H1493" s="9" t="s">
        <v>166</v>
      </c>
      <c r="I1493" s="38" t="s">
        <v>58</v>
      </c>
      <c r="J1493" s="38">
        <v>0</v>
      </c>
      <c r="K1493">
        <v>0</v>
      </c>
      <c r="L1493">
        <v>0</v>
      </c>
      <c r="M1493">
        <v>0</v>
      </c>
      <c r="N1493" s="38">
        <v>39863813</v>
      </c>
      <c r="O1493" s="38"/>
      <c r="P1493" s="38" t="s">
        <v>149</v>
      </c>
      <c r="Q1493" s="38"/>
    </row>
    <row r="1494" spans="1:17" x14ac:dyDescent="0.25">
      <c r="A1494" s="39">
        <v>45421</v>
      </c>
      <c r="B1494" s="38" t="s">
        <v>122</v>
      </c>
      <c r="C1494" s="38" t="s">
        <v>7</v>
      </c>
      <c r="D1494" s="38" t="s">
        <v>356</v>
      </c>
      <c r="E1494" s="38" t="s">
        <v>81</v>
      </c>
      <c r="F1494" s="38" t="s">
        <v>90</v>
      </c>
      <c r="G1494" s="38" t="s">
        <v>138</v>
      </c>
      <c r="H1494" s="9" t="s">
        <v>167</v>
      </c>
      <c r="I1494" s="38" t="s">
        <v>58</v>
      </c>
      <c r="J1494" s="38">
        <v>0</v>
      </c>
      <c r="K1494">
        <v>0</v>
      </c>
      <c r="L1494">
        <v>0</v>
      </c>
      <c r="M1494">
        <v>0</v>
      </c>
      <c r="N1494" s="38">
        <v>20.9</v>
      </c>
      <c r="O1494" s="38"/>
      <c r="P1494" s="38" t="s">
        <v>148</v>
      </c>
      <c r="Q1494" s="38"/>
    </row>
    <row r="1495" spans="1:17" x14ac:dyDescent="0.25">
      <c r="A1495" s="39">
        <v>45421</v>
      </c>
      <c r="B1495" s="38" t="s">
        <v>120</v>
      </c>
      <c r="C1495" s="38" t="s">
        <v>7</v>
      </c>
      <c r="D1495" s="38" t="s">
        <v>333</v>
      </c>
      <c r="E1495" s="38" t="s">
        <v>375</v>
      </c>
      <c r="F1495" s="38" t="s">
        <v>285</v>
      </c>
      <c r="G1495" s="38" t="s">
        <v>138</v>
      </c>
      <c r="H1495" s="9" t="s">
        <v>121</v>
      </c>
      <c r="I1495" s="38" t="s">
        <v>58</v>
      </c>
      <c r="J1495" s="38">
        <v>0</v>
      </c>
      <c r="K1495">
        <v>0</v>
      </c>
      <c r="L1495">
        <v>0</v>
      </c>
      <c r="M1495">
        <v>0</v>
      </c>
      <c r="N1495" s="38">
        <v>41.69</v>
      </c>
      <c r="O1495" s="38"/>
      <c r="P1495" s="38" t="s">
        <v>151</v>
      </c>
      <c r="Q1495" s="38"/>
    </row>
    <row r="1496" spans="1:17" x14ac:dyDescent="0.25">
      <c r="A1496" s="39">
        <v>45421</v>
      </c>
      <c r="B1496" s="38" t="s">
        <v>119</v>
      </c>
      <c r="C1496" s="38" t="s">
        <v>7</v>
      </c>
      <c r="D1496" s="38" t="s">
        <v>178</v>
      </c>
      <c r="E1496" s="38" t="s">
        <v>399</v>
      </c>
      <c r="F1496" s="38" t="s">
        <v>192</v>
      </c>
      <c r="G1496" s="38" t="s">
        <v>138</v>
      </c>
      <c r="H1496" s="9" t="s">
        <v>168</v>
      </c>
      <c r="I1496" s="38" t="s">
        <v>58</v>
      </c>
      <c r="J1496" s="38">
        <v>0</v>
      </c>
      <c r="K1496">
        <v>0</v>
      </c>
      <c r="L1496">
        <v>0</v>
      </c>
      <c r="M1496">
        <v>0</v>
      </c>
      <c r="N1496" s="38">
        <v>41.62</v>
      </c>
      <c r="O1496" s="38"/>
      <c r="P1496" s="38" t="s">
        <v>149</v>
      </c>
      <c r="Q1496" s="38"/>
    </row>
    <row r="1497" spans="1:17" x14ac:dyDescent="0.25">
      <c r="A1497" s="39">
        <v>45421</v>
      </c>
      <c r="B1497" s="38" t="s">
        <v>117</v>
      </c>
      <c r="C1497" s="38" t="s">
        <v>7</v>
      </c>
      <c r="D1497" s="38" t="s">
        <v>349</v>
      </c>
      <c r="E1497" s="38" t="s">
        <v>398</v>
      </c>
      <c r="F1497" s="38" t="s">
        <v>90</v>
      </c>
      <c r="G1497" s="38" t="s">
        <v>138</v>
      </c>
      <c r="H1497" s="9" t="s">
        <v>118</v>
      </c>
      <c r="I1497" s="38" t="s">
        <v>58</v>
      </c>
      <c r="J1497" s="38">
        <v>0</v>
      </c>
      <c r="K1497">
        <v>0</v>
      </c>
      <c r="L1497">
        <v>0</v>
      </c>
      <c r="M1497">
        <v>0</v>
      </c>
      <c r="N1497" s="38">
        <v>34.69</v>
      </c>
      <c r="O1497" s="38"/>
      <c r="P1497" s="38" t="s">
        <v>151</v>
      </c>
      <c r="Q1497" s="38"/>
    </row>
    <row r="1498" spans="1:17" x14ac:dyDescent="0.25">
      <c r="A1498" s="39">
        <v>45421</v>
      </c>
      <c r="B1498" s="38" t="s">
        <v>39</v>
      </c>
      <c r="C1498" s="38" t="s">
        <v>7</v>
      </c>
      <c r="D1498" s="38" t="s">
        <v>177</v>
      </c>
      <c r="E1498" s="38" t="s">
        <v>377</v>
      </c>
      <c r="F1498" s="38" t="s">
        <v>90</v>
      </c>
      <c r="G1498" s="38" t="s">
        <v>138</v>
      </c>
      <c r="H1498" s="9" t="s">
        <v>116</v>
      </c>
      <c r="I1498" s="38" t="s">
        <v>58</v>
      </c>
      <c r="J1498" s="38">
        <v>0</v>
      </c>
      <c r="K1498">
        <v>0</v>
      </c>
      <c r="L1498">
        <v>0</v>
      </c>
      <c r="M1498">
        <v>0</v>
      </c>
      <c r="N1498" s="38">
        <v>41.24</v>
      </c>
      <c r="O1498" s="38"/>
      <c r="P1498" s="38" t="s">
        <v>151</v>
      </c>
      <c r="Q1498" s="38"/>
    </row>
    <row r="1499" spans="1:17" x14ac:dyDescent="0.25">
      <c r="A1499" s="39">
        <v>45421</v>
      </c>
      <c r="B1499" s="38" t="s">
        <v>113</v>
      </c>
      <c r="C1499" s="38" t="s">
        <v>7</v>
      </c>
      <c r="D1499" s="38" t="s">
        <v>188</v>
      </c>
      <c r="E1499" s="38" t="s">
        <v>126</v>
      </c>
      <c r="F1499" s="38" t="s">
        <v>199</v>
      </c>
      <c r="G1499" s="38" t="s">
        <v>138</v>
      </c>
      <c r="H1499" s="9" t="s">
        <v>114</v>
      </c>
      <c r="I1499" s="38" t="s">
        <v>58</v>
      </c>
      <c r="J1499" s="38">
        <v>0</v>
      </c>
      <c r="K1499">
        <v>0</v>
      </c>
      <c r="L1499">
        <v>0</v>
      </c>
      <c r="M1499">
        <v>0</v>
      </c>
      <c r="N1499" s="38">
        <v>41.35</v>
      </c>
      <c r="O1499" s="38"/>
      <c r="P1499" s="38" t="s">
        <v>149</v>
      </c>
      <c r="Q1499" s="38"/>
    </row>
    <row r="1500" spans="1:17" x14ac:dyDescent="0.25">
      <c r="A1500" s="39">
        <v>45421</v>
      </c>
      <c r="B1500" s="38" t="s">
        <v>111</v>
      </c>
      <c r="C1500" s="38" t="s">
        <v>7</v>
      </c>
      <c r="D1500" s="38" t="s">
        <v>189</v>
      </c>
      <c r="E1500" s="38" t="s">
        <v>81</v>
      </c>
      <c r="F1500" s="38" t="s">
        <v>285</v>
      </c>
      <c r="G1500" s="38" t="s">
        <v>138</v>
      </c>
      <c r="H1500" s="9" t="s">
        <v>112</v>
      </c>
      <c r="I1500" s="38" t="s">
        <v>58</v>
      </c>
      <c r="J1500" s="38">
        <v>0</v>
      </c>
      <c r="K1500">
        <v>0</v>
      </c>
      <c r="L1500">
        <v>0</v>
      </c>
      <c r="M1500">
        <v>0</v>
      </c>
      <c r="N1500" s="38">
        <v>20.48</v>
      </c>
      <c r="O1500" s="38"/>
      <c r="P1500" s="38" t="s">
        <v>153</v>
      </c>
      <c r="Q1500" s="38"/>
    </row>
    <row r="1501" spans="1:17" x14ac:dyDescent="0.25">
      <c r="A1501" s="39">
        <v>45421</v>
      </c>
      <c r="B1501" s="38" t="s">
        <v>109</v>
      </c>
      <c r="C1501" s="38" t="s">
        <v>7</v>
      </c>
      <c r="D1501" s="38" t="s">
        <v>142</v>
      </c>
      <c r="E1501" s="38" t="s">
        <v>56</v>
      </c>
      <c r="F1501" s="38" t="s">
        <v>199</v>
      </c>
      <c r="G1501" s="38" t="s">
        <v>138</v>
      </c>
      <c r="H1501" s="9" t="s">
        <v>110</v>
      </c>
      <c r="I1501" s="38" t="s">
        <v>58</v>
      </c>
      <c r="J1501" s="38">
        <v>0</v>
      </c>
      <c r="K1501">
        <v>0</v>
      </c>
      <c r="L1501">
        <v>0</v>
      </c>
      <c r="M1501">
        <v>0</v>
      </c>
      <c r="N1501" s="38">
        <v>41.05</v>
      </c>
      <c r="O1501" s="38"/>
      <c r="P1501" s="38" t="s">
        <v>149</v>
      </c>
      <c r="Q1501" s="38"/>
    </row>
    <row r="1502" spans="1:17" x14ac:dyDescent="0.25">
      <c r="A1502" s="39">
        <v>45421</v>
      </c>
      <c r="B1502" s="38" t="s">
        <v>107</v>
      </c>
      <c r="C1502" s="38" t="s">
        <v>7</v>
      </c>
      <c r="D1502" s="38" t="s">
        <v>401</v>
      </c>
      <c r="E1502" s="38" t="s">
        <v>56</v>
      </c>
      <c r="F1502" s="38" t="s">
        <v>93</v>
      </c>
      <c r="G1502" s="38" t="s">
        <v>138</v>
      </c>
      <c r="H1502" s="9" t="s">
        <v>108</v>
      </c>
      <c r="I1502" s="38" t="s">
        <v>58</v>
      </c>
      <c r="J1502" s="38">
        <v>0</v>
      </c>
      <c r="K1502">
        <v>0</v>
      </c>
      <c r="L1502">
        <v>0</v>
      </c>
      <c r="M1502">
        <v>0</v>
      </c>
      <c r="N1502" s="38">
        <v>12.09</v>
      </c>
      <c r="O1502" s="38"/>
      <c r="P1502" s="38" t="s">
        <v>403</v>
      </c>
      <c r="Q1502" s="38"/>
    </row>
    <row r="1503" spans="1:17" x14ac:dyDescent="0.25">
      <c r="A1503" s="39">
        <v>45421</v>
      </c>
      <c r="B1503" s="38" t="s">
        <v>41</v>
      </c>
      <c r="C1503" s="38" t="s">
        <v>7</v>
      </c>
      <c r="D1503" s="38" t="s">
        <v>123</v>
      </c>
      <c r="E1503" s="38" t="s">
        <v>81</v>
      </c>
      <c r="F1503" s="38" t="s">
        <v>285</v>
      </c>
      <c r="G1503" s="38" t="s">
        <v>138</v>
      </c>
      <c r="H1503" s="9" t="s">
        <v>106</v>
      </c>
      <c r="I1503" s="38" t="s">
        <v>58</v>
      </c>
      <c r="J1503" s="38">
        <v>0</v>
      </c>
      <c r="K1503">
        <v>0</v>
      </c>
      <c r="L1503">
        <v>0</v>
      </c>
      <c r="M1503">
        <v>0</v>
      </c>
      <c r="N1503" s="38">
        <v>17.88</v>
      </c>
      <c r="O1503" s="38"/>
      <c r="P1503" s="38" t="s">
        <v>152</v>
      </c>
      <c r="Q1503" s="38"/>
    </row>
    <row r="1504" spans="1:17" x14ac:dyDescent="0.25">
      <c r="A1504" s="39">
        <v>45421</v>
      </c>
      <c r="B1504" s="38" t="s">
        <v>43</v>
      </c>
      <c r="C1504" s="38" t="s">
        <v>7</v>
      </c>
      <c r="D1504" s="38" t="s">
        <v>282</v>
      </c>
      <c r="E1504" s="38" t="s">
        <v>275</v>
      </c>
      <c r="F1504" s="38" t="s">
        <v>276</v>
      </c>
      <c r="G1504" s="38" t="s">
        <v>138</v>
      </c>
      <c r="H1504" s="9" t="s">
        <v>208</v>
      </c>
      <c r="I1504" s="38" t="s">
        <v>58</v>
      </c>
      <c r="J1504" s="38">
        <v>0</v>
      </c>
      <c r="K1504">
        <v>0</v>
      </c>
      <c r="L1504">
        <v>0</v>
      </c>
      <c r="M1504">
        <v>0</v>
      </c>
      <c r="N1504" s="38">
        <v>17.25</v>
      </c>
      <c r="O1504" s="38"/>
      <c r="P1504" s="38" t="s">
        <v>154</v>
      </c>
      <c r="Q1504" s="38"/>
    </row>
    <row r="1505" spans="1:17" x14ac:dyDescent="0.25">
      <c r="A1505" s="39">
        <v>45421</v>
      </c>
      <c r="B1505" s="38" t="s">
        <v>5</v>
      </c>
      <c r="C1505" s="38" t="s">
        <v>7</v>
      </c>
      <c r="D1505" s="38" t="s">
        <v>283</v>
      </c>
      <c r="E1505" s="38" t="s">
        <v>60</v>
      </c>
      <c r="F1505" s="38" t="s">
        <v>285</v>
      </c>
      <c r="G1505" s="38" t="s">
        <v>138</v>
      </c>
      <c r="H1505" s="9" t="s">
        <v>209</v>
      </c>
      <c r="I1505" s="38" t="s">
        <v>58</v>
      </c>
      <c r="J1505" s="38">
        <v>0</v>
      </c>
      <c r="K1505">
        <v>0</v>
      </c>
      <c r="L1505">
        <v>0</v>
      </c>
      <c r="M1505">
        <v>0</v>
      </c>
      <c r="N1505" s="38">
        <v>16.46</v>
      </c>
      <c r="O1505" s="38"/>
      <c r="P1505" s="38" t="s">
        <v>153</v>
      </c>
      <c r="Q1505" s="38"/>
    </row>
    <row r="1506" spans="1:17" x14ac:dyDescent="0.25">
      <c r="A1506" s="39">
        <v>45421</v>
      </c>
      <c r="B1506" s="38" t="s">
        <v>9</v>
      </c>
      <c r="C1506" s="38" t="s">
        <v>7</v>
      </c>
      <c r="D1506" s="38" t="s">
        <v>189</v>
      </c>
      <c r="E1506" s="38" t="s">
        <v>360</v>
      </c>
      <c r="F1506" s="38" t="s">
        <v>276</v>
      </c>
      <c r="G1506" s="38" t="s">
        <v>138</v>
      </c>
      <c r="H1506" s="9" t="s">
        <v>210</v>
      </c>
      <c r="I1506" s="38" t="s">
        <v>58</v>
      </c>
      <c r="J1506" s="38">
        <v>0</v>
      </c>
      <c r="K1506">
        <v>0</v>
      </c>
      <c r="L1506">
        <v>0</v>
      </c>
      <c r="M1506">
        <v>0</v>
      </c>
      <c r="N1506" s="38">
        <v>23.18</v>
      </c>
      <c r="O1506" s="38"/>
      <c r="P1506" s="38" t="s">
        <v>153</v>
      </c>
      <c r="Q1506" s="38"/>
    </row>
    <row r="1507" spans="1:17" x14ac:dyDescent="0.25">
      <c r="A1507" s="39">
        <v>45421</v>
      </c>
      <c r="B1507" s="38" t="s">
        <v>10</v>
      </c>
      <c r="C1507" s="38" t="s">
        <v>7</v>
      </c>
      <c r="D1507" s="38" t="s">
        <v>263</v>
      </c>
      <c r="E1507" s="38" t="s">
        <v>342</v>
      </c>
      <c r="F1507" s="38" t="s">
        <v>90</v>
      </c>
      <c r="G1507" s="38" t="s">
        <v>138</v>
      </c>
      <c r="H1507" s="9" t="s">
        <v>211</v>
      </c>
      <c r="I1507" s="38" t="s">
        <v>58</v>
      </c>
      <c r="J1507" s="38">
        <v>0</v>
      </c>
      <c r="K1507">
        <v>0</v>
      </c>
      <c r="L1507">
        <v>0</v>
      </c>
      <c r="M1507">
        <v>0</v>
      </c>
      <c r="N1507" s="38">
        <v>74.34</v>
      </c>
      <c r="O1507" s="38"/>
      <c r="P1507" s="38" t="s">
        <v>151</v>
      </c>
      <c r="Q1507" s="38"/>
    </row>
    <row r="1508" spans="1:17" x14ac:dyDescent="0.25">
      <c r="A1508" s="39">
        <v>45421</v>
      </c>
      <c r="B1508" s="38" t="s">
        <v>11</v>
      </c>
      <c r="C1508" s="38" t="s">
        <v>7</v>
      </c>
      <c r="D1508" s="38" t="s">
        <v>205</v>
      </c>
      <c r="E1508" s="38" t="s">
        <v>60</v>
      </c>
      <c r="F1508" s="38" t="s">
        <v>93</v>
      </c>
      <c r="G1508" s="38" t="s">
        <v>138</v>
      </c>
      <c r="H1508" s="9" t="s">
        <v>212</v>
      </c>
      <c r="I1508" s="38" t="s">
        <v>58</v>
      </c>
      <c r="J1508" s="38">
        <v>0</v>
      </c>
      <c r="K1508">
        <v>0</v>
      </c>
      <c r="L1508">
        <v>0</v>
      </c>
      <c r="M1508">
        <v>0</v>
      </c>
      <c r="N1508" s="38">
        <v>11.39</v>
      </c>
      <c r="O1508" s="38"/>
      <c r="P1508" s="38" t="s">
        <v>147</v>
      </c>
      <c r="Q1508" s="38"/>
    </row>
    <row r="1509" spans="1:17" x14ac:dyDescent="0.25">
      <c r="A1509" s="39">
        <v>45421</v>
      </c>
      <c r="B1509" s="38" t="s">
        <v>12</v>
      </c>
      <c r="C1509" s="38" t="s">
        <v>7</v>
      </c>
      <c r="D1509" s="38" t="s">
        <v>286</v>
      </c>
      <c r="E1509" s="38" t="s">
        <v>60</v>
      </c>
      <c r="F1509" s="38" t="s">
        <v>285</v>
      </c>
      <c r="G1509" s="38" t="s">
        <v>138</v>
      </c>
      <c r="H1509" s="9" t="s">
        <v>213</v>
      </c>
      <c r="I1509" s="38" t="s">
        <v>58</v>
      </c>
      <c r="J1509" s="38">
        <v>0</v>
      </c>
      <c r="K1509">
        <v>0</v>
      </c>
      <c r="L1509">
        <v>0</v>
      </c>
      <c r="M1509">
        <v>0</v>
      </c>
      <c r="N1509" s="38">
        <v>11.98</v>
      </c>
      <c r="O1509" s="38"/>
      <c r="P1509" s="38" t="s">
        <v>154</v>
      </c>
      <c r="Q1509" s="38"/>
    </row>
    <row r="1510" spans="1:17" x14ac:dyDescent="0.25">
      <c r="A1510" s="39">
        <v>45421</v>
      </c>
      <c r="B1510" s="38" t="s">
        <v>105</v>
      </c>
      <c r="C1510" s="38" t="s">
        <v>7</v>
      </c>
      <c r="D1510" s="38" t="s">
        <v>267</v>
      </c>
      <c r="E1510" s="38" t="s">
        <v>60</v>
      </c>
      <c r="F1510" s="38" t="s">
        <v>93</v>
      </c>
      <c r="G1510" s="38" t="s">
        <v>138</v>
      </c>
      <c r="H1510" s="9" t="s">
        <v>214</v>
      </c>
      <c r="I1510" s="38" t="s">
        <v>58</v>
      </c>
      <c r="J1510" s="38">
        <v>0</v>
      </c>
      <c r="K1510">
        <v>0</v>
      </c>
      <c r="L1510">
        <v>0</v>
      </c>
      <c r="M1510">
        <v>0</v>
      </c>
      <c r="N1510" s="38">
        <v>12.39</v>
      </c>
      <c r="O1510" s="38"/>
      <c r="P1510" s="38" t="s">
        <v>147</v>
      </c>
      <c r="Q1510" s="38"/>
    </row>
    <row r="1511" spans="1:17" x14ac:dyDescent="0.25">
      <c r="A1511" s="39">
        <v>45421</v>
      </c>
      <c r="B1511" s="38" t="s">
        <v>104</v>
      </c>
      <c r="C1511" s="38" t="s">
        <v>7</v>
      </c>
      <c r="D1511" s="38" t="s">
        <v>143</v>
      </c>
      <c r="E1511" s="38" t="s">
        <v>60</v>
      </c>
      <c r="F1511" s="38" t="s">
        <v>285</v>
      </c>
      <c r="G1511" s="38" t="s">
        <v>138</v>
      </c>
      <c r="H1511" s="9" t="s">
        <v>215</v>
      </c>
      <c r="I1511" s="38" t="s">
        <v>58</v>
      </c>
      <c r="J1511" s="38">
        <v>0</v>
      </c>
      <c r="K1511">
        <v>0</v>
      </c>
      <c r="L1511">
        <v>0</v>
      </c>
      <c r="M1511">
        <v>0</v>
      </c>
      <c r="N1511" s="38">
        <v>13.96</v>
      </c>
      <c r="O1511" s="38"/>
      <c r="P1511" s="38" t="s">
        <v>154</v>
      </c>
      <c r="Q1511" s="38"/>
    </row>
    <row r="1512" spans="1:17" x14ac:dyDescent="0.25">
      <c r="A1512" s="39">
        <v>45421</v>
      </c>
      <c r="B1512" s="38" t="s">
        <v>13</v>
      </c>
      <c r="C1512" s="38" t="s">
        <v>7</v>
      </c>
      <c r="D1512" s="38" t="s">
        <v>350</v>
      </c>
      <c r="E1512" s="38" t="s">
        <v>60</v>
      </c>
      <c r="F1512" s="38" t="s">
        <v>93</v>
      </c>
      <c r="G1512" s="38" t="s">
        <v>138</v>
      </c>
      <c r="H1512" s="9" t="s">
        <v>216</v>
      </c>
      <c r="I1512" s="38" t="s">
        <v>58</v>
      </c>
      <c r="J1512" s="38">
        <v>0</v>
      </c>
      <c r="K1512">
        <v>0</v>
      </c>
      <c r="L1512">
        <v>0</v>
      </c>
      <c r="M1512">
        <v>0</v>
      </c>
      <c r="N1512" s="38">
        <v>12.4</v>
      </c>
      <c r="O1512" s="38"/>
      <c r="P1512" s="38" t="s">
        <v>147</v>
      </c>
      <c r="Q1512" s="38"/>
    </row>
    <row r="1513" spans="1:17" x14ac:dyDescent="0.25">
      <c r="A1513" s="39">
        <v>45421</v>
      </c>
      <c r="B1513" s="38" t="s">
        <v>103</v>
      </c>
      <c r="C1513" s="38" t="s">
        <v>7</v>
      </c>
      <c r="D1513" s="38" t="s">
        <v>179</v>
      </c>
      <c r="E1513" s="38" t="s">
        <v>81</v>
      </c>
      <c r="F1513" s="38" t="s">
        <v>90</v>
      </c>
      <c r="G1513" s="38" t="s">
        <v>138</v>
      </c>
      <c r="H1513" s="9" t="s">
        <v>217</v>
      </c>
      <c r="I1513" s="38" t="s">
        <v>65</v>
      </c>
      <c r="J1513" s="38">
        <v>0</v>
      </c>
      <c r="K1513">
        <v>0</v>
      </c>
      <c r="L1513">
        <v>0</v>
      </c>
      <c r="M1513">
        <v>0</v>
      </c>
      <c r="N1513" s="38">
        <v>41.9</v>
      </c>
      <c r="O1513" s="38"/>
      <c r="P1513" s="38" t="s">
        <v>187</v>
      </c>
      <c r="Q1513" s="38"/>
    </row>
    <row r="1514" spans="1:17" x14ac:dyDescent="0.25">
      <c r="A1514" s="39">
        <v>45421</v>
      </c>
      <c r="B1514" s="38" t="s">
        <v>101</v>
      </c>
      <c r="C1514" s="38" t="s">
        <v>7</v>
      </c>
      <c r="D1514" s="38" t="s">
        <v>405</v>
      </c>
      <c r="E1514" s="38" t="s">
        <v>81</v>
      </c>
      <c r="F1514" s="38" t="s">
        <v>285</v>
      </c>
      <c r="G1514" s="38" t="s">
        <v>138</v>
      </c>
      <c r="H1514" s="9" t="s">
        <v>102</v>
      </c>
      <c r="I1514" s="38" t="s">
        <v>58</v>
      </c>
      <c r="J1514" s="38">
        <v>0</v>
      </c>
      <c r="K1514">
        <v>0</v>
      </c>
      <c r="L1514">
        <v>0</v>
      </c>
      <c r="M1514">
        <v>0</v>
      </c>
      <c r="N1514" s="38">
        <v>19.600000000000001</v>
      </c>
      <c r="O1514" s="38"/>
      <c r="P1514" s="38" t="s">
        <v>151</v>
      </c>
      <c r="Q1514" s="38"/>
    </row>
    <row r="1515" spans="1:17" x14ac:dyDescent="0.25">
      <c r="A1515" s="39">
        <v>45421</v>
      </c>
      <c r="B1515" s="38" t="s">
        <v>99</v>
      </c>
      <c r="C1515" s="38" t="s">
        <v>7</v>
      </c>
      <c r="D1515" s="38" t="s">
        <v>249</v>
      </c>
      <c r="E1515" s="38" t="s">
        <v>81</v>
      </c>
      <c r="F1515" s="38" t="s">
        <v>90</v>
      </c>
      <c r="G1515" s="38" t="s">
        <v>138</v>
      </c>
      <c r="H1515" s="9" t="s">
        <v>100</v>
      </c>
      <c r="I1515" s="38"/>
      <c r="J1515" s="38">
        <v>0</v>
      </c>
      <c r="K1515">
        <v>0</v>
      </c>
      <c r="L1515">
        <v>0</v>
      </c>
      <c r="M1515">
        <v>0</v>
      </c>
      <c r="N1515" s="38">
        <v>41.83</v>
      </c>
      <c r="O1515" s="38"/>
      <c r="P1515" s="38" t="s">
        <v>152</v>
      </c>
      <c r="Q1515" s="38"/>
    </row>
    <row r="1516" spans="1:17" x14ac:dyDescent="0.25">
      <c r="A1516" s="39">
        <v>45421</v>
      </c>
      <c r="B1516" s="38" t="s">
        <v>97</v>
      </c>
      <c r="C1516" s="38" t="s">
        <v>7</v>
      </c>
      <c r="D1516" s="38" t="s">
        <v>288</v>
      </c>
      <c r="E1516" s="38" t="s">
        <v>352</v>
      </c>
      <c r="F1516" s="38" t="s">
        <v>285</v>
      </c>
      <c r="G1516" s="38" t="s">
        <v>138</v>
      </c>
      <c r="H1516" s="9" t="s">
        <v>98</v>
      </c>
      <c r="I1516" s="38" t="s">
        <v>58</v>
      </c>
      <c r="J1516" s="38">
        <v>0</v>
      </c>
      <c r="K1516">
        <v>0</v>
      </c>
      <c r="L1516">
        <v>0</v>
      </c>
      <c r="M1516">
        <v>0</v>
      </c>
      <c r="N1516" s="38">
        <v>22.49</v>
      </c>
      <c r="O1516" s="38"/>
      <c r="P1516" s="38" t="s">
        <v>148</v>
      </c>
      <c r="Q1516" s="38"/>
    </row>
    <row r="1517" spans="1:17" x14ac:dyDescent="0.25">
      <c r="A1517" s="39">
        <v>45421</v>
      </c>
      <c r="B1517" s="38" t="s">
        <v>95</v>
      </c>
      <c r="C1517" s="38" t="s">
        <v>7</v>
      </c>
      <c r="D1517" s="38" t="s">
        <v>181</v>
      </c>
      <c r="E1517" s="38" t="s">
        <v>81</v>
      </c>
      <c r="F1517" s="38" t="s">
        <v>90</v>
      </c>
      <c r="G1517" s="38" t="s">
        <v>138</v>
      </c>
      <c r="H1517" s="9" t="s">
        <v>96</v>
      </c>
      <c r="I1517" s="38" t="s">
        <v>65</v>
      </c>
      <c r="J1517" s="38">
        <v>0</v>
      </c>
      <c r="K1517">
        <v>0</v>
      </c>
      <c r="L1517">
        <v>0</v>
      </c>
      <c r="M1517">
        <v>0</v>
      </c>
      <c r="N1517" s="38">
        <v>20.38</v>
      </c>
      <c r="O1517" s="38"/>
      <c r="P1517" s="38" t="s">
        <v>152</v>
      </c>
      <c r="Q1517" s="38"/>
    </row>
    <row r="1518" spans="1:17" x14ac:dyDescent="0.25">
      <c r="A1518" s="39">
        <v>45421</v>
      </c>
      <c r="B1518" s="38" t="s">
        <v>14</v>
      </c>
      <c r="C1518" s="38" t="s">
        <v>7</v>
      </c>
      <c r="D1518" s="38" t="s">
        <v>289</v>
      </c>
      <c r="E1518" s="38" t="s">
        <v>352</v>
      </c>
      <c r="F1518" s="38" t="s">
        <v>285</v>
      </c>
      <c r="G1518" s="38" t="s">
        <v>138</v>
      </c>
      <c r="H1518" s="9" t="s">
        <v>94</v>
      </c>
      <c r="I1518" s="38" t="s">
        <v>58</v>
      </c>
      <c r="J1518" s="38">
        <v>0</v>
      </c>
      <c r="K1518">
        <v>0</v>
      </c>
      <c r="L1518">
        <v>0</v>
      </c>
      <c r="M1518">
        <v>0</v>
      </c>
      <c r="N1518" s="38">
        <v>25.88</v>
      </c>
      <c r="O1518" s="38"/>
      <c r="P1518" s="38" t="s">
        <v>151</v>
      </c>
      <c r="Q1518" s="38"/>
    </row>
    <row r="1519" spans="1:17" x14ac:dyDescent="0.25">
      <c r="A1519" s="39">
        <v>45421</v>
      </c>
      <c r="B1519" s="38" t="s">
        <v>91</v>
      </c>
      <c r="C1519" s="38" t="s">
        <v>7</v>
      </c>
      <c r="D1519" s="38" t="s">
        <v>180</v>
      </c>
      <c r="E1519" s="38" t="s">
        <v>81</v>
      </c>
      <c r="F1519" s="38" t="s">
        <v>90</v>
      </c>
      <c r="G1519" s="38" t="s">
        <v>138</v>
      </c>
      <c r="H1519" s="9" t="s">
        <v>92</v>
      </c>
      <c r="I1519" s="38"/>
      <c r="J1519" s="38">
        <v>0</v>
      </c>
      <c r="K1519">
        <v>0</v>
      </c>
      <c r="L1519">
        <v>0</v>
      </c>
      <c r="M1519">
        <v>0</v>
      </c>
      <c r="N1519" s="38">
        <v>16.73</v>
      </c>
      <c r="O1519" s="38"/>
      <c r="P1519" s="38" t="s">
        <v>148</v>
      </c>
      <c r="Q1519" s="38"/>
    </row>
    <row r="1520" spans="1:17" x14ac:dyDescent="0.25">
      <c r="A1520" s="39">
        <v>45421</v>
      </c>
      <c r="B1520" s="38" t="s">
        <v>15</v>
      </c>
      <c r="C1520" s="38" t="s">
        <v>7</v>
      </c>
      <c r="D1520" s="38" t="s">
        <v>140</v>
      </c>
      <c r="E1520" s="38" t="s">
        <v>81</v>
      </c>
      <c r="F1520" s="38" t="s">
        <v>285</v>
      </c>
      <c r="G1520" s="38" t="s">
        <v>138</v>
      </c>
      <c r="H1520" s="9" t="s">
        <v>218</v>
      </c>
      <c r="I1520" s="38" t="s">
        <v>58</v>
      </c>
      <c r="J1520" s="38">
        <v>0</v>
      </c>
      <c r="K1520">
        <v>0</v>
      </c>
      <c r="L1520">
        <v>0</v>
      </c>
      <c r="M1520">
        <v>0</v>
      </c>
      <c r="N1520" s="38">
        <v>20.190000000000001</v>
      </c>
      <c r="O1520" s="38"/>
      <c r="P1520" s="38" t="s">
        <v>148</v>
      </c>
      <c r="Q1520" s="38"/>
    </row>
    <row r="1521" spans="1:17" x14ac:dyDescent="0.25">
      <c r="A1521" s="39">
        <v>45421</v>
      </c>
      <c r="B1521" s="38" t="s">
        <v>89</v>
      </c>
      <c r="C1521" s="38" t="s">
        <v>7</v>
      </c>
      <c r="D1521" s="38" t="s">
        <v>176</v>
      </c>
      <c r="E1521" s="38" t="s">
        <v>398</v>
      </c>
      <c r="F1521" s="38" t="s">
        <v>90</v>
      </c>
      <c r="G1521" s="38" t="s">
        <v>138</v>
      </c>
      <c r="H1521" s="9" t="s">
        <v>219</v>
      </c>
      <c r="I1521" s="38" t="s">
        <v>65</v>
      </c>
      <c r="J1521" s="38">
        <v>0</v>
      </c>
      <c r="K1521">
        <v>0</v>
      </c>
      <c r="L1521">
        <v>0</v>
      </c>
      <c r="M1521">
        <v>0</v>
      </c>
      <c r="N1521" s="38">
        <v>17.670000000000002</v>
      </c>
      <c r="O1521" s="38"/>
      <c r="P1521" s="38" t="s">
        <v>186</v>
      </c>
      <c r="Q1521" s="38"/>
    </row>
    <row r="1522" spans="1:17" x14ac:dyDescent="0.25">
      <c r="A1522" s="39">
        <v>45421</v>
      </c>
      <c r="B1522" s="38" t="s">
        <v>16</v>
      </c>
      <c r="C1522" s="38" t="s">
        <v>7</v>
      </c>
      <c r="D1522" s="38" t="s">
        <v>407</v>
      </c>
      <c r="E1522" s="38" t="s">
        <v>360</v>
      </c>
      <c r="F1522" s="38" t="s">
        <v>253</v>
      </c>
      <c r="G1522" s="38" t="s">
        <v>138</v>
      </c>
      <c r="H1522" s="9" t="s">
        <v>220</v>
      </c>
      <c r="I1522" s="38" t="s">
        <v>58</v>
      </c>
      <c r="J1522" s="38">
        <v>0</v>
      </c>
      <c r="K1522">
        <v>0</v>
      </c>
      <c r="L1522">
        <v>0</v>
      </c>
      <c r="M1522">
        <v>0</v>
      </c>
      <c r="N1522" s="38">
        <v>21.19</v>
      </c>
      <c r="O1522" s="38"/>
      <c r="P1522" s="38" t="s">
        <v>151</v>
      </c>
      <c r="Q1522" s="38"/>
    </row>
    <row r="1523" spans="1:17" x14ac:dyDescent="0.25">
      <c r="A1523" s="39">
        <v>45421</v>
      </c>
      <c r="B1523" s="38" t="s">
        <v>88</v>
      </c>
      <c r="C1523" s="38" t="s">
        <v>7</v>
      </c>
      <c r="D1523" s="38" t="s">
        <v>311</v>
      </c>
      <c r="E1523" s="38" t="s">
        <v>60</v>
      </c>
      <c r="F1523" s="38" t="s">
        <v>253</v>
      </c>
      <c r="G1523" s="38" t="s">
        <v>138</v>
      </c>
      <c r="H1523" s="9" t="s">
        <v>221</v>
      </c>
      <c r="I1523" s="38"/>
      <c r="J1523" s="38">
        <v>0</v>
      </c>
      <c r="K1523">
        <v>0</v>
      </c>
      <c r="L1523">
        <v>0</v>
      </c>
      <c r="M1523">
        <v>0</v>
      </c>
      <c r="N1523" s="38">
        <v>38.44</v>
      </c>
      <c r="O1523" s="38"/>
      <c r="P1523" s="38" t="s">
        <v>154</v>
      </c>
      <c r="Q1523" s="38"/>
    </row>
    <row r="1524" spans="1:17" x14ac:dyDescent="0.25">
      <c r="A1524" s="39">
        <v>45421</v>
      </c>
      <c r="B1524" s="38" t="s">
        <v>17</v>
      </c>
      <c r="C1524" s="38" t="s">
        <v>7</v>
      </c>
      <c r="D1524" s="38" t="s">
        <v>272</v>
      </c>
      <c r="E1524" s="38" t="s">
        <v>275</v>
      </c>
      <c r="F1524" s="38" t="s">
        <v>276</v>
      </c>
      <c r="G1524" s="38" t="s">
        <v>138</v>
      </c>
      <c r="H1524" s="9" t="s">
        <v>222</v>
      </c>
      <c r="I1524" s="38" t="s">
        <v>58</v>
      </c>
      <c r="J1524" s="38">
        <v>0</v>
      </c>
      <c r="K1524">
        <v>0</v>
      </c>
      <c r="L1524">
        <v>0</v>
      </c>
      <c r="M1524">
        <v>0</v>
      </c>
      <c r="N1524" s="38">
        <v>20.56</v>
      </c>
      <c r="O1524" s="38"/>
      <c r="P1524" s="38" t="s">
        <v>151</v>
      </c>
      <c r="Q1524" s="38"/>
    </row>
    <row r="1525" spans="1:17" x14ac:dyDescent="0.25">
      <c r="A1525" s="39">
        <v>45421</v>
      </c>
      <c r="B1525" s="38" t="s">
        <v>19</v>
      </c>
      <c r="C1525" s="38" t="s">
        <v>7</v>
      </c>
      <c r="D1525" s="38" t="s">
        <v>343</v>
      </c>
      <c r="E1525" s="38" t="s">
        <v>81</v>
      </c>
      <c r="F1525" s="38" t="s">
        <v>253</v>
      </c>
      <c r="G1525" s="38" t="s">
        <v>138</v>
      </c>
      <c r="H1525" s="9" t="s">
        <v>223</v>
      </c>
      <c r="I1525" s="38" t="s">
        <v>65</v>
      </c>
      <c r="J1525" s="38">
        <v>0</v>
      </c>
      <c r="K1525">
        <v>0</v>
      </c>
      <c r="L1525">
        <v>0</v>
      </c>
      <c r="M1525">
        <v>0</v>
      </c>
      <c r="N1525" s="38">
        <v>41.06</v>
      </c>
      <c r="O1525" s="38"/>
      <c r="P1525" s="38" t="s">
        <v>151</v>
      </c>
      <c r="Q1525" s="38"/>
    </row>
    <row r="1526" spans="1:17" x14ac:dyDescent="0.25">
      <c r="A1526" s="39">
        <v>45421</v>
      </c>
      <c r="B1526" s="38" t="s">
        <v>18</v>
      </c>
      <c r="C1526" s="38" t="s">
        <v>7</v>
      </c>
      <c r="D1526" s="38" t="s">
        <v>268</v>
      </c>
      <c r="E1526" s="38" t="s">
        <v>408</v>
      </c>
      <c r="F1526" s="38" t="s">
        <v>253</v>
      </c>
      <c r="G1526" s="38" t="s">
        <v>138</v>
      </c>
      <c r="H1526" s="9" t="s">
        <v>224</v>
      </c>
      <c r="I1526" s="38" t="s">
        <v>58</v>
      </c>
      <c r="J1526" s="38">
        <v>0</v>
      </c>
      <c r="K1526">
        <v>0</v>
      </c>
      <c r="L1526">
        <v>0</v>
      </c>
      <c r="M1526">
        <v>0</v>
      </c>
      <c r="N1526" s="38">
        <v>18.89</v>
      </c>
      <c r="O1526" s="38"/>
      <c r="P1526" s="38" t="s">
        <v>148</v>
      </c>
      <c r="Q1526" s="38"/>
    </row>
    <row r="1527" spans="1:17" x14ac:dyDescent="0.25">
      <c r="A1527" s="39">
        <v>45421</v>
      </c>
      <c r="B1527" s="38" t="s">
        <v>87</v>
      </c>
      <c r="C1527" s="38" t="s">
        <v>7</v>
      </c>
      <c r="D1527" s="38"/>
      <c r="E1527" s="38"/>
      <c r="F1527" s="38"/>
      <c r="G1527" s="38" t="s">
        <v>138</v>
      </c>
      <c r="H1527" s="9" t="s">
        <v>225</v>
      </c>
      <c r="I1527" s="38"/>
      <c r="J1527" s="38">
        <v>0</v>
      </c>
      <c r="K1527">
        <v>0</v>
      </c>
      <c r="L1527">
        <v>0</v>
      </c>
      <c r="M1527">
        <v>0</v>
      </c>
      <c r="N1527" s="38">
        <v>41146219</v>
      </c>
      <c r="O1527" s="38"/>
      <c r="P1527" s="38"/>
      <c r="Q1527" s="38"/>
    </row>
    <row r="1528" spans="1:17" x14ac:dyDescent="0.25">
      <c r="A1528" s="39">
        <v>45421</v>
      </c>
      <c r="B1528" s="38" t="s">
        <v>42</v>
      </c>
      <c r="C1528" s="38" t="s">
        <v>7</v>
      </c>
      <c r="D1528" s="38" t="s">
        <v>246</v>
      </c>
      <c r="E1528" s="38" t="s">
        <v>81</v>
      </c>
      <c r="F1528" s="38" t="s">
        <v>285</v>
      </c>
      <c r="G1528" s="38" t="s">
        <v>138</v>
      </c>
      <c r="H1528" s="9" t="s">
        <v>226</v>
      </c>
      <c r="I1528" s="38" t="s">
        <v>58</v>
      </c>
      <c r="J1528" s="38">
        <v>0</v>
      </c>
      <c r="K1528">
        <v>0</v>
      </c>
      <c r="L1528">
        <v>0</v>
      </c>
      <c r="M1528">
        <v>0</v>
      </c>
      <c r="N1528" s="38">
        <v>20.7</v>
      </c>
      <c r="O1528" s="38"/>
      <c r="P1528" s="38" t="s">
        <v>148</v>
      </c>
      <c r="Q1528" s="38"/>
    </row>
    <row r="1529" spans="1:17" x14ac:dyDescent="0.25">
      <c r="A1529" s="39">
        <v>45421</v>
      </c>
      <c r="B1529" s="38" t="s">
        <v>86</v>
      </c>
      <c r="C1529" s="38" t="s">
        <v>7</v>
      </c>
      <c r="D1529" s="38" t="s">
        <v>271</v>
      </c>
      <c r="E1529" s="38" t="s">
        <v>275</v>
      </c>
      <c r="F1529" s="38" t="s">
        <v>276</v>
      </c>
      <c r="G1529" s="38" t="s">
        <v>138</v>
      </c>
      <c r="H1529" s="9" t="s">
        <v>227</v>
      </c>
      <c r="I1529" s="38" t="s">
        <v>65</v>
      </c>
      <c r="J1529" s="38">
        <v>0</v>
      </c>
      <c r="K1529">
        <v>0</v>
      </c>
      <c r="L1529">
        <v>0</v>
      </c>
      <c r="M1529">
        <v>0</v>
      </c>
      <c r="N1529" s="38">
        <v>41.64</v>
      </c>
      <c r="O1529" s="38"/>
      <c r="P1529" s="38" t="s">
        <v>152</v>
      </c>
      <c r="Q1529" s="38"/>
    </row>
    <row r="1530" spans="1:17" x14ac:dyDescent="0.25">
      <c r="A1530" s="39">
        <v>45421</v>
      </c>
      <c r="B1530" s="38" t="s">
        <v>38</v>
      </c>
      <c r="C1530" s="38" t="s">
        <v>7</v>
      </c>
      <c r="D1530" s="38" t="s">
        <v>141</v>
      </c>
      <c r="E1530" s="38" t="s">
        <v>81</v>
      </c>
      <c r="F1530" s="38" t="s">
        <v>285</v>
      </c>
      <c r="G1530" s="38" t="s">
        <v>138</v>
      </c>
      <c r="H1530" s="9" t="s">
        <v>85</v>
      </c>
      <c r="I1530" s="38" t="s">
        <v>58</v>
      </c>
      <c r="J1530" s="38">
        <v>0</v>
      </c>
      <c r="K1530">
        <v>0</v>
      </c>
      <c r="L1530">
        <v>0</v>
      </c>
      <c r="M1530">
        <v>0</v>
      </c>
      <c r="N1530" s="38">
        <v>37.5</v>
      </c>
      <c r="O1530" s="38"/>
      <c r="P1530" s="38" t="s">
        <v>151</v>
      </c>
      <c r="Q1530" s="38"/>
    </row>
    <row r="1531" spans="1:17" x14ac:dyDescent="0.25">
      <c r="A1531" s="39">
        <v>45421</v>
      </c>
      <c r="B1531" s="38" t="s">
        <v>83</v>
      </c>
      <c r="C1531" s="38" t="s">
        <v>7</v>
      </c>
      <c r="D1531" s="38"/>
      <c r="E1531" s="38"/>
      <c r="F1531" s="38"/>
      <c r="G1531" s="38" t="s">
        <v>138</v>
      </c>
      <c r="H1531" s="9" t="s">
        <v>84</v>
      </c>
      <c r="I1531" s="38"/>
      <c r="J1531" s="38">
        <v>0</v>
      </c>
      <c r="K1531">
        <v>0</v>
      </c>
      <c r="L1531">
        <v>0</v>
      </c>
      <c r="M1531">
        <v>0</v>
      </c>
      <c r="N1531" s="38">
        <v>41.36</v>
      </c>
      <c r="O1531" s="38"/>
      <c r="P1531" s="38"/>
      <c r="Q1531" s="38"/>
    </row>
    <row r="1532" spans="1:17" x14ac:dyDescent="0.25">
      <c r="A1532" s="39">
        <v>45421</v>
      </c>
      <c r="B1532" s="38" t="s">
        <v>20</v>
      </c>
      <c r="C1532" s="38" t="s">
        <v>7</v>
      </c>
      <c r="D1532" s="38" t="s">
        <v>351</v>
      </c>
      <c r="E1532" s="38" t="s">
        <v>352</v>
      </c>
      <c r="F1532" s="38" t="s">
        <v>285</v>
      </c>
      <c r="G1532" s="38" t="s">
        <v>138</v>
      </c>
      <c r="H1532" s="9" t="s">
        <v>82</v>
      </c>
      <c r="I1532" s="38" t="s">
        <v>58</v>
      </c>
      <c r="J1532" s="38">
        <v>0</v>
      </c>
      <c r="K1532">
        <v>0</v>
      </c>
      <c r="L1532">
        <v>0</v>
      </c>
      <c r="M1532">
        <v>0</v>
      </c>
      <c r="N1532" s="38">
        <v>22.79</v>
      </c>
      <c r="O1532" s="38"/>
      <c r="P1532" s="38" t="s">
        <v>151</v>
      </c>
      <c r="Q1532" s="38"/>
    </row>
    <row r="1533" spans="1:17" x14ac:dyDescent="0.25">
      <c r="A1533" s="39">
        <v>45421</v>
      </c>
      <c r="B1533" s="38" t="s">
        <v>21</v>
      </c>
      <c r="C1533" s="38" t="s">
        <v>7</v>
      </c>
      <c r="D1533" s="38" t="s">
        <v>291</v>
      </c>
      <c r="E1533" s="38" t="s">
        <v>352</v>
      </c>
      <c r="F1533" s="38" t="s">
        <v>285</v>
      </c>
      <c r="G1533" s="38" t="s">
        <v>138</v>
      </c>
      <c r="H1533" s="9" t="s">
        <v>80</v>
      </c>
      <c r="I1533" s="38" t="s">
        <v>65</v>
      </c>
      <c r="J1533" s="38">
        <v>0</v>
      </c>
      <c r="K1533">
        <v>0</v>
      </c>
      <c r="L1533">
        <v>0</v>
      </c>
      <c r="M1533">
        <v>0</v>
      </c>
      <c r="N1533" s="38">
        <v>21.59</v>
      </c>
      <c r="O1533" s="38"/>
      <c r="P1533" s="38" t="s">
        <v>152</v>
      </c>
      <c r="Q1533" s="38"/>
    </row>
    <row r="1534" spans="1:17" x14ac:dyDescent="0.25">
      <c r="A1534" s="39">
        <v>45421</v>
      </c>
      <c r="B1534" s="38" t="s">
        <v>22</v>
      </c>
      <c r="C1534" s="38" t="s">
        <v>7</v>
      </c>
      <c r="D1534" s="38" t="s">
        <v>353</v>
      </c>
      <c r="E1534" s="38" t="s">
        <v>352</v>
      </c>
      <c r="F1534" s="38" t="s">
        <v>285</v>
      </c>
      <c r="G1534" s="38" t="s">
        <v>138</v>
      </c>
      <c r="H1534" s="9" t="s">
        <v>79</v>
      </c>
      <c r="I1534" s="38" t="s">
        <v>58</v>
      </c>
      <c r="J1534" s="38">
        <v>0</v>
      </c>
      <c r="K1534">
        <v>0</v>
      </c>
      <c r="L1534">
        <v>0</v>
      </c>
      <c r="M1534">
        <v>0</v>
      </c>
      <c r="N1534" s="38">
        <v>13.62</v>
      </c>
      <c r="O1534" s="38"/>
      <c r="P1534" s="38" t="s">
        <v>148</v>
      </c>
      <c r="Q1534" s="38"/>
    </row>
    <row r="1535" spans="1:17" x14ac:dyDescent="0.25">
      <c r="A1535" s="39">
        <v>45421</v>
      </c>
      <c r="B1535" s="38" t="s">
        <v>77</v>
      </c>
      <c r="C1535" s="38" t="s">
        <v>7</v>
      </c>
      <c r="D1535" s="38"/>
      <c r="E1535" s="38"/>
      <c r="F1535" s="38"/>
      <c r="G1535" s="38" t="s">
        <v>138</v>
      </c>
      <c r="H1535" s="9" t="s">
        <v>78</v>
      </c>
      <c r="I1535" s="38"/>
      <c r="J1535" s="38">
        <v>0</v>
      </c>
      <c r="K1535">
        <v>0</v>
      </c>
      <c r="L1535">
        <v>0</v>
      </c>
      <c r="M1535">
        <v>0</v>
      </c>
      <c r="N1535" s="38">
        <v>17.88</v>
      </c>
      <c r="O1535" s="38"/>
      <c r="P1535" s="38"/>
      <c r="Q1535" s="38"/>
    </row>
    <row r="1536" spans="1:17" x14ac:dyDescent="0.25">
      <c r="A1536" s="39">
        <v>45421</v>
      </c>
      <c r="B1536" s="38" t="s">
        <v>23</v>
      </c>
      <c r="C1536" s="38" t="s">
        <v>7</v>
      </c>
      <c r="D1536" s="38" t="s">
        <v>409</v>
      </c>
      <c r="E1536" s="38" t="s">
        <v>352</v>
      </c>
      <c r="F1536" s="38" t="s">
        <v>285</v>
      </c>
      <c r="G1536" s="38" t="s">
        <v>138</v>
      </c>
      <c r="H1536" s="9" t="s">
        <v>228</v>
      </c>
      <c r="I1536" s="38" t="s">
        <v>58</v>
      </c>
      <c r="J1536" s="38">
        <v>0</v>
      </c>
      <c r="K1536">
        <v>0</v>
      </c>
      <c r="L1536">
        <v>0</v>
      </c>
      <c r="M1536">
        <v>0</v>
      </c>
      <c r="N1536" s="38">
        <v>23.22</v>
      </c>
      <c r="O1536" s="38"/>
      <c r="P1536" s="38" t="s">
        <v>148</v>
      </c>
      <c r="Q1536" s="38"/>
    </row>
    <row r="1537" spans="1:17" x14ac:dyDescent="0.25">
      <c r="A1537" s="39">
        <v>45421</v>
      </c>
      <c r="B1537" s="38" t="s">
        <v>24</v>
      </c>
      <c r="C1537" s="38" t="s">
        <v>7</v>
      </c>
      <c r="D1537" s="38" t="s">
        <v>344</v>
      </c>
      <c r="E1537" s="38" t="s">
        <v>379</v>
      </c>
      <c r="F1537" s="38" t="s">
        <v>253</v>
      </c>
      <c r="G1537" s="38" t="s">
        <v>138</v>
      </c>
      <c r="H1537" s="9" t="s">
        <v>229</v>
      </c>
      <c r="I1537" s="38" t="s">
        <v>65</v>
      </c>
      <c r="J1537" s="38">
        <v>0</v>
      </c>
      <c r="K1537">
        <v>0</v>
      </c>
      <c r="L1537">
        <v>0</v>
      </c>
      <c r="M1537">
        <v>0</v>
      </c>
      <c r="N1537" s="38">
        <v>18.37</v>
      </c>
      <c r="O1537" s="38"/>
      <c r="P1537" s="38" t="s">
        <v>152</v>
      </c>
      <c r="Q1537" s="38"/>
    </row>
    <row r="1538" spans="1:17" x14ac:dyDescent="0.25">
      <c r="A1538" s="39">
        <v>45421</v>
      </c>
      <c r="B1538" s="38" t="s">
        <v>75</v>
      </c>
      <c r="C1538" s="38" t="s">
        <v>7</v>
      </c>
      <c r="D1538" s="38" t="s">
        <v>410</v>
      </c>
      <c r="E1538" s="38" t="s">
        <v>202</v>
      </c>
      <c r="F1538" s="38" t="s">
        <v>346</v>
      </c>
      <c r="G1538" s="38" t="s">
        <v>138</v>
      </c>
      <c r="H1538" s="9" t="s">
        <v>230</v>
      </c>
      <c r="I1538" s="38" t="s">
        <v>58</v>
      </c>
      <c r="J1538" s="38">
        <v>0</v>
      </c>
      <c r="K1538">
        <v>0</v>
      </c>
      <c r="L1538">
        <v>0</v>
      </c>
      <c r="M1538">
        <v>0</v>
      </c>
      <c r="N1538" s="38">
        <v>12.9</v>
      </c>
      <c r="O1538" s="38"/>
      <c r="P1538" s="38" t="s">
        <v>303</v>
      </c>
      <c r="Q1538" s="38"/>
    </row>
    <row r="1539" spans="1:17" x14ac:dyDescent="0.25">
      <c r="A1539" s="39">
        <v>45421</v>
      </c>
      <c r="B1539" s="38" t="s">
        <v>25</v>
      </c>
      <c r="C1539" s="38" t="s">
        <v>7</v>
      </c>
      <c r="D1539" s="38" t="s">
        <v>383</v>
      </c>
      <c r="E1539" s="38" t="s">
        <v>81</v>
      </c>
      <c r="F1539" s="38" t="s">
        <v>285</v>
      </c>
      <c r="G1539" s="38" t="s">
        <v>138</v>
      </c>
      <c r="H1539" s="9" t="s">
        <v>231</v>
      </c>
      <c r="I1539" s="38" t="s">
        <v>65</v>
      </c>
      <c r="J1539" s="38">
        <v>0</v>
      </c>
      <c r="K1539">
        <v>0</v>
      </c>
      <c r="L1539">
        <v>0</v>
      </c>
      <c r="M1539">
        <v>0</v>
      </c>
      <c r="N1539" s="38">
        <v>12.16</v>
      </c>
      <c r="O1539" s="38"/>
      <c r="P1539" s="38" t="s">
        <v>148</v>
      </c>
      <c r="Q1539" s="38"/>
    </row>
    <row r="1540" spans="1:17" x14ac:dyDescent="0.25">
      <c r="A1540" s="39">
        <v>45421</v>
      </c>
      <c r="B1540" s="38" t="s">
        <v>74</v>
      </c>
      <c r="C1540" s="38" t="s">
        <v>7</v>
      </c>
      <c r="D1540" s="38" t="s">
        <v>292</v>
      </c>
      <c r="E1540" s="38" t="s">
        <v>60</v>
      </c>
      <c r="F1540" s="38" t="s">
        <v>346</v>
      </c>
      <c r="G1540" s="38" t="s">
        <v>138</v>
      </c>
      <c r="H1540" s="9" t="s">
        <v>232</v>
      </c>
      <c r="I1540" s="38" t="s">
        <v>58</v>
      </c>
      <c r="J1540" s="38">
        <v>0</v>
      </c>
      <c r="K1540">
        <v>0</v>
      </c>
      <c r="L1540">
        <v>0</v>
      </c>
      <c r="M1540">
        <v>0</v>
      </c>
      <c r="N1540" s="38">
        <v>15.61</v>
      </c>
      <c r="O1540" s="38"/>
      <c r="P1540" s="38" t="s">
        <v>293</v>
      </c>
      <c r="Q1540" s="38"/>
    </row>
    <row r="1541" spans="1:17" x14ac:dyDescent="0.25">
      <c r="A1541" s="39">
        <v>45421</v>
      </c>
      <c r="B1541" s="38" t="s">
        <v>26</v>
      </c>
      <c r="C1541" s="38" t="s">
        <v>7</v>
      </c>
      <c r="D1541" s="38" t="s">
        <v>294</v>
      </c>
      <c r="E1541" s="38" t="s">
        <v>56</v>
      </c>
      <c r="F1541" s="38" t="s">
        <v>184</v>
      </c>
      <c r="G1541" s="38" t="s">
        <v>138</v>
      </c>
      <c r="H1541" s="9" t="s">
        <v>233</v>
      </c>
      <c r="I1541" s="38" t="s">
        <v>65</v>
      </c>
      <c r="J1541" s="38">
        <v>0</v>
      </c>
      <c r="K1541">
        <v>0</v>
      </c>
      <c r="L1541">
        <v>0</v>
      </c>
      <c r="M1541">
        <v>0</v>
      </c>
      <c r="N1541" s="38">
        <v>13.29</v>
      </c>
      <c r="O1541" s="38"/>
      <c r="P1541" s="38" t="s">
        <v>155</v>
      </c>
      <c r="Q1541" s="38"/>
    </row>
    <row r="1542" spans="1:17" x14ac:dyDescent="0.25">
      <c r="A1542" s="39">
        <v>45421</v>
      </c>
      <c r="B1542" s="38" t="s">
        <v>27</v>
      </c>
      <c r="C1542" s="38" t="s">
        <v>7</v>
      </c>
      <c r="D1542" s="38" t="s">
        <v>384</v>
      </c>
      <c r="E1542" s="38" t="s">
        <v>366</v>
      </c>
      <c r="F1542" s="38" t="s">
        <v>346</v>
      </c>
      <c r="G1542" s="38" t="s">
        <v>138</v>
      </c>
      <c r="H1542" s="9" t="s">
        <v>234</v>
      </c>
      <c r="I1542" s="38" t="s">
        <v>58</v>
      </c>
      <c r="J1542" s="38">
        <v>0</v>
      </c>
      <c r="K1542">
        <v>0</v>
      </c>
      <c r="L1542">
        <v>0</v>
      </c>
      <c r="M1542">
        <v>0</v>
      </c>
      <c r="N1542" s="38">
        <v>13.89</v>
      </c>
      <c r="O1542" s="38"/>
      <c r="P1542" s="38" t="s">
        <v>269</v>
      </c>
      <c r="Q1542" s="38"/>
    </row>
    <row r="1543" spans="1:17" x14ac:dyDescent="0.25">
      <c r="A1543" s="39">
        <v>45421</v>
      </c>
      <c r="B1543" s="38" t="s">
        <v>28</v>
      </c>
      <c r="C1543" s="38" t="s">
        <v>7</v>
      </c>
      <c r="D1543" s="38" t="s">
        <v>411</v>
      </c>
      <c r="E1543" s="38" t="s">
        <v>56</v>
      </c>
      <c r="F1543" s="38" t="s">
        <v>338</v>
      </c>
      <c r="G1543" s="38" t="s">
        <v>138</v>
      </c>
      <c r="H1543" s="9" t="s">
        <v>235</v>
      </c>
      <c r="I1543" s="38" t="s">
        <v>65</v>
      </c>
      <c r="J1543" s="38">
        <v>0</v>
      </c>
      <c r="K1543">
        <v>0</v>
      </c>
      <c r="L1543">
        <v>0</v>
      </c>
      <c r="M1543">
        <v>0</v>
      </c>
      <c r="N1543" s="38">
        <v>13.9</v>
      </c>
      <c r="O1543" s="38"/>
      <c r="P1543" s="38" t="s">
        <v>155</v>
      </c>
      <c r="Q1543" s="38"/>
    </row>
    <row r="1544" spans="1:17" x14ac:dyDescent="0.25">
      <c r="A1544" s="39">
        <v>45421</v>
      </c>
      <c r="B1544" s="38" t="s">
        <v>72</v>
      </c>
      <c r="C1544" s="38" t="s">
        <v>7</v>
      </c>
      <c r="D1544" s="38" t="s">
        <v>322</v>
      </c>
      <c r="E1544" s="38" t="s">
        <v>202</v>
      </c>
      <c r="F1544" s="38" t="s">
        <v>346</v>
      </c>
      <c r="G1544" s="38" t="s">
        <v>138</v>
      </c>
      <c r="H1544" s="9" t="s">
        <v>422</v>
      </c>
      <c r="I1544" s="38" t="s">
        <v>58</v>
      </c>
      <c r="J1544" s="38">
        <v>0</v>
      </c>
      <c r="K1544">
        <v>0</v>
      </c>
      <c r="L1544">
        <v>0</v>
      </c>
      <c r="M1544">
        <v>0</v>
      </c>
      <c r="N1544" s="38">
        <v>15.45</v>
      </c>
      <c r="O1544" s="38"/>
      <c r="P1544" s="38" t="s">
        <v>157</v>
      </c>
      <c r="Q1544" s="38"/>
    </row>
    <row r="1545" spans="1:17" x14ac:dyDescent="0.25">
      <c r="A1545" s="39">
        <v>45421</v>
      </c>
      <c r="B1545" s="38" t="s">
        <v>29</v>
      </c>
      <c r="C1545" s="38" t="s">
        <v>7</v>
      </c>
      <c r="D1545" s="38" t="s">
        <v>315</v>
      </c>
      <c r="E1545" s="38" t="s">
        <v>56</v>
      </c>
      <c r="F1545" s="38" t="s">
        <v>338</v>
      </c>
      <c r="G1545" s="38" t="s">
        <v>138</v>
      </c>
      <c r="H1545" s="9" t="s">
        <v>236</v>
      </c>
      <c r="I1545" s="38" t="s">
        <v>65</v>
      </c>
      <c r="J1545" s="38">
        <v>0</v>
      </c>
      <c r="K1545">
        <v>0</v>
      </c>
      <c r="L1545">
        <v>0</v>
      </c>
      <c r="M1545">
        <v>0</v>
      </c>
      <c r="N1545" s="38">
        <v>13.98</v>
      </c>
      <c r="O1545" s="38"/>
      <c r="P1545" s="38" t="s">
        <v>156</v>
      </c>
      <c r="Q1545" s="38"/>
    </row>
    <row r="1546" spans="1:17" x14ac:dyDescent="0.25">
      <c r="A1546" s="39">
        <v>45421</v>
      </c>
      <c r="B1546" s="38" t="s">
        <v>30</v>
      </c>
      <c r="C1546" s="38" t="s">
        <v>7</v>
      </c>
      <c r="D1546" s="38" t="s">
        <v>305</v>
      </c>
      <c r="E1546" s="38" t="s">
        <v>81</v>
      </c>
      <c r="F1546" s="38" t="s">
        <v>90</v>
      </c>
      <c r="G1546" s="38" t="s">
        <v>138</v>
      </c>
      <c r="H1546" s="9" t="s">
        <v>71</v>
      </c>
      <c r="I1546" s="38" t="s">
        <v>58</v>
      </c>
      <c r="J1546" s="38">
        <v>0</v>
      </c>
      <c r="K1546">
        <v>0</v>
      </c>
      <c r="L1546">
        <v>0</v>
      </c>
      <c r="M1546">
        <v>0</v>
      </c>
      <c r="N1546" s="38">
        <v>10.84</v>
      </c>
      <c r="O1546" s="38"/>
      <c r="P1546" s="38" t="s">
        <v>150</v>
      </c>
      <c r="Q1546" s="38"/>
    </row>
    <row r="1547" spans="1:17" x14ac:dyDescent="0.25">
      <c r="A1547" s="39">
        <v>45421</v>
      </c>
      <c r="B1547" s="38" t="s">
        <v>31</v>
      </c>
      <c r="C1547" s="38" t="s">
        <v>7</v>
      </c>
      <c r="D1547" s="38"/>
      <c r="E1547" s="38" t="s">
        <v>56</v>
      </c>
      <c r="F1547" s="38"/>
      <c r="G1547" s="38" t="s">
        <v>138</v>
      </c>
      <c r="H1547" s="9" t="s">
        <v>70</v>
      </c>
      <c r="I1547" s="38" t="s">
        <v>65</v>
      </c>
      <c r="J1547" s="38">
        <v>0</v>
      </c>
      <c r="K1547">
        <v>0</v>
      </c>
      <c r="L1547">
        <v>0</v>
      </c>
      <c r="M1547">
        <v>0</v>
      </c>
      <c r="N1547" s="38">
        <v>13.5</v>
      </c>
      <c r="O1547" s="38"/>
      <c r="P1547" s="38" t="s">
        <v>156</v>
      </c>
      <c r="Q1547" s="38"/>
    </row>
    <row r="1548" spans="1:17" x14ac:dyDescent="0.25">
      <c r="A1548" s="39">
        <v>45421</v>
      </c>
      <c r="B1548" s="38" t="s">
        <v>32</v>
      </c>
      <c r="C1548" s="38" t="s">
        <v>7</v>
      </c>
      <c r="D1548" s="38" t="s">
        <v>413</v>
      </c>
      <c r="E1548" s="38" t="s">
        <v>202</v>
      </c>
      <c r="F1548" s="38" t="s">
        <v>346</v>
      </c>
      <c r="G1548" s="38" t="s">
        <v>138</v>
      </c>
      <c r="H1548" s="9" t="s">
        <v>69</v>
      </c>
      <c r="I1548" s="38" t="s">
        <v>58</v>
      </c>
      <c r="J1548" s="38">
        <v>0</v>
      </c>
      <c r="K1548">
        <v>0</v>
      </c>
      <c r="L1548">
        <v>0</v>
      </c>
      <c r="M1548">
        <v>0</v>
      </c>
      <c r="N1548" s="38">
        <v>14.39</v>
      </c>
      <c r="O1548" s="38"/>
      <c r="P1548" s="38" t="s">
        <v>414</v>
      </c>
      <c r="Q1548" s="38"/>
    </row>
    <row r="1549" spans="1:17" x14ac:dyDescent="0.25">
      <c r="A1549" s="39">
        <v>45421</v>
      </c>
      <c r="B1549" s="38" t="s">
        <v>67</v>
      </c>
      <c r="C1549" s="38" t="s">
        <v>7</v>
      </c>
      <c r="D1549" s="38" t="s">
        <v>354</v>
      </c>
      <c r="E1549" s="38" t="s">
        <v>56</v>
      </c>
      <c r="F1549" s="38" t="s">
        <v>367</v>
      </c>
      <c r="G1549" s="38" t="s">
        <v>138</v>
      </c>
      <c r="H1549" s="9" t="s">
        <v>68</v>
      </c>
      <c r="I1549" s="38" t="s">
        <v>65</v>
      </c>
      <c r="J1549" s="38">
        <v>0</v>
      </c>
      <c r="K1549">
        <v>0</v>
      </c>
      <c r="L1549">
        <v>0</v>
      </c>
      <c r="M1549">
        <v>0</v>
      </c>
      <c r="N1549" s="38">
        <v>13.8</v>
      </c>
      <c r="O1549" s="38"/>
      <c r="P1549" s="38" t="s">
        <v>156</v>
      </c>
      <c r="Q1549" s="38"/>
    </row>
    <row r="1550" spans="1:17" x14ac:dyDescent="0.25">
      <c r="A1550" s="39">
        <v>45421</v>
      </c>
      <c r="B1550" s="38" t="s">
        <v>33</v>
      </c>
      <c r="C1550" s="38" t="s">
        <v>7</v>
      </c>
      <c r="D1550" s="38" t="s">
        <v>277</v>
      </c>
      <c r="E1550" s="38" t="s">
        <v>73</v>
      </c>
      <c r="F1550" s="38" t="s">
        <v>346</v>
      </c>
      <c r="G1550" s="38" t="s">
        <v>138</v>
      </c>
      <c r="H1550" s="9" t="s">
        <v>66</v>
      </c>
      <c r="I1550" s="38" t="s">
        <v>58</v>
      </c>
      <c r="J1550" s="38">
        <v>0</v>
      </c>
      <c r="K1550">
        <v>0</v>
      </c>
      <c r="L1550">
        <v>0</v>
      </c>
      <c r="M1550">
        <v>0</v>
      </c>
      <c r="N1550" s="38">
        <v>14.19</v>
      </c>
      <c r="O1550" s="38"/>
      <c r="P1550" s="38" t="s">
        <v>201</v>
      </c>
      <c r="Q1550" s="38"/>
    </row>
    <row r="1551" spans="1:17" x14ac:dyDescent="0.25">
      <c r="A1551" s="39">
        <v>45421</v>
      </c>
      <c r="B1551" s="38" t="s">
        <v>34</v>
      </c>
      <c r="C1551" s="38" t="s">
        <v>7</v>
      </c>
      <c r="D1551" s="38" t="s">
        <v>415</v>
      </c>
      <c r="E1551" s="38" t="s">
        <v>56</v>
      </c>
      <c r="F1551" s="38" t="s">
        <v>346</v>
      </c>
      <c r="G1551" s="38" t="s">
        <v>138</v>
      </c>
      <c r="H1551" s="9" t="s">
        <v>64</v>
      </c>
      <c r="I1551" s="38" t="s">
        <v>65</v>
      </c>
      <c r="J1551" s="38">
        <v>0</v>
      </c>
      <c r="K1551">
        <v>0</v>
      </c>
      <c r="L1551">
        <v>0</v>
      </c>
      <c r="M1551">
        <v>0</v>
      </c>
      <c r="N1551" s="38">
        <v>15.6</v>
      </c>
      <c r="O1551" s="38"/>
      <c r="P1551" s="38" t="s">
        <v>416</v>
      </c>
      <c r="Q1551" s="38"/>
    </row>
    <row r="1552" spans="1:17" x14ac:dyDescent="0.25">
      <c r="A1552" s="39">
        <v>45421</v>
      </c>
      <c r="B1552" s="38" t="s">
        <v>35</v>
      </c>
      <c r="C1552" s="38" t="s">
        <v>7</v>
      </c>
      <c r="D1552" s="38" t="s">
        <v>331</v>
      </c>
      <c r="E1552" s="38" t="s">
        <v>60</v>
      </c>
      <c r="F1552" s="38" t="s">
        <v>346</v>
      </c>
      <c r="G1552" s="38" t="s">
        <v>138</v>
      </c>
      <c r="H1552" s="9" t="s">
        <v>237</v>
      </c>
      <c r="I1552" s="38" t="s">
        <v>58</v>
      </c>
      <c r="J1552" s="38">
        <v>0</v>
      </c>
      <c r="K1552">
        <v>0</v>
      </c>
      <c r="L1552">
        <v>0</v>
      </c>
      <c r="M1552">
        <v>0</v>
      </c>
      <c r="N1552" s="38">
        <v>14.64</v>
      </c>
      <c r="O1552" s="38"/>
      <c r="P1552" s="38" t="s">
        <v>158</v>
      </c>
      <c r="Q1552" s="38"/>
    </row>
    <row r="1553" spans="1:17" x14ac:dyDescent="0.25">
      <c r="A1553" s="39">
        <v>45421</v>
      </c>
      <c r="B1553" s="38" t="s">
        <v>418</v>
      </c>
      <c r="C1553" s="38" t="s">
        <v>7</v>
      </c>
      <c r="D1553" s="38"/>
      <c r="E1553" s="38"/>
      <c r="F1553" s="38"/>
      <c r="G1553" s="38" t="s">
        <v>138</v>
      </c>
      <c r="H1553" s="9" t="s">
        <v>240</v>
      </c>
      <c r="I1553" s="38" t="s">
        <v>262</v>
      </c>
      <c r="J1553" s="38">
        <v>0</v>
      </c>
      <c r="K1553">
        <v>0</v>
      </c>
      <c r="L1553">
        <v>0</v>
      </c>
      <c r="M1553">
        <v>0</v>
      </c>
      <c r="N1553" s="38">
        <v>17.670000000000002</v>
      </c>
      <c r="O1553" s="38"/>
      <c r="P1553" s="38"/>
      <c r="Q1553" s="38"/>
    </row>
    <row r="1554" spans="1:17" x14ac:dyDescent="0.25">
      <c r="A1554" s="39">
        <v>45421</v>
      </c>
      <c r="B1554" s="38" t="s">
        <v>419</v>
      </c>
      <c r="C1554" s="38" t="s">
        <v>7</v>
      </c>
      <c r="D1554" s="38"/>
      <c r="E1554" s="38"/>
      <c r="F1554" s="38"/>
      <c r="G1554" s="38" t="s">
        <v>138</v>
      </c>
      <c r="H1554" s="9" t="s">
        <v>240</v>
      </c>
      <c r="I1554" s="38" t="s">
        <v>262</v>
      </c>
      <c r="J1554" s="38">
        <v>0</v>
      </c>
      <c r="K1554">
        <v>0</v>
      </c>
      <c r="L1554">
        <v>0</v>
      </c>
      <c r="M1554">
        <v>0</v>
      </c>
      <c r="N1554" s="38">
        <v>13.49</v>
      </c>
      <c r="O1554" s="38"/>
      <c r="P1554" s="38"/>
      <c r="Q1554" s="38"/>
    </row>
    <row r="1555" spans="1:17" x14ac:dyDescent="0.25">
      <c r="A1555" s="39">
        <v>45421</v>
      </c>
      <c r="B1555" s="38" t="s">
        <v>36</v>
      </c>
      <c r="C1555" s="38" t="s">
        <v>7</v>
      </c>
      <c r="D1555" s="38" t="s">
        <v>295</v>
      </c>
      <c r="E1555" s="38" t="s">
        <v>81</v>
      </c>
      <c r="F1555" s="38" t="s">
        <v>369</v>
      </c>
      <c r="G1555" s="38" t="s">
        <v>138</v>
      </c>
      <c r="H1555" s="9" t="s">
        <v>423</v>
      </c>
      <c r="I1555" s="38" t="s">
        <v>58</v>
      </c>
      <c r="J1555" s="38">
        <v>0</v>
      </c>
      <c r="K1555">
        <v>0</v>
      </c>
      <c r="L1555">
        <v>0</v>
      </c>
      <c r="M1555">
        <v>0</v>
      </c>
      <c r="N1555" s="38">
        <v>38472557</v>
      </c>
      <c r="O1555" s="38"/>
      <c r="P1555" s="38" t="s">
        <v>156</v>
      </c>
      <c r="Q1555" s="38"/>
    </row>
    <row r="1556" spans="1:17" x14ac:dyDescent="0.25">
      <c r="A1556" s="39">
        <v>45421</v>
      </c>
      <c r="B1556" s="38" t="s">
        <v>256</v>
      </c>
      <c r="C1556" s="38" t="s">
        <v>7</v>
      </c>
      <c r="D1556" s="38" t="s">
        <v>392</v>
      </c>
      <c r="E1556" s="38" t="s">
        <v>417</v>
      </c>
      <c r="F1556" s="38" t="s">
        <v>192</v>
      </c>
      <c r="G1556" s="38" t="s">
        <v>138</v>
      </c>
      <c r="H1556" s="9"/>
      <c r="I1556" s="38" t="s">
        <v>262</v>
      </c>
      <c r="J1556" s="38">
        <v>0</v>
      </c>
      <c r="K1556">
        <v>0</v>
      </c>
      <c r="L1556">
        <v>0</v>
      </c>
      <c r="M1556">
        <v>0</v>
      </c>
      <c r="N1556" s="38">
        <v>0</v>
      </c>
      <c r="O1556" s="38"/>
      <c r="P1556" s="38" t="s">
        <v>149</v>
      </c>
      <c r="Q1556" s="38"/>
    </row>
    <row r="1557" spans="1:17" x14ac:dyDescent="0.25">
      <c r="A1557" s="39">
        <v>45421</v>
      </c>
      <c r="B1557" s="38" t="s">
        <v>257</v>
      </c>
      <c r="C1557" s="38" t="s">
        <v>7</v>
      </c>
      <c r="D1557" s="38" t="s">
        <v>392</v>
      </c>
      <c r="E1557" s="38" t="s">
        <v>417</v>
      </c>
      <c r="F1557" s="38" t="s">
        <v>192</v>
      </c>
      <c r="G1557" s="38" t="s">
        <v>138</v>
      </c>
      <c r="H1557" s="9"/>
      <c r="I1557" s="38" t="s">
        <v>58</v>
      </c>
      <c r="J1557" s="38">
        <v>0</v>
      </c>
      <c r="K1557">
        <v>0</v>
      </c>
      <c r="L1557">
        <v>0</v>
      </c>
      <c r="M1557">
        <v>0</v>
      </c>
      <c r="N1557" s="38">
        <v>38.46</v>
      </c>
      <c r="O1557" s="38"/>
      <c r="P1557" s="38" t="s">
        <v>149</v>
      </c>
      <c r="Q1557" s="38"/>
    </row>
    <row r="1558" spans="1:17" x14ac:dyDescent="0.25">
      <c r="A1558" s="39">
        <v>45421</v>
      </c>
      <c r="B1558" s="38" t="s">
        <v>37</v>
      </c>
      <c r="C1558" s="38" t="s">
        <v>7</v>
      </c>
      <c r="D1558" s="38" t="s">
        <v>347</v>
      </c>
      <c r="E1558" s="38" t="s">
        <v>348</v>
      </c>
      <c r="F1558" s="38" t="s">
        <v>346</v>
      </c>
      <c r="G1558" s="38" t="s">
        <v>138</v>
      </c>
      <c r="H1558" s="9" t="s">
        <v>425</v>
      </c>
      <c r="I1558" s="38" t="s">
        <v>58</v>
      </c>
      <c r="J1558" s="38">
        <v>0</v>
      </c>
      <c r="K1558">
        <v>0</v>
      </c>
      <c r="L1558">
        <v>0</v>
      </c>
      <c r="M1558">
        <v>0</v>
      </c>
      <c r="N1558" s="38">
        <v>13.5</v>
      </c>
      <c r="O1558" s="38"/>
      <c r="P1558" s="38" t="s">
        <v>270</v>
      </c>
      <c r="Q1558" s="38"/>
    </row>
    <row r="1559" spans="1:17" x14ac:dyDescent="0.25">
      <c r="A1559" s="39">
        <v>45421</v>
      </c>
      <c r="B1559" s="38" t="s">
        <v>258</v>
      </c>
      <c r="C1559" s="38" t="s">
        <v>7</v>
      </c>
      <c r="D1559" s="38"/>
      <c r="E1559" s="38"/>
      <c r="F1559" s="38"/>
      <c r="G1559" s="38" t="s">
        <v>138</v>
      </c>
      <c r="H1559" s="9" t="s">
        <v>426</v>
      </c>
      <c r="I1559" s="38" t="s">
        <v>262</v>
      </c>
      <c r="J1559" s="38">
        <v>0</v>
      </c>
      <c r="K1559">
        <v>0</v>
      </c>
      <c r="L1559">
        <v>0</v>
      </c>
      <c r="M1559">
        <v>0</v>
      </c>
      <c r="N1559" s="38">
        <v>13.5</v>
      </c>
      <c r="O1559" s="38"/>
      <c r="P1559" s="38" t="s">
        <v>148</v>
      </c>
      <c r="Q1559" s="38"/>
    </row>
    <row r="1560" spans="1:17" x14ac:dyDescent="0.25">
      <c r="A1560" s="39">
        <v>45421</v>
      </c>
      <c r="B1560" s="38" t="s">
        <v>259</v>
      </c>
      <c r="C1560" s="38" t="s">
        <v>7</v>
      </c>
      <c r="D1560" s="38"/>
      <c r="E1560" s="38"/>
      <c r="F1560" s="38"/>
      <c r="G1560" s="38" t="s">
        <v>138</v>
      </c>
      <c r="H1560" s="9" t="s">
        <v>426</v>
      </c>
      <c r="I1560" s="38" t="s">
        <v>262</v>
      </c>
      <c r="J1560" s="38">
        <v>0</v>
      </c>
      <c r="K1560">
        <v>0</v>
      </c>
      <c r="L1560">
        <v>0</v>
      </c>
      <c r="M1560">
        <v>0</v>
      </c>
      <c r="N1560" s="38">
        <v>41.06</v>
      </c>
      <c r="O1560" s="38"/>
      <c r="P1560" s="38" t="s">
        <v>148</v>
      </c>
      <c r="Q1560" s="38"/>
    </row>
    <row r="1561" spans="1:17" x14ac:dyDescent="0.25">
      <c r="A1561" s="39">
        <v>45421</v>
      </c>
      <c r="B1561" s="38" t="s">
        <v>54</v>
      </c>
      <c r="C1561" s="38" t="s">
        <v>7</v>
      </c>
      <c r="D1561" s="38" t="s">
        <v>55</v>
      </c>
      <c r="E1561" s="38" t="s">
        <v>56</v>
      </c>
      <c r="F1561" s="38" t="s">
        <v>57</v>
      </c>
      <c r="G1561" s="38" t="s">
        <v>138</v>
      </c>
      <c r="H1561" s="9" t="s">
        <v>427</v>
      </c>
      <c r="I1561" s="38" t="s">
        <v>58</v>
      </c>
      <c r="J1561" s="38">
        <v>0</v>
      </c>
      <c r="K1561">
        <v>0</v>
      </c>
      <c r="L1561">
        <v>0</v>
      </c>
      <c r="M1561">
        <v>0</v>
      </c>
      <c r="N1561" s="38">
        <v>41.06</v>
      </c>
      <c r="O1561" s="38"/>
      <c r="P1561" s="38" t="s">
        <v>159</v>
      </c>
      <c r="Q1561" s="38"/>
    </row>
    <row r="1562" spans="1:17" x14ac:dyDescent="0.25">
      <c r="A1562" s="39">
        <v>45421</v>
      </c>
      <c r="B1562" s="38" t="s">
        <v>136</v>
      </c>
      <c r="C1562" s="38" t="s">
        <v>8</v>
      </c>
      <c r="D1562" s="38" t="s">
        <v>174</v>
      </c>
      <c r="E1562" s="38" t="s">
        <v>81</v>
      </c>
      <c r="F1562" s="38" t="s">
        <v>90</v>
      </c>
      <c r="G1562" s="38" t="s">
        <v>138</v>
      </c>
      <c r="H1562" s="9" t="s">
        <v>160</v>
      </c>
      <c r="I1562" s="38" t="s">
        <v>58</v>
      </c>
      <c r="J1562" s="38">
        <v>0</v>
      </c>
      <c r="K1562">
        <v>0</v>
      </c>
      <c r="L1562">
        <v>0</v>
      </c>
      <c r="M1562">
        <v>0</v>
      </c>
      <c r="N1562" s="38">
        <v>42144554</v>
      </c>
      <c r="O1562" s="38"/>
      <c r="P1562" s="38" t="s">
        <v>153</v>
      </c>
      <c r="Q1562" s="38"/>
    </row>
    <row r="1563" spans="1:17" x14ac:dyDescent="0.25">
      <c r="A1563" s="39">
        <v>45421</v>
      </c>
      <c r="B1563" t="s">
        <v>135</v>
      </c>
      <c r="C1563" t="s">
        <v>8</v>
      </c>
      <c r="D1563" t="s">
        <v>332</v>
      </c>
      <c r="E1563" t="s">
        <v>81</v>
      </c>
      <c r="F1563" t="s">
        <v>90</v>
      </c>
      <c r="G1563" t="s">
        <v>138</v>
      </c>
      <c r="H1563" s="9" t="s">
        <v>161</v>
      </c>
      <c r="I1563" t="s">
        <v>58</v>
      </c>
      <c r="J1563">
        <v>0</v>
      </c>
      <c r="K1563">
        <v>0</v>
      </c>
      <c r="L1563">
        <v>0</v>
      </c>
      <c r="M1563">
        <v>0</v>
      </c>
      <c r="N1563">
        <v>24.09</v>
      </c>
      <c r="P1563" t="s">
        <v>148</v>
      </c>
    </row>
    <row r="1564" spans="1:17" x14ac:dyDescent="0.25">
      <c r="A1564" s="39">
        <v>45421</v>
      </c>
      <c r="B1564" t="s">
        <v>134</v>
      </c>
      <c r="C1564" t="s">
        <v>8</v>
      </c>
      <c r="D1564" t="s">
        <v>175</v>
      </c>
      <c r="E1564" t="s">
        <v>81</v>
      </c>
      <c r="F1564" t="s">
        <v>90</v>
      </c>
      <c r="G1564" t="s">
        <v>138</v>
      </c>
      <c r="H1564" s="9" t="s">
        <v>206</v>
      </c>
      <c r="I1564" t="s">
        <v>58</v>
      </c>
      <c r="J1564">
        <v>0</v>
      </c>
      <c r="K1564">
        <v>0</v>
      </c>
      <c r="L1564">
        <v>0</v>
      </c>
      <c r="M1564">
        <v>0</v>
      </c>
      <c r="N1564">
        <v>0</v>
      </c>
      <c r="P1564" t="s">
        <v>148</v>
      </c>
    </row>
    <row r="1565" spans="1:17" x14ac:dyDescent="0.25">
      <c r="A1565" s="39">
        <v>45421</v>
      </c>
      <c r="B1565" t="s">
        <v>132</v>
      </c>
      <c r="C1565" t="s">
        <v>8</v>
      </c>
      <c r="D1565" t="s">
        <v>133</v>
      </c>
      <c r="E1565" t="s">
        <v>126</v>
      </c>
      <c r="F1565" t="s">
        <v>199</v>
      </c>
      <c r="G1565" t="s">
        <v>138</v>
      </c>
      <c r="H1565" s="9" t="s">
        <v>162</v>
      </c>
      <c r="I1565" t="s">
        <v>58</v>
      </c>
      <c r="J1565">
        <v>0</v>
      </c>
      <c r="K1565">
        <v>0</v>
      </c>
      <c r="L1565">
        <v>0</v>
      </c>
      <c r="M1565">
        <v>0</v>
      </c>
      <c r="N1565">
        <v>38.369999999999997</v>
      </c>
      <c r="P1565" t="s">
        <v>149</v>
      </c>
    </row>
    <row r="1566" spans="1:17" x14ac:dyDescent="0.25">
      <c r="A1566" s="39">
        <v>45421</v>
      </c>
      <c r="B1566" t="s">
        <v>131</v>
      </c>
      <c r="C1566" t="s">
        <v>8</v>
      </c>
      <c r="D1566" t="s">
        <v>396</v>
      </c>
      <c r="E1566" t="s">
        <v>60</v>
      </c>
      <c r="F1566" t="s">
        <v>90</v>
      </c>
      <c r="G1566" t="s">
        <v>138</v>
      </c>
      <c r="H1566" s="9" t="s">
        <v>163</v>
      </c>
      <c r="I1566" t="s">
        <v>58</v>
      </c>
      <c r="J1566">
        <v>0</v>
      </c>
      <c r="K1566">
        <v>0</v>
      </c>
      <c r="L1566">
        <v>0</v>
      </c>
      <c r="M1566">
        <v>0</v>
      </c>
      <c r="N1566">
        <v>23.93</v>
      </c>
      <c r="P1566" t="s">
        <v>154</v>
      </c>
    </row>
    <row r="1567" spans="1:17" x14ac:dyDescent="0.25">
      <c r="A1567" s="39">
        <v>45421</v>
      </c>
      <c r="B1567" t="s">
        <v>130</v>
      </c>
      <c r="C1567" t="s">
        <v>8</v>
      </c>
      <c r="D1567" t="s">
        <v>191</v>
      </c>
      <c r="E1567" t="s">
        <v>81</v>
      </c>
      <c r="F1567" t="s">
        <v>285</v>
      </c>
      <c r="G1567" t="s">
        <v>138</v>
      </c>
      <c r="H1567" s="9" t="s">
        <v>420</v>
      </c>
      <c r="I1567" t="s">
        <v>58</v>
      </c>
      <c r="J1567">
        <v>0</v>
      </c>
      <c r="K1567">
        <v>0</v>
      </c>
      <c r="L1567">
        <v>0</v>
      </c>
      <c r="M1567">
        <v>0</v>
      </c>
      <c r="N1567">
        <v>14.99</v>
      </c>
      <c r="P1567" t="s">
        <v>148</v>
      </c>
    </row>
    <row r="1568" spans="1:17" x14ac:dyDescent="0.25">
      <c r="A1568" s="39">
        <v>45421</v>
      </c>
      <c r="B1568" t="s">
        <v>128</v>
      </c>
      <c r="C1568" t="s">
        <v>8</v>
      </c>
      <c r="D1568" t="s">
        <v>129</v>
      </c>
      <c r="E1568" t="s">
        <v>126</v>
      </c>
      <c r="F1568" t="s">
        <v>199</v>
      </c>
      <c r="G1568" t="s">
        <v>138</v>
      </c>
      <c r="H1568" s="9" t="s">
        <v>164</v>
      </c>
      <c r="I1568" t="s">
        <v>58</v>
      </c>
      <c r="J1568">
        <v>0</v>
      </c>
      <c r="K1568">
        <v>0</v>
      </c>
      <c r="L1568">
        <v>0</v>
      </c>
      <c r="M1568">
        <v>0</v>
      </c>
      <c r="N1568">
        <v>41.06</v>
      </c>
      <c r="P1568" t="s">
        <v>149</v>
      </c>
    </row>
    <row r="1569" spans="1:16" x14ac:dyDescent="0.25">
      <c r="A1569" s="39">
        <v>45421</v>
      </c>
      <c r="B1569" t="s">
        <v>40</v>
      </c>
      <c r="C1569" t="s">
        <v>8</v>
      </c>
      <c r="D1569" t="s">
        <v>397</v>
      </c>
      <c r="E1569" t="s">
        <v>60</v>
      </c>
      <c r="F1569" t="s">
        <v>200</v>
      </c>
      <c r="G1569" t="s">
        <v>138</v>
      </c>
      <c r="H1569" s="9" t="s">
        <v>165</v>
      </c>
      <c r="I1569" t="s">
        <v>58</v>
      </c>
      <c r="J1569">
        <v>0</v>
      </c>
      <c r="K1569">
        <v>0</v>
      </c>
      <c r="L1569">
        <v>0</v>
      </c>
      <c r="M1569">
        <v>0</v>
      </c>
      <c r="N1569">
        <v>14.92</v>
      </c>
      <c r="P1569" t="s">
        <v>153</v>
      </c>
    </row>
    <row r="1570" spans="1:16" x14ac:dyDescent="0.25">
      <c r="A1570" s="39">
        <v>45421</v>
      </c>
      <c r="B1570" t="s">
        <v>127</v>
      </c>
      <c r="C1570" t="s">
        <v>8</v>
      </c>
      <c r="D1570" t="s">
        <v>203</v>
      </c>
      <c r="E1570" t="s">
        <v>81</v>
      </c>
      <c r="F1570" t="s">
        <v>285</v>
      </c>
      <c r="G1570" t="s">
        <v>138</v>
      </c>
      <c r="H1570" s="9" t="s">
        <v>207</v>
      </c>
      <c r="I1570" t="s">
        <v>58</v>
      </c>
      <c r="J1570">
        <v>0</v>
      </c>
      <c r="K1570">
        <v>0</v>
      </c>
      <c r="L1570">
        <v>0</v>
      </c>
      <c r="M1570">
        <v>0</v>
      </c>
      <c r="N1570">
        <v>20.85</v>
      </c>
      <c r="P1570" t="s">
        <v>151</v>
      </c>
    </row>
    <row r="1571" spans="1:16" x14ac:dyDescent="0.25">
      <c r="A1571" s="39">
        <v>45421</v>
      </c>
      <c r="B1571" t="s">
        <v>124</v>
      </c>
      <c r="C1571" t="s">
        <v>8</v>
      </c>
      <c r="D1571" t="s">
        <v>340</v>
      </c>
      <c r="E1571" t="s">
        <v>126</v>
      </c>
      <c r="F1571" t="s">
        <v>199</v>
      </c>
      <c r="G1571" t="s">
        <v>138</v>
      </c>
      <c r="H1571" s="9" t="s">
        <v>166</v>
      </c>
      <c r="I1571" t="s">
        <v>58</v>
      </c>
      <c r="J1571">
        <v>0</v>
      </c>
      <c r="K1571">
        <v>0</v>
      </c>
      <c r="L1571">
        <v>0</v>
      </c>
      <c r="M1571">
        <v>0</v>
      </c>
      <c r="N1571">
        <v>39863813</v>
      </c>
      <c r="P1571" t="s">
        <v>149</v>
      </c>
    </row>
    <row r="1572" spans="1:16" x14ac:dyDescent="0.25">
      <c r="A1572" s="39">
        <v>45421</v>
      </c>
      <c r="B1572" t="s">
        <v>122</v>
      </c>
      <c r="C1572" t="s">
        <v>8</v>
      </c>
      <c r="D1572" t="s">
        <v>356</v>
      </c>
      <c r="E1572" t="s">
        <v>81</v>
      </c>
      <c r="F1572" t="s">
        <v>90</v>
      </c>
      <c r="G1572" t="s">
        <v>138</v>
      </c>
      <c r="H1572" s="9" t="s">
        <v>167</v>
      </c>
      <c r="I1572" t="s">
        <v>58</v>
      </c>
      <c r="J1572">
        <v>0</v>
      </c>
      <c r="K1572">
        <v>0</v>
      </c>
      <c r="L1572">
        <v>0</v>
      </c>
      <c r="M1572">
        <v>0</v>
      </c>
      <c r="N1572">
        <v>20.9</v>
      </c>
      <c r="P1572" t="s">
        <v>148</v>
      </c>
    </row>
    <row r="1573" spans="1:16" x14ac:dyDescent="0.25">
      <c r="A1573" s="39">
        <v>45421</v>
      </c>
      <c r="B1573" t="s">
        <v>120</v>
      </c>
      <c r="C1573" t="s">
        <v>8</v>
      </c>
      <c r="D1573" t="s">
        <v>333</v>
      </c>
      <c r="E1573" t="s">
        <v>375</v>
      </c>
      <c r="F1573" t="s">
        <v>285</v>
      </c>
      <c r="G1573" t="s">
        <v>138</v>
      </c>
      <c r="H1573" s="9" t="s">
        <v>121</v>
      </c>
      <c r="I1573" t="s">
        <v>58</v>
      </c>
      <c r="J1573">
        <v>0</v>
      </c>
      <c r="K1573">
        <v>0</v>
      </c>
      <c r="L1573">
        <v>0</v>
      </c>
      <c r="M1573">
        <v>0</v>
      </c>
      <c r="N1573">
        <v>41.69</v>
      </c>
      <c r="P1573" t="s">
        <v>151</v>
      </c>
    </row>
    <row r="1574" spans="1:16" x14ac:dyDescent="0.25">
      <c r="A1574" s="39">
        <v>45421</v>
      </c>
      <c r="B1574" t="s">
        <v>119</v>
      </c>
      <c r="C1574" t="s">
        <v>8</v>
      </c>
      <c r="D1574" t="s">
        <v>178</v>
      </c>
      <c r="E1574" t="s">
        <v>399</v>
      </c>
      <c r="F1574" t="s">
        <v>192</v>
      </c>
      <c r="G1574" t="s">
        <v>138</v>
      </c>
      <c r="H1574" s="9" t="s">
        <v>168</v>
      </c>
      <c r="I1574" t="s">
        <v>58</v>
      </c>
      <c r="J1574">
        <v>0</v>
      </c>
      <c r="K1574">
        <v>0</v>
      </c>
      <c r="L1574">
        <v>0</v>
      </c>
      <c r="M1574">
        <v>0</v>
      </c>
      <c r="N1574">
        <v>41.62</v>
      </c>
      <c r="P1574" t="s">
        <v>149</v>
      </c>
    </row>
    <row r="1575" spans="1:16" x14ac:dyDescent="0.25">
      <c r="A1575" s="39">
        <v>45421</v>
      </c>
      <c r="B1575" t="s">
        <v>117</v>
      </c>
      <c r="C1575" t="s">
        <v>8</v>
      </c>
      <c r="D1575" t="s">
        <v>349</v>
      </c>
      <c r="E1575" t="s">
        <v>398</v>
      </c>
      <c r="F1575" t="s">
        <v>90</v>
      </c>
      <c r="G1575" t="s">
        <v>138</v>
      </c>
      <c r="H1575" s="9" t="s">
        <v>118</v>
      </c>
      <c r="I1575" t="s">
        <v>58</v>
      </c>
      <c r="J1575">
        <v>0</v>
      </c>
      <c r="K1575">
        <v>0</v>
      </c>
      <c r="L1575">
        <v>0</v>
      </c>
      <c r="M1575">
        <v>0</v>
      </c>
      <c r="N1575">
        <v>34.69</v>
      </c>
      <c r="P1575" t="s">
        <v>151</v>
      </c>
    </row>
    <row r="1576" spans="1:16" x14ac:dyDescent="0.25">
      <c r="A1576" s="39">
        <v>45421</v>
      </c>
      <c r="B1576" t="s">
        <v>39</v>
      </c>
      <c r="C1576" t="s">
        <v>8</v>
      </c>
      <c r="D1576" t="s">
        <v>177</v>
      </c>
      <c r="E1576" t="s">
        <v>377</v>
      </c>
      <c r="F1576" t="s">
        <v>90</v>
      </c>
      <c r="G1576" t="s">
        <v>138</v>
      </c>
      <c r="H1576" s="9" t="s">
        <v>116</v>
      </c>
      <c r="I1576" t="s">
        <v>58</v>
      </c>
      <c r="J1576">
        <v>0</v>
      </c>
      <c r="K1576">
        <v>0</v>
      </c>
      <c r="L1576">
        <v>0</v>
      </c>
      <c r="M1576">
        <v>0</v>
      </c>
      <c r="N1576">
        <v>41.24</v>
      </c>
      <c r="P1576" t="s">
        <v>151</v>
      </c>
    </row>
    <row r="1577" spans="1:16" x14ac:dyDescent="0.25">
      <c r="A1577" s="39">
        <v>45421</v>
      </c>
      <c r="B1577" t="s">
        <v>113</v>
      </c>
      <c r="C1577" t="s">
        <v>8</v>
      </c>
      <c r="D1577" t="s">
        <v>188</v>
      </c>
      <c r="E1577" t="s">
        <v>126</v>
      </c>
      <c r="F1577" t="s">
        <v>199</v>
      </c>
      <c r="G1577" t="s">
        <v>138</v>
      </c>
      <c r="H1577" s="9" t="s">
        <v>114</v>
      </c>
      <c r="I1577" t="s">
        <v>58</v>
      </c>
      <c r="J1577">
        <v>0</v>
      </c>
      <c r="K1577">
        <v>0</v>
      </c>
      <c r="L1577">
        <v>0</v>
      </c>
      <c r="M1577">
        <v>0</v>
      </c>
      <c r="N1577">
        <v>41.35</v>
      </c>
      <c r="P1577" t="s">
        <v>149</v>
      </c>
    </row>
    <row r="1578" spans="1:16" x14ac:dyDescent="0.25">
      <c r="A1578" s="39">
        <v>45421</v>
      </c>
      <c r="B1578" t="s">
        <v>111</v>
      </c>
      <c r="C1578" t="s">
        <v>8</v>
      </c>
      <c r="D1578" t="s">
        <v>189</v>
      </c>
      <c r="E1578" t="s">
        <v>81</v>
      </c>
      <c r="F1578" t="s">
        <v>285</v>
      </c>
      <c r="G1578" t="s">
        <v>138</v>
      </c>
      <c r="H1578" s="9" t="s">
        <v>112</v>
      </c>
      <c r="I1578" t="s">
        <v>58</v>
      </c>
      <c r="J1578">
        <v>0</v>
      </c>
      <c r="K1578">
        <v>0</v>
      </c>
      <c r="L1578">
        <v>0</v>
      </c>
      <c r="M1578">
        <v>0</v>
      </c>
      <c r="N1578">
        <v>20.48</v>
      </c>
      <c r="P1578" t="s">
        <v>153</v>
      </c>
    </row>
    <row r="1579" spans="1:16" x14ac:dyDescent="0.25">
      <c r="A1579" s="39">
        <v>45421</v>
      </c>
      <c r="B1579" t="s">
        <v>109</v>
      </c>
      <c r="C1579" t="s">
        <v>8</v>
      </c>
      <c r="D1579" t="s">
        <v>142</v>
      </c>
      <c r="E1579" t="s">
        <v>56</v>
      </c>
      <c r="F1579" t="s">
        <v>199</v>
      </c>
      <c r="G1579" t="s">
        <v>138</v>
      </c>
      <c r="H1579" s="9" t="s">
        <v>110</v>
      </c>
      <c r="I1579" t="s">
        <v>58</v>
      </c>
      <c r="J1579">
        <v>0</v>
      </c>
      <c r="K1579">
        <v>0</v>
      </c>
      <c r="L1579">
        <v>0</v>
      </c>
      <c r="M1579">
        <v>0</v>
      </c>
      <c r="N1579">
        <v>41.05</v>
      </c>
      <c r="P1579" t="s">
        <v>149</v>
      </c>
    </row>
    <row r="1580" spans="1:16" x14ac:dyDescent="0.25">
      <c r="A1580" s="39">
        <v>45421</v>
      </c>
      <c r="B1580" t="s">
        <v>107</v>
      </c>
      <c r="C1580" t="s">
        <v>8</v>
      </c>
      <c r="D1580" t="s">
        <v>401</v>
      </c>
      <c r="E1580" t="s">
        <v>56</v>
      </c>
      <c r="F1580" t="s">
        <v>93</v>
      </c>
      <c r="G1580" t="s">
        <v>138</v>
      </c>
      <c r="H1580" s="9" t="s">
        <v>108</v>
      </c>
      <c r="I1580" t="s">
        <v>58</v>
      </c>
      <c r="J1580">
        <v>0</v>
      </c>
      <c r="K1580">
        <v>0</v>
      </c>
      <c r="L1580">
        <v>0</v>
      </c>
      <c r="M1580">
        <v>0</v>
      </c>
      <c r="N1580">
        <v>12.09</v>
      </c>
      <c r="P1580" t="s">
        <v>403</v>
      </c>
    </row>
    <row r="1581" spans="1:16" x14ac:dyDescent="0.25">
      <c r="A1581" s="39">
        <v>45421</v>
      </c>
      <c r="B1581" t="s">
        <v>41</v>
      </c>
      <c r="C1581" t="s">
        <v>8</v>
      </c>
      <c r="D1581" t="s">
        <v>123</v>
      </c>
      <c r="E1581" t="s">
        <v>81</v>
      </c>
      <c r="F1581" t="s">
        <v>285</v>
      </c>
      <c r="G1581" t="s">
        <v>138</v>
      </c>
      <c r="H1581" s="9" t="s">
        <v>106</v>
      </c>
      <c r="I1581" t="s">
        <v>58</v>
      </c>
      <c r="J1581">
        <v>0</v>
      </c>
      <c r="K1581">
        <v>0</v>
      </c>
      <c r="L1581">
        <v>0</v>
      </c>
      <c r="M1581">
        <v>0</v>
      </c>
      <c r="N1581">
        <v>17.88</v>
      </c>
      <c r="P1581" t="s">
        <v>152</v>
      </c>
    </row>
    <row r="1582" spans="1:16" x14ac:dyDescent="0.25">
      <c r="A1582" s="39">
        <v>45421</v>
      </c>
      <c r="B1582" t="s">
        <v>43</v>
      </c>
      <c r="C1582" t="s">
        <v>8</v>
      </c>
      <c r="D1582" t="s">
        <v>282</v>
      </c>
      <c r="E1582" t="s">
        <v>275</v>
      </c>
      <c r="F1582" t="s">
        <v>276</v>
      </c>
      <c r="G1582" t="s">
        <v>138</v>
      </c>
      <c r="H1582" s="9" t="s">
        <v>208</v>
      </c>
      <c r="I1582" t="s">
        <v>58</v>
      </c>
      <c r="J1582">
        <v>0</v>
      </c>
      <c r="K1582">
        <v>0</v>
      </c>
      <c r="L1582">
        <v>0</v>
      </c>
      <c r="M1582">
        <v>0</v>
      </c>
      <c r="N1582">
        <v>17.25</v>
      </c>
      <c r="P1582" t="s">
        <v>154</v>
      </c>
    </row>
    <row r="1583" spans="1:16" x14ac:dyDescent="0.25">
      <c r="A1583" s="39">
        <v>45421</v>
      </c>
      <c r="B1583" t="s">
        <v>5</v>
      </c>
      <c r="C1583" t="s">
        <v>8</v>
      </c>
      <c r="D1583" t="s">
        <v>283</v>
      </c>
      <c r="E1583" t="s">
        <v>60</v>
      </c>
      <c r="F1583" t="s">
        <v>285</v>
      </c>
      <c r="G1583" t="s">
        <v>138</v>
      </c>
      <c r="H1583" s="9">
        <v>11</v>
      </c>
      <c r="I1583" t="s">
        <v>58</v>
      </c>
      <c r="J1583">
        <v>0</v>
      </c>
      <c r="K1583">
        <v>0</v>
      </c>
      <c r="L1583">
        <v>0</v>
      </c>
      <c r="M1583">
        <v>0</v>
      </c>
      <c r="N1583">
        <v>16.46</v>
      </c>
      <c r="P1583" t="s">
        <v>153</v>
      </c>
    </row>
    <row r="1584" spans="1:16" x14ac:dyDescent="0.25">
      <c r="A1584" s="39">
        <v>45421</v>
      </c>
      <c r="B1584" t="s">
        <v>9</v>
      </c>
      <c r="C1584" t="s">
        <v>8</v>
      </c>
      <c r="D1584" t="s">
        <v>189</v>
      </c>
      <c r="E1584" t="s">
        <v>360</v>
      </c>
      <c r="F1584" t="s">
        <v>276</v>
      </c>
      <c r="G1584" t="s">
        <v>138</v>
      </c>
      <c r="H1584" s="9">
        <v>12</v>
      </c>
      <c r="I1584" t="s">
        <v>58</v>
      </c>
      <c r="J1584">
        <v>0</v>
      </c>
      <c r="K1584">
        <v>0</v>
      </c>
      <c r="L1584">
        <v>0</v>
      </c>
      <c r="M1584">
        <v>0</v>
      </c>
      <c r="N1584">
        <v>23.18</v>
      </c>
      <c r="P1584" t="s">
        <v>153</v>
      </c>
    </row>
    <row r="1585" spans="1:16" x14ac:dyDescent="0.25">
      <c r="A1585" s="39">
        <v>45421</v>
      </c>
      <c r="B1585" t="s">
        <v>10</v>
      </c>
      <c r="C1585" t="s">
        <v>8</v>
      </c>
      <c r="D1585" t="s">
        <v>263</v>
      </c>
      <c r="E1585" t="s">
        <v>342</v>
      </c>
      <c r="F1585" t="s">
        <v>90</v>
      </c>
      <c r="G1585" t="s">
        <v>138</v>
      </c>
      <c r="H1585" s="9">
        <v>13</v>
      </c>
      <c r="I1585" t="s">
        <v>58</v>
      </c>
      <c r="J1585">
        <v>0</v>
      </c>
      <c r="K1585">
        <v>0</v>
      </c>
      <c r="L1585">
        <v>0</v>
      </c>
      <c r="M1585">
        <v>0</v>
      </c>
      <c r="N1585">
        <v>74.34</v>
      </c>
      <c r="P1585" t="s">
        <v>151</v>
      </c>
    </row>
    <row r="1586" spans="1:16" x14ac:dyDescent="0.25">
      <c r="A1586" s="39">
        <v>45421</v>
      </c>
      <c r="B1586" t="s">
        <v>11</v>
      </c>
      <c r="C1586" t="s">
        <v>8</v>
      </c>
      <c r="D1586" t="s">
        <v>205</v>
      </c>
      <c r="E1586" t="s">
        <v>60</v>
      </c>
      <c r="F1586" t="s">
        <v>93</v>
      </c>
      <c r="G1586" t="s">
        <v>138</v>
      </c>
      <c r="H1586" s="9">
        <v>14</v>
      </c>
      <c r="I1586" t="s">
        <v>58</v>
      </c>
      <c r="J1586">
        <v>0</v>
      </c>
      <c r="K1586">
        <v>0</v>
      </c>
      <c r="L1586">
        <v>0</v>
      </c>
      <c r="M1586">
        <v>0</v>
      </c>
      <c r="N1586">
        <v>11.39</v>
      </c>
      <c r="P1586" t="s">
        <v>147</v>
      </c>
    </row>
    <row r="1587" spans="1:16" x14ac:dyDescent="0.25">
      <c r="A1587" s="39">
        <v>45421</v>
      </c>
      <c r="B1587" t="s">
        <v>12</v>
      </c>
      <c r="C1587" t="s">
        <v>8</v>
      </c>
      <c r="D1587" t="s">
        <v>286</v>
      </c>
      <c r="E1587" t="s">
        <v>60</v>
      </c>
      <c r="F1587" t="s">
        <v>285</v>
      </c>
      <c r="G1587" t="s">
        <v>138</v>
      </c>
      <c r="H1587" s="9">
        <v>15</v>
      </c>
      <c r="I1587" t="s">
        <v>58</v>
      </c>
      <c r="J1587">
        <v>0</v>
      </c>
      <c r="K1587">
        <v>0</v>
      </c>
      <c r="L1587">
        <v>0</v>
      </c>
      <c r="M1587">
        <v>0</v>
      </c>
      <c r="N1587">
        <v>11.98</v>
      </c>
      <c r="P1587" t="s">
        <v>154</v>
      </c>
    </row>
    <row r="1588" spans="1:16" x14ac:dyDescent="0.25">
      <c r="A1588" s="39">
        <v>45421</v>
      </c>
      <c r="B1588" t="s">
        <v>105</v>
      </c>
      <c r="C1588" t="s">
        <v>8</v>
      </c>
      <c r="D1588" t="s">
        <v>267</v>
      </c>
      <c r="E1588" t="s">
        <v>60</v>
      </c>
      <c r="F1588" t="s">
        <v>93</v>
      </c>
      <c r="G1588" t="s">
        <v>138</v>
      </c>
      <c r="H1588" s="9">
        <v>16</v>
      </c>
      <c r="I1588" t="s">
        <v>58</v>
      </c>
      <c r="J1588">
        <v>0</v>
      </c>
      <c r="K1588">
        <v>0</v>
      </c>
      <c r="L1588">
        <v>0</v>
      </c>
      <c r="M1588">
        <v>0</v>
      </c>
      <c r="N1588">
        <v>12.39</v>
      </c>
      <c r="P1588" t="s">
        <v>147</v>
      </c>
    </row>
    <row r="1589" spans="1:16" x14ac:dyDescent="0.25">
      <c r="A1589" s="39">
        <v>45421</v>
      </c>
      <c r="B1589" t="s">
        <v>104</v>
      </c>
      <c r="C1589" t="s">
        <v>8</v>
      </c>
      <c r="D1589" t="s">
        <v>143</v>
      </c>
      <c r="E1589" t="s">
        <v>60</v>
      </c>
      <c r="F1589" t="s">
        <v>285</v>
      </c>
      <c r="G1589" t="s">
        <v>138</v>
      </c>
      <c r="H1589" s="9">
        <v>17</v>
      </c>
      <c r="I1589" t="s">
        <v>58</v>
      </c>
      <c r="J1589">
        <v>0</v>
      </c>
      <c r="K1589">
        <v>0</v>
      </c>
      <c r="L1589">
        <v>0</v>
      </c>
      <c r="M1589">
        <v>0</v>
      </c>
      <c r="N1589">
        <v>13.96</v>
      </c>
      <c r="P1589" t="s">
        <v>154</v>
      </c>
    </row>
    <row r="1590" spans="1:16" x14ac:dyDescent="0.25">
      <c r="A1590" s="39">
        <v>45421</v>
      </c>
      <c r="B1590" t="s">
        <v>13</v>
      </c>
      <c r="C1590" t="s">
        <v>8</v>
      </c>
      <c r="D1590" t="s">
        <v>350</v>
      </c>
      <c r="E1590" t="s">
        <v>60</v>
      </c>
      <c r="F1590" t="s">
        <v>93</v>
      </c>
      <c r="G1590" t="s">
        <v>138</v>
      </c>
      <c r="H1590" s="9">
        <v>18</v>
      </c>
      <c r="I1590" t="s">
        <v>58</v>
      </c>
      <c r="J1590">
        <v>0</v>
      </c>
      <c r="K1590">
        <v>0</v>
      </c>
      <c r="L1590">
        <v>0</v>
      </c>
      <c r="M1590">
        <v>0</v>
      </c>
      <c r="N1590">
        <v>12.4</v>
      </c>
      <c r="P1590" t="s">
        <v>147</v>
      </c>
    </row>
    <row r="1591" spans="1:16" x14ac:dyDescent="0.25">
      <c r="A1591" s="39">
        <v>45421</v>
      </c>
      <c r="B1591" t="s">
        <v>103</v>
      </c>
      <c r="C1591" t="s">
        <v>8</v>
      </c>
      <c r="D1591" t="s">
        <v>179</v>
      </c>
      <c r="E1591" t="s">
        <v>81</v>
      </c>
      <c r="F1591" t="s">
        <v>90</v>
      </c>
      <c r="G1591" t="s">
        <v>138</v>
      </c>
      <c r="H1591" s="9">
        <v>19</v>
      </c>
      <c r="I1591" t="s">
        <v>65</v>
      </c>
      <c r="J1591">
        <v>0</v>
      </c>
      <c r="K1591">
        <v>0</v>
      </c>
      <c r="L1591">
        <v>0</v>
      </c>
      <c r="M1591">
        <v>0</v>
      </c>
      <c r="N1591">
        <v>41.9</v>
      </c>
      <c r="P1591" t="s">
        <v>187</v>
      </c>
    </row>
    <row r="1592" spans="1:16" x14ac:dyDescent="0.25">
      <c r="A1592" s="39">
        <v>45421</v>
      </c>
      <c r="B1592" t="s">
        <v>101</v>
      </c>
      <c r="C1592" t="s">
        <v>8</v>
      </c>
      <c r="D1592" t="s">
        <v>405</v>
      </c>
      <c r="E1592" t="s">
        <v>81</v>
      </c>
      <c r="F1592" t="s">
        <v>285</v>
      </c>
      <c r="G1592" t="s">
        <v>138</v>
      </c>
      <c r="H1592" s="9" t="s">
        <v>102</v>
      </c>
      <c r="I1592" t="s">
        <v>58</v>
      </c>
      <c r="J1592">
        <v>0</v>
      </c>
      <c r="K1592">
        <v>0</v>
      </c>
      <c r="L1592">
        <v>0</v>
      </c>
      <c r="M1592">
        <v>0</v>
      </c>
      <c r="N1592">
        <v>19.600000000000001</v>
      </c>
      <c r="P1592" t="s">
        <v>151</v>
      </c>
    </row>
    <row r="1593" spans="1:16" x14ac:dyDescent="0.25">
      <c r="A1593" s="39">
        <v>45421</v>
      </c>
      <c r="B1593" t="s">
        <v>99</v>
      </c>
      <c r="C1593" t="s">
        <v>8</v>
      </c>
      <c r="D1593" t="s">
        <v>249</v>
      </c>
      <c r="E1593" t="s">
        <v>81</v>
      </c>
      <c r="F1593" t="s">
        <v>90</v>
      </c>
      <c r="G1593" t="s">
        <v>138</v>
      </c>
      <c r="H1593" s="9" t="s">
        <v>100</v>
      </c>
      <c r="J1593">
        <v>0</v>
      </c>
      <c r="K1593">
        <v>0</v>
      </c>
      <c r="L1593">
        <v>0</v>
      </c>
      <c r="M1593">
        <v>0</v>
      </c>
      <c r="N1593">
        <v>41.83</v>
      </c>
      <c r="P1593" t="s">
        <v>152</v>
      </c>
    </row>
    <row r="1594" spans="1:16" x14ac:dyDescent="0.25">
      <c r="A1594" s="39">
        <v>45421</v>
      </c>
      <c r="B1594" t="s">
        <v>97</v>
      </c>
      <c r="C1594" t="s">
        <v>8</v>
      </c>
      <c r="D1594" t="s">
        <v>288</v>
      </c>
      <c r="E1594" t="s">
        <v>352</v>
      </c>
      <c r="F1594" t="s">
        <v>285</v>
      </c>
      <c r="G1594" t="s">
        <v>138</v>
      </c>
      <c r="H1594" s="9" t="s">
        <v>98</v>
      </c>
      <c r="I1594" t="s">
        <v>58</v>
      </c>
      <c r="J1594">
        <v>0</v>
      </c>
      <c r="K1594">
        <v>0</v>
      </c>
      <c r="L1594">
        <v>0</v>
      </c>
      <c r="M1594">
        <v>0</v>
      </c>
      <c r="N1594">
        <v>22.49</v>
      </c>
      <c r="P1594" t="s">
        <v>148</v>
      </c>
    </row>
    <row r="1595" spans="1:16" x14ac:dyDescent="0.25">
      <c r="A1595" s="39">
        <v>45421</v>
      </c>
      <c r="B1595" t="s">
        <v>95</v>
      </c>
      <c r="C1595" t="s">
        <v>8</v>
      </c>
      <c r="D1595" t="s">
        <v>181</v>
      </c>
      <c r="E1595" t="s">
        <v>81</v>
      </c>
      <c r="F1595" t="s">
        <v>90</v>
      </c>
      <c r="G1595" t="s">
        <v>138</v>
      </c>
      <c r="H1595" s="9" t="s">
        <v>96</v>
      </c>
      <c r="I1595" t="s">
        <v>65</v>
      </c>
      <c r="J1595">
        <v>0</v>
      </c>
      <c r="K1595">
        <v>0</v>
      </c>
      <c r="L1595">
        <v>0</v>
      </c>
      <c r="M1595">
        <v>0</v>
      </c>
      <c r="N1595">
        <v>20.38</v>
      </c>
      <c r="P1595" t="s">
        <v>152</v>
      </c>
    </row>
    <row r="1596" spans="1:16" x14ac:dyDescent="0.25">
      <c r="A1596" s="39">
        <v>45421</v>
      </c>
      <c r="B1596" t="s">
        <v>14</v>
      </c>
      <c r="C1596" t="s">
        <v>8</v>
      </c>
      <c r="D1596" t="s">
        <v>289</v>
      </c>
      <c r="E1596" t="s">
        <v>352</v>
      </c>
      <c r="F1596" t="s">
        <v>285</v>
      </c>
      <c r="G1596" t="s">
        <v>138</v>
      </c>
      <c r="H1596" s="9" t="s">
        <v>94</v>
      </c>
      <c r="I1596" t="s">
        <v>58</v>
      </c>
      <c r="J1596">
        <v>0</v>
      </c>
      <c r="K1596">
        <v>0</v>
      </c>
      <c r="L1596">
        <v>0</v>
      </c>
      <c r="M1596">
        <v>0</v>
      </c>
      <c r="N1596">
        <v>25.88</v>
      </c>
      <c r="P1596" t="s">
        <v>151</v>
      </c>
    </row>
    <row r="1597" spans="1:16" x14ac:dyDescent="0.25">
      <c r="A1597" s="39">
        <v>45421</v>
      </c>
      <c r="B1597" t="s">
        <v>91</v>
      </c>
      <c r="C1597" t="s">
        <v>8</v>
      </c>
      <c r="D1597" t="s">
        <v>180</v>
      </c>
      <c r="E1597" t="s">
        <v>81</v>
      </c>
      <c r="F1597" t="s">
        <v>90</v>
      </c>
      <c r="G1597" t="s">
        <v>138</v>
      </c>
      <c r="H1597" s="9" t="s">
        <v>92</v>
      </c>
      <c r="J1597">
        <v>0</v>
      </c>
      <c r="K1597">
        <v>0</v>
      </c>
      <c r="L1597">
        <v>0</v>
      </c>
      <c r="M1597">
        <v>0</v>
      </c>
      <c r="N1597">
        <v>16.73</v>
      </c>
      <c r="P1597" t="s">
        <v>148</v>
      </c>
    </row>
    <row r="1598" spans="1:16" x14ac:dyDescent="0.25">
      <c r="A1598" s="39">
        <v>45421</v>
      </c>
      <c r="B1598" t="s">
        <v>15</v>
      </c>
      <c r="C1598" t="s">
        <v>8</v>
      </c>
      <c r="D1598" t="s">
        <v>140</v>
      </c>
      <c r="E1598" t="s">
        <v>81</v>
      </c>
      <c r="F1598" t="s">
        <v>285</v>
      </c>
      <c r="G1598" t="s">
        <v>138</v>
      </c>
      <c r="H1598" s="9">
        <v>20</v>
      </c>
      <c r="I1598" t="s">
        <v>58</v>
      </c>
      <c r="J1598">
        <v>0</v>
      </c>
      <c r="K1598">
        <v>0</v>
      </c>
      <c r="L1598">
        <v>0</v>
      </c>
      <c r="M1598">
        <v>0</v>
      </c>
      <c r="N1598">
        <v>20.190000000000001</v>
      </c>
      <c r="P1598" t="s">
        <v>148</v>
      </c>
    </row>
    <row r="1599" spans="1:16" x14ac:dyDescent="0.25">
      <c r="A1599" s="39">
        <v>45421</v>
      </c>
      <c r="B1599" t="s">
        <v>89</v>
      </c>
      <c r="C1599" t="s">
        <v>8</v>
      </c>
      <c r="D1599" t="s">
        <v>176</v>
      </c>
      <c r="E1599" t="s">
        <v>398</v>
      </c>
      <c r="F1599" t="s">
        <v>90</v>
      </c>
      <c r="G1599" t="s">
        <v>138</v>
      </c>
      <c r="H1599" s="9">
        <v>21</v>
      </c>
      <c r="I1599" t="s">
        <v>65</v>
      </c>
      <c r="J1599">
        <v>0</v>
      </c>
      <c r="K1599">
        <v>0</v>
      </c>
      <c r="L1599">
        <v>0</v>
      </c>
      <c r="M1599">
        <v>0</v>
      </c>
      <c r="N1599">
        <v>17.670000000000002</v>
      </c>
      <c r="P1599" t="s">
        <v>186</v>
      </c>
    </row>
    <row r="1600" spans="1:16" x14ac:dyDescent="0.25">
      <c r="A1600" s="39">
        <v>45421</v>
      </c>
      <c r="B1600" t="s">
        <v>16</v>
      </c>
      <c r="C1600" t="s">
        <v>8</v>
      </c>
      <c r="D1600" t="s">
        <v>407</v>
      </c>
      <c r="E1600" t="s">
        <v>360</v>
      </c>
      <c r="F1600" t="s">
        <v>253</v>
      </c>
      <c r="G1600" t="s">
        <v>138</v>
      </c>
      <c r="H1600" s="9">
        <v>22</v>
      </c>
      <c r="I1600" t="s">
        <v>58</v>
      </c>
      <c r="J1600">
        <v>0</v>
      </c>
      <c r="K1600">
        <v>0</v>
      </c>
      <c r="L1600">
        <v>0</v>
      </c>
      <c r="M1600">
        <v>0</v>
      </c>
      <c r="N1600">
        <v>21.19</v>
      </c>
      <c r="P1600" t="s">
        <v>151</v>
      </c>
    </row>
    <row r="1601" spans="1:16" x14ac:dyDescent="0.25">
      <c r="A1601" s="39">
        <v>45421</v>
      </c>
      <c r="B1601" t="s">
        <v>88</v>
      </c>
      <c r="C1601" t="s">
        <v>8</v>
      </c>
      <c r="D1601" t="s">
        <v>311</v>
      </c>
      <c r="E1601" t="s">
        <v>60</v>
      </c>
      <c r="F1601" t="s">
        <v>253</v>
      </c>
      <c r="G1601" t="s">
        <v>138</v>
      </c>
      <c r="H1601" s="9">
        <v>23</v>
      </c>
      <c r="J1601">
        <v>0</v>
      </c>
      <c r="K1601">
        <v>0</v>
      </c>
      <c r="L1601">
        <v>0</v>
      </c>
      <c r="M1601">
        <v>0</v>
      </c>
      <c r="N1601">
        <v>38.44</v>
      </c>
      <c r="P1601" t="s">
        <v>154</v>
      </c>
    </row>
    <row r="1602" spans="1:16" x14ac:dyDescent="0.25">
      <c r="A1602" s="39">
        <v>45421</v>
      </c>
      <c r="B1602" t="s">
        <v>17</v>
      </c>
      <c r="C1602" t="s">
        <v>8</v>
      </c>
      <c r="D1602" t="s">
        <v>272</v>
      </c>
      <c r="E1602" t="s">
        <v>275</v>
      </c>
      <c r="F1602" t="s">
        <v>276</v>
      </c>
      <c r="G1602" t="s">
        <v>138</v>
      </c>
      <c r="H1602" s="9">
        <v>24</v>
      </c>
      <c r="I1602" t="s">
        <v>58</v>
      </c>
      <c r="J1602">
        <v>0</v>
      </c>
      <c r="K1602">
        <v>0</v>
      </c>
      <c r="L1602">
        <v>0</v>
      </c>
      <c r="M1602">
        <v>0</v>
      </c>
      <c r="N1602">
        <v>20.56</v>
      </c>
      <c r="P1602" t="s">
        <v>151</v>
      </c>
    </row>
    <row r="1603" spans="1:16" x14ac:dyDescent="0.25">
      <c r="A1603" s="39">
        <v>45421</v>
      </c>
      <c r="B1603" t="s">
        <v>19</v>
      </c>
      <c r="C1603" t="s">
        <v>8</v>
      </c>
      <c r="D1603" t="s">
        <v>343</v>
      </c>
      <c r="E1603" t="s">
        <v>81</v>
      </c>
      <c r="F1603" t="s">
        <v>253</v>
      </c>
      <c r="G1603" t="s">
        <v>138</v>
      </c>
      <c r="H1603" s="9">
        <v>25</v>
      </c>
      <c r="I1603" t="s">
        <v>65</v>
      </c>
      <c r="J1603">
        <v>0</v>
      </c>
      <c r="K1603">
        <v>0</v>
      </c>
      <c r="L1603">
        <v>0</v>
      </c>
      <c r="M1603">
        <v>0</v>
      </c>
      <c r="N1603">
        <v>41.06</v>
      </c>
      <c r="P1603" t="s">
        <v>151</v>
      </c>
    </row>
    <row r="1604" spans="1:16" x14ac:dyDescent="0.25">
      <c r="A1604" s="39">
        <v>45421</v>
      </c>
      <c r="B1604" t="s">
        <v>18</v>
      </c>
      <c r="C1604" t="s">
        <v>8</v>
      </c>
      <c r="D1604" t="s">
        <v>268</v>
      </c>
      <c r="E1604" t="s">
        <v>408</v>
      </c>
      <c r="F1604" t="s">
        <v>253</v>
      </c>
      <c r="G1604" t="s">
        <v>138</v>
      </c>
      <c r="H1604" s="9">
        <v>26</v>
      </c>
      <c r="I1604" t="s">
        <v>58</v>
      </c>
      <c r="J1604">
        <v>0</v>
      </c>
      <c r="K1604">
        <v>0</v>
      </c>
      <c r="L1604">
        <v>0</v>
      </c>
      <c r="M1604">
        <v>0</v>
      </c>
      <c r="N1604">
        <v>18.89</v>
      </c>
      <c r="P1604" t="s">
        <v>148</v>
      </c>
    </row>
    <row r="1605" spans="1:16" x14ac:dyDescent="0.25">
      <c r="A1605" s="39">
        <v>45421</v>
      </c>
      <c r="B1605" t="s">
        <v>87</v>
      </c>
      <c r="C1605" t="s">
        <v>8</v>
      </c>
      <c r="G1605" t="s">
        <v>138</v>
      </c>
      <c r="H1605" s="9">
        <v>27</v>
      </c>
      <c r="J1605">
        <v>0</v>
      </c>
      <c r="K1605">
        <v>0</v>
      </c>
      <c r="L1605">
        <v>0</v>
      </c>
      <c r="M1605">
        <v>0</v>
      </c>
      <c r="N1605">
        <v>41146219</v>
      </c>
    </row>
    <row r="1606" spans="1:16" x14ac:dyDescent="0.25">
      <c r="A1606" s="39">
        <v>45421</v>
      </c>
      <c r="B1606" t="s">
        <v>42</v>
      </c>
      <c r="C1606" t="s">
        <v>8</v>
      </c>
      <c r="D1606" t="s">
        <v>246</v>
      </c>
      <c r="E1606" t="s">
        <v>81</v>
      </c>
      <c r="F1606" t="s">
        <v>285</v>
      </c>
      <c r="G1606" t="s">
        <v>138</v>
      </c>
      <c r="H1606" s="9">
        <v>28</v>
      </c>
      <c r="I1606" t="s">
        <v>58</v>
      </c>
      <c r="J1606">
        <v>0</v>
      </c>
      <c r="K1606">
        <v>0</v>
      </c>
      <c r="L1606">
        <v>0</v>
      </c>
      <c r="M1606">
        <v>0</v>
      </c>
      <c r="N1606">
        <v>20.7</v>
      </c>
      <c r="P1606" t="s">
        <v>148</v>
      </c>
    </row>
    <row r="1607" spans="1:16" x14ac:dyDescent="0.25">
      <c r="A1607" s="39">
        <v>45421</v>
      </c>
      <c r="B1607" t="s">
        <v>86</v>
      </c>
      <c r="C1607" t="s">
        <v>8</v>
      </c>
      <c r="D1607" t="s">
        <v>271</v>
      </c>
      <c r="E1607" t="s">
        <v>275</v>
      </c>
      <c r="F1607" t="s">
        <v>276</v>
      </c>
      <c r="G1607" t="s">
        <v>138</v>
      </c>
      <c r="H1607" s="9">
        <v>29</v>
      </c>
      <c r="I1607" t="s">
        <v>65</v>
      </c>
      <c r="J1607">
        <v>0</v>
      </c>
      <c r="K1607">
        <v>0</v>
      </c>
      <c r="L1607">
        <v>0</v>
      </c>
      <c r="M1607">
        <v>0</v>
      </c>
      <c r="N1607">
        <v>41.64</v>
      </c>
      <c r="P1607" t="s">
        <v>152</v>
      </c>
    </row>
    <row r="1608" spans="1:16" x14ac:dyDescent="0.25">
      <c r="A1608" s="39">
        <v>45421</v>
      </c>
      <c r="B1608" t="s">
        <v>38</v>
      </c>
      <c r="C1608" t="s">
        <v>8</v>
      </c>
      <c r="D1608" t="s">
        <v>141</v>
      </c>
      <c r="E1608" t="s">
        <v>81</v>
      </c>
      <c r="F1608" t="s">
        <v>285</v>
      </c>
      <c r="G1608" t="s">
        <v>138</v>
      </c>
      <c r="H1608" s="9" t="s">
        <v>85</v>
      </c>
      <c r="I1608" t="s">
        <v>58</v>
      </c>
      <c r="J1608">
        <v>0</v>
      </c>
      <c r="K1608">
        <v>0</v>
      </c>
      <c r="L1608">
        <v>0</v>
      </c>
      <c r="M1608">
        <v>0</v>
      </c>
      <c r="N1608">
        <v>37.5</v>
      </c>
      <c r="P1608" t="s">
        <v>151</v>
      </c>
    </row>
    <row r="1609" spans="1:16" x14ac:dyDescent="0.25">
      <c r="A1609" s="39">
        <v>45421</v>
      </c>
      <c r="B1609" t="s">
        <v>83</v>
      </c>
      <c r="C1609" t="s">
        <v>8</v>
      </c>
      <c r="G1609" t="s">
        <v>138</v>
      </c>
      <c r="H1609" s="9" t="s">
        <v>84</v>
      </c>
      <c r="J1609">
        <v>0</v>
      </c>
      <c r="K1609">
        <v>0</v>
      </c>
      <c r="L1609">
        <v>0</v>
      </c>
      <c r="M1609">
        <v>0</v>
      </c>
      <c r="N1609">
        <v>41.36</v>
      </c>
    </row>
    <row r="1610" spans="1:16" x14ac:dyDescent="0.25">
      <c r="A1610" s="39">
        <v>45421</v>
      </c>
      <c r="B1610" t="s">
        <v>20</v>
      </c>
      <c r="C1610" t="s">
        <v>8</v>
      </c>
      <c r="D1610" t="s">
        <v>351</v>
      </c>
      <c r="E1610" t="s">
        <v>352</v>
      </c>
      <c r="F1610" t="s">
        <v>285</v>
      </c>
      <c r="G1610" t="s">
        <v>138</v>
      </c>
      <c r="H1610" s="9" t="s">
        <v>82</v>
      </c>
      <c r="I1610" t="s">
        <v>58</v>
      </c>
      <c r="J1610">
        <v>0</v>
      </c>
      <c r="K1610">
        <v>0</v>
      </c>
      <c r="L1610">
        <v>0</v>
      </c>
      <c r="M1610">
        <v>0</v>
      </c>
      <c r="N1610">
        <v>22.79</v>
      </c>
      <c r="P1610" t="s">
        <v>151</v>
      </c>
    </row>
    <row r="1611" spans="1:16" x14ac:dyDescent="0.25">
      <c r="A1611" s="39">
        <v>45421</v>
      </c>
      <c r="B1611" t="s">
        <v>21</v>
      </c>
      <c r="C1611" t="s">
        <v>8</v>
      </c>
      <c r="D1611" t="s">
        <v>291</v>
      </c>
      <c r="E1611" t="s">
        <v>352</v>
      </c>
      <c r="F1611" t="s">
        <v>285</v>
      </c>
      <c r="G1611" t="s">
        <v>138</v>
      </c>
      <c r="H1611" s="9" t="s">
        <v>80</v>
      </c>
      <c r="I1611" t="s">
        <v>65</v>
      </c>
      <c r="J1611">
        <v>0</v>
      </c>
      <c r="K1611">
        <v>0</v>
      </c>
      <c r="L1611">
        <v>0</v>
      </c>
      <c r="M1611">
        <v>0</v>
      </c>
      <c r="N1611">
        <v>21.59</v>
      </c>
      <c r="P1611" t="s">
        <v>152</v>
      </c>
    </row>
    <row r="1612" spans="1:16" x14ac:dyDescent="0.25">
      <c r="A1612" s="39">
        <v>45421</v>
      </c>
      <c r="B1612" t="s">
        <v>22</v>
      </c>
      <c r="C1612" t="s">
        <v>8</v>
      </c>
      <c r="D1612" t="s">
        <v>353</v>
      </c>
      <c r="E1612" t="s">
        <v>352</v>
      </c>
      <c r="F1612" t="s">
        <v>285</v>
      </c>
      <c r="G1612" t="s">
        <v>138</v>
      </c>
      <c r="H1612" s="9" t="s">
        <v>79</v>
      </c>
      <c r="I1612" t="s">
        <v>58</v>
      </c>
      <c r="J1612">
        <v>0</v>
      </c>
      <c r="K1612">
        <v>0</v>
      </c>
      <c r="L1612">
        <v>0</v>
      </c>
      <c r="M1612">
        <v>0</v>
      </c>
      <c r="N1612">
        <v>13.62</v>
      </c>
      <c r="P1612" t="s">
        <v>148</v>
      </c>
    </row>
    <row r="1613" spans="1:16" x14ac:dyDescent="0.25">
      <c r="A1613" s="39">
        <v>45421</v>
      </c>
      <c r="B1613" t="s">
        <v>77</v>
      </c>
      <c r="C1613" t="s">
        <v>8</v>
      </c>
      <c r="G1613" t="s">
        <v>138</v>
      </c>
      <c r="H1613" s="9" t="s">
        <v>78</v>
      </c>
      <c r="J1613">
        <v>0</v>
      </c>
      <c r="K1613">
        <v>0</v>
      </c>
      <c r="L1613">
        <v>0</v>
      </c>
      <c r="M1613">
        <v>0</v>
      </c>
      <c r="N1613">
        <v>17.88</v>
      </c>
    </row>
    <row r="1614" spans="1:16" x14ac:dyDescent="0.25">
      <c r="A1614" s="39">
        <v>45421</v>
      </c>
      <c r="B1614" t="s">
        <v>23</v>
      </c>
      <c r="C1614" t="s">
        <v>8</v>
      </c>
      <c r="D1614" t="s">
        <v>409</v>
      </c>
      <c r="E1614" t="s">
        <v>352</v>
      </c>
      <c r="F1614" t="s">
        <v>285</v>
      </c>
      <c r="G1614" t="s">
        <v>138</v>
      </c>
      <c r="H1614" s="9">
        <v>30</v>
      </c>
      <c r="I1614" t="s">
        <v>58</v>
      </c>
      <c r="J1614">
        <v>0</v>
      </c>
      <c r="K1614">
        <v>0</v>
      </c>
      <c r="L1614">
        <v>0</v>
      </c>
      <c r="M1614">
        <v>0</v>
      </c>
      <c r="N1614">
        <v>23.22</v>
      </c>
      <c r="P1614" t="s">
        <v>148</v>
      </c>
    </row>
    <row r="1615" spans="1:16" x14ac:dyDescent="0.25">
      <c r="A1615" s="39">
        <v>45421</v>
      </c>
      <c r="B1615" t="s">
        <v>24</v>
      </c>
      <c r="C1615" t="s">
        <v>8</v>
      </c>
      <c r="D1615" t="s">
        <v>344</v>
      </c>
      <c r="E1615" t="s">
        <v>379</v>
      </c>
      <c r="F1615" t="s">
        <v>253</v>
      </c>
      <c r="G1615" t="s">
        <v>138</v>
      </c>
      <c r="H1615" s="9">
        <v>31</v>
      </c>
      <c r="I1615" t="s">
        <v>65</v>
      </c>
      <c r="J1615">
        <v>0</v>
      </c>
      <c r="K1615">
        <v>0</v>
      </c>
      <c r="L1615">
        <v>0</v>
      </c>
      <c r="M1615">
        <v>0</v>
      </c>
      <c r="N1615">
        <v>18.37</v>
      </c>
      <c r="P1615" t="s">
        <v>152</v>
      </c>
    </row>
    <row r="1616" spans="1:16" x14ac:dyDescent="0.25">
      <c r="A1616" s="39">
        <v>45421</v>
      </c>
      <c r="B1616" t="s">
        <v>75</v>
      </c>
      <c r="C1616" t="s">
        <v>8</v>
      </c>
      <c r="D1616" t="s">
        <v>410</v>
      </c>
      <c r="E1616" t="s">
        <v>202</v>
      </c>
      <c r="F1616" t="s">
        <v>346</v>
      </c>
      <c r="G1616" t="s">
        <v>138</v>
      </c>
      <c r="H1616" s="9">
        <v>32</v>
      </c>
      <c r="I1616" t="s">
        <v>58</v>
      </c>
      <c r="J1616">
        <v>0</v>
      </c>
      <c r="K1616">
        <v>0</v>
      </c>
      <c r="L1616">
        <v>0</v>
      </c>
      <c r="M1616">
        <v>0</v>
      </c>
      <c r="N1616">
        <v>12.9</v>
      </c>
      <c r="P1616" t="s">
        <v>303</v>
      </c>
    </row>
    <row r="1617" spans="1:16" x14ac:dyDescent="0.25">
      <c r="A1617" s="39">
        <v>45421</v>
      </c>
      <c r="B1617" t="s">
        <v>25</v>
      </c>
      <c r="C1617" t="s">
        <v>8</v>
      </c>
      <c r="D1617" t="s">
        <v>383</v>
      </c>
      <c r="E1617" t="s">
        <v>81</v>
      </c>
      <c r="F1617" t="s">
        <v>285</v>
      </c>
      <c r="G1617" t="s">
        <v>138</v>
      </c>
      <c r="H1617" s="9">
        <v>33</v>
      </c>
      <c r="I1617" t="s">
        <v>65</v>
      </c>
      <c r="J1617">
        <v>0</v>
      </c>
      <c r="K1617">
        <v>0</v>
      </c>
      <c r="L1617">
        <v>0</v>
      </c>
      <c r="M1617">
        <v>0</v>
      </c>
      <c r="N1617">
        <v>12.16</v>
      </c>
      <c r="P1617" t="s">
        <v>148</v>
      </c>
    </row>
    <row r="1618" spans="1:16" x14ac:dyDescent="0.25">
      <c r="A1618" s="39">
        <v>45421</v>
      </c>
      <c r="B1618" t="s">
        <v>74</v>
      </c>
      <c r="C1618" t="s">
        <v>8</v>
      </c>
      <c r="D1618" t="s">
        <v>292</v>
      </c>
      <c r="E1618" t="s">
        <v>60</v>
      </c>
      <c r="F1618" t="s">
        <v>346</v>
      </c>
      <c r="G1618" t="s">
        <v>138</v>
      </c>
      <c r="H1618" s="9">
        <v>34</v>
      </c>
      <c r="I1618" t="s">
        <v>58</v>
      </c>
      <c r="J1618">
        <v>0</v>
      </c>
      <c r="K1618">
        <v>0</v>
      </c>
      <c r="L1618">
        <v>0</v>
      </c>
      <c r="M1618">
        <v>0</v>
      </c>
      <c r="N1618">
        <v>15.61</v>
      </c>
      <c r="P1618" t="s">
        <v>293</v>
      </c>
    </row>
    <row r="1619" spans="1:16" x14ac:dyDescent="0.25">
      <c r="A1619" s="39">
        <v>45421</v>
      </c>
      <c r="B1619" t="s">
        <v>26</v>
      </c>
      <c r="C1619" t="s">
        <v>8</v>
      </c>
      <c r="D1619" t="s">
        <v>294</v>
      </c>
      <c r="E1619" t="s">
        <v>56</v>
      </c>
      <c r="F1619" t="s">
        <v>184</v>
      </c>
      <c r="G1619" t="s">
        <v>138</v>
      </c>
      <c r="H1619" s="9">
        <v>35</v>
      </c>
      <c r="I1619" t="s">
        <v>65</v>
      </c>
      <c r="J1619">
        <v>0</v>
      </c>
      <c r="K1619">
        <v>0</v>
      </c>
      <c r="L1619">
        <v>0</v>
      </c>
      <c r="M1619">
        <v>0</v>
      </c>
      <c r="N1619">
        <v>13.29</v>
      </c>
      <c r="P1619" t="s">
        <v>155</v>
      </c>
    </row>
    <row r="1620" spans="1:16" x14ac:dyDescent="0.25">
      <c r="A1620" s="39">
        <v>45421</v>
      </c>
      <c r="B1620" t="s">
        <v>27</v>
      </c>
      <c r="C1620" t="s">
        <v>8</v>
      </c>
      <c r="D1620" t="s">
        <v>384</v>
      </c>
      <c r="E1620" t="s">
        <v>366</v>
      </c>
      <c r="F1620" t="s">
        <v>346</v>
      </c>
      <c r="G1620" t="s">
        <v>138</v>
      </c>
      <c r="H1620" s="9">
        <v>36</v>
      </c>
      <c r="I1620" t="s">
        <v>58</v>
      </c>
      <c r="J1620">
        <v>0</v>
      </c>
      <c r="K1620">
        <v>0</v>
      </c>
      <c r="L1620">
        <v>0</v>
      </c>
      <c r="M1620">
        <v>0</v>
      </c>
      <c r="N1620">
        <v>13.89</v>
      </c>
      <c r="P1620" t="s">
        <v>269</v>
      </c>
    </row>
    <row r="1621" spans="1:16" x14ac:dyDescent="0.25">
      <c r="A1621" s="39">
        <v>45421</v>
      </c>
      <c r="B1621" t="s">
        <v>28</v>
      </c>
      <c r="C1621" t="s">
        <v>8</v>
      </c>
      <c r="D1621" t="s">
        <v>411</v>
      </c>
      <c r="E1621" t="s">
        <v>56</v>
      </c>
      <c r="F1621" t="s">
        <v>338</v>
      </c>
      <c r="G1621" t="s">
        <v>138</v>
      </c>
      <c r="H1621" s="9">
        <v>37</v>
      </c>
      <c r="I1621" t="s">
        <v>65</v>
      </c>
      <c r="J1621">
        <v>0</v>
      </c>
      <c r="K1621">
        <v>0</v>
      </c>
      <c r="L1621">
        <v>0</v>
      </c>
      <c r="M1621">
        <v>0</v>
      </c>
      <c r="N1621">
        <v>13.9</v>
      </c>
      <c r="P1621" t="s">
        <v>155</v>
      </c>
    </row>
    <row r="1622" spans="1:16" x14ac:dyDescent="0.25">
      <c r="A1622" s="39">
        <v>45421</v>
      </c>
      <c r="B1622" t="s">
        <v>72</v>
      </c>
      <c r="C1622" t="s">
        <v>8</v>
      </c>
      <c r="D1622" t="s">
        <v>322</v>
      </c>
      <c r="E1622" t="s">
        <v>202</v>
      </c>
      <c r="F1622" t="s">
        <v>346</v>
      </c>
      <c r="G1622" t="s">
        <v>138</v>
      </c>
      <c r="H1622" s="9">
        <v>38</v>
      </c>
      <c r="I1622" t="s">
        <v>58</v>
      </c>
      <c r="J1622">
        <v>0</v>
      </c>
      <c r="K1622">
        <v>0</v>
      </c>
      <c r="L1622">
        <v>0</v>
      </c>
      <c r="M1622">
        <v>0</v>
      </c>
      <c r="N1622">
        <v>15.45</v>
      </c>
      <c r="P1622" t="s">
        <v>157</v>
      </c>
    </row>
    <row r="1623" spans="1:16" x14ac:dyDescent="0.25">
      <c r="A1623" s="39">
        <v>45421</v>
      </c>
      <c r="B1623" t="s">
        <v>29</v>
      </c>
      <c r="C1623" t="s">
        <v>8</v>
      </c>
      <c r="D1623" t="s">
        <v>315</v>
      </c>
      <c r="E1623" t="s">
        <v>56</v>
      </c>
      <c r="F1623" t="s">
        <v>338</v>
      </c>
      <c r="G1623" t="s">
        <v>138</v>
      </c>
      <c r="H1623" s="9">
        <v>39</v>
      </c>
      <c r="I1623" t="s">
        <v>65</v>
      </c>
      <c r="J1623">
        <v>0</v>
      </c>
      <c r="K1623">
        <v>0</v>
      </c>
      <c r="L1623">
        <v>0</v>
      </c>
      <c r="M1623">
        <v>0</v>
      </c>
      <c r="N1623">
        <v>13.98</v>
      </c>
      <c r="P1623" t="s">
        <v>156</v>
      </c>
    </row>
    <row r="1624" spans="1:16" x14ac:dyDescent="0.25">
      <c r="A1624" s="39">
        <v>45421</v>
      </c>
      <c r="B1624" t="s">
        <v>30</v>
      </c>
      <c r="C1624" t="s">
        <v>8</v>
      </c>
      <c r="D1624" t="s">
        <v>305</v>
      </c>
      <c r="E1624" t="s">
        <v>81</v>
      </c>
      <c r="F1624" t="s">
        <v>90</v>
      </c>
      <c r="G1624" t="s">
        <v>138</v>
      </c>
      <c r="H1624" s="9" t="s">
        <v>71</v>
      </c>
      <c r="I1624" t="s">
        <v>58</v>
      </c>
      <c r="J1624">
        <v>0</v>
      </c>
      <c r="K1624">
        <v>0</v>
      </c>
      <c r="L1624">
        <v>0</v>
      </c>
      <c r="M1624">
        <v>0</v>
      </c>
      <c r="N1624">
        <v>10.84</v>
      </c>
      <c r="P1624" t="s">
        <v>150</v>
      </c>
    </row>
    <row r="1625" spans="1:16" x14ac:dyDescent="0.25">
      <c r="A1625" s="39">
        <v>45421</v>
      </c>
      <c r="B1625" t="s">
        <v>31</v>
      </c>
      <c r="C1625" t="s">
        <v>8</v>
      </c>
      <c r="E1625" t="s">
        <v>56</v>
      </c>
      <c r="G1625" t="s">
        <v>138</v>
      </c>
      <c r="H1625" s="9" t="s">
        <v>70</v>
      </c>
      <c r="I1625" t="s">
        <v>65</v>
      </c>
      <c r="J1625">
        <v>0</v>
      </c>
      <c r="K1625">
        <v>0</v>
      </c>
      <c r="L1625">
        <v>0</v>
      </c>
      <c r="M1625">
        <v>0</v>
      </c>
      <c r="N1625">
        <v>13.5</v>
      </c>
      <c r="P1625" t="s">
        <v>156</v>
      </c>
    </row>
    <row r="1626" spans="1:16" x14ac:dyDescent="0.25">
      <c r="A1626" s="39">
        <v>45421</v>
      </c>
      <c r="B1626" t="s">
        <v>32</v>
      </c>
      <c r="C1626" t="s">
        <v>8</v>
      </c>
      <c r="D1626" t="s">
        <v>413</v>
      </c>
      <c r="E1626" t="s">
        <v>202</v>
      </c>
      <c r="F1626" t="s">
        <v>346</v>
      </c>
      <c r="G1626" t="s">
        <v>138</v>
      </c>
      <c r="H1626" s="9" t="s">
        <v>69</v>
      </c>
      <c r="I1626" t="s">
        <v>58</v>
      </c>
      <c r="J1626">
        <v>0</v>
      </c>
      <c r="K1626">
        <v>0</v>
      </c>
      <c r="L1626">
        <v>0</v>
      </c>
      <c r="M1626">
        <v>0</v>
      </c>
      <c r="N1626">
        <v>14.39</v>
      </c>
      <c r="P1626" t="s">
        <v>414</v>
      </c>
    </row>
    <row r="1627" spans="1:16" x14ac:dyDescent="0.25">
      <c r="A1627" s="39">
        <v>45421</v>
      </c>
      <c r="B1627" t="s">
        <v>67</v>
      </c>
      <c r="C1627" t="s">
        <v>8</v>
      </c>
      <c r="D1627" t="s">
        <v>354</v>
      </c>
      <c r="E1627" t="s">
        <v>56</v>
      </c>
      <c r="F1627" t="s">
        <v>367</v>
      </c>
      <c r="G1627" t="s">
        <v>138</v>
      </c>
      <c r="H1627" s="9" t="s">
        <v>68</v>
      </c>
      <c r="I1627" t="s">
        <v>65</v>
      </c>
      <c r="J1627">
        <v>0</v>
      </c>
      <c r="K1627">
        <v>0</v>
      </c>
      <c r="L1627">
        <v>0</v>
      </c>
      <c r="M1627">
        <v>0</v>
      </c>
      <c r="N1627">
        <v>13.8</v>
      </c>
      <c r="P1627" t="s">
        <v>156</v>
      </c>
    </row>
    <row r="1628" spans="1:16" x14ac:dyDescent="0.25">
      <c r="A1628" s="39">
        <v>45421</v>
      </c>
      <c r="B1628" t="s">
        <v>33</v>
      </c>
      <c r="C1628" t="s">
        <v>8</v>
      </c>
      <c r="D1628" t="s">
        <v>277</v>
      </c>
      <c r="E1628" t="s">
        <v>73</v>
      </c>
      <c r="F1628" t="s">
        <v>346</v>
      </c>
      <c r="G1628" t="s">
        <v>138</v>
      </c>
      <c r="H1628" s="9" t="s">
        <v>66</v>
      </c>
      <c r="I1628" t="s">
        <v>58</v>
      </c>
      <c r="J1628">
        <v>0</v>
      </c>
      <c r="K1628">
        <v>0</v>
      </c>
      <c r="L1628">
        <v>0</v>
      </c>
      <c r="M1628">
        <v>0</v>
      </c>
      <c r="N1628">
        <v>14.19</v>
      </c>
      <c r="P1628" t="s">
        <v>201</v>
      </c>
    </row>
    <row r="1629" spans="1:16" x14ac:dyDescent="0.25">
      <c r="A1629" s="39">
        <v>45421</v>
      </c>
      <c r="B1629" t="s">
        <v>34</v>
      </c>
      <c r="C1629" t="s">
        <v>8</v>
      </c>
      <c r="D1629" t="s">
        <v>415</v>
      </c>
      <c r="E1629" t="s">
        <v>56</v>
      </c>
      <c r="F1629" t="s">
        <v>346</v>
      </c>
      <c r="G1629" t="s">
        <v>138</v>
      </c>
      <c r="H1629" s="9" t="s">
        <v>64</v>
      </c>
      <c r="I1629" t="s">
        <v>65</v>
      </c>
      <c r="J1629">
        <v>0</v>
      </c>
      <c r="K1629">
        <v>0</v>
      </c>
      <c r="L1629">
        <v>0</v>
      </c>
      <c r="M1629">
        <v>0</v>
      </c>
      <c r="N1629">
        <v>15.6</v>
      </c>
      <c r="P1629" t="s">
        <v>416</v>
      </c>
    </row>
    <row r="1630" spans="1:16" x14ac:dyDescent="0.25">
      <c r="A1630" s="39">
        <v>45421</v>
      </c>
      <c r="B1630" t="s">
        <v>35</v>
      </c>
      <c r="C1630" t="s">
        <v>8</v>
      </c>
      <c r="D1630" t="s">
        <v>331</v>
      </c>
      <c r="E1630" t="s">
        <v>60</v>
      </c>
      <c r="F1630" t="s">
        <v>346</v>
      </c>
      <c r="G1630" t="s">
        <v>138</v>
      </c>
      <c r="H1630" s="9">
        <v>40</v>
      </c>
      <c r="I1630" t="s">
        <v>58</v>
      </c>
      <c r="J1630">
        <v>0</v>
      </c>
      <c r="K1630">
        <v>0</v>
      </c>
      <c r="L1630">
        <v>0</v>
      </c>
      <c r="M1630">
        <v>0</v>
      </c>
      <c r="N1630">
        <v>14.64</v>
      </c>
      <c r="P1630" t="s">
        <v>158</v>
      </c>
    </row>
    <row r="1631" spans="1:16" x14ac:dyDescent="0.25">
      <c r="A1631" s="39">
        <v>45421</v>
      </c>
      <c r="B1631" t="s">
        <v>418</v>
      </c>
      <c r="C1631" t="s">
        <v>8</v>
      </c>
      <c r="G1631" t="s">
        <v>138</v>
      </c>
      <c r="H1631" s="9">
        <v>43</v>
      </c>
      <c r="I1631" t="s">
        <v>262</v>
      </c>
      <c r="J1631">
        <v>0</v>
      </c>
      <c r="K1631">
        <v>0</v>
      </c>
      <c r="L1631">
        <v>0</v>
      </c>
      <c r="M1631">
        <v>0</v>
      </c>
      <c r="N1631">
        <v>17.670000000000002</v>
      </c>
    </row>
    <row r="1632" spans="1:16" x14ac:dyDescent="0.25">
      <c r="A1632" s="39">
        <v>45421</v>
      </c>
      <c r="B1632" t="s">
        <v>419</v>
      </c>
      <c r="C1632" t="s">
        <v>8</v>
      </c>
      <c r="G1632" t="s">
        <v>138</v>
      </c>
      <c r="H1632" s="9">
        <v>43</v>
      </c>
      <c r="I1632" t="s">
        <v>262</v>
      </c>
      <c r="J1632">
        <v>0</v>
      </c>
      <c r="K1632">
        <v>0</v>
      </c>
      <c r="L1632">
        <v>0</v>
      </c>
      <c r="M1632">
        <v>0</v>
      </c>
      <c r="N1632">
        <v>13.49</v>
      </c>
    </row>
    <row r="1633" spans="1:16" x14ac:dyDescent="0.25">
      <c r="A1633" s="39">
        <v>45421</v>
      </c>
      <c r="B1633" t="s">
        <v>36</v>
      </c>
      <c r="C1633" t="s">
        <v>8</v>
      </c>
      <c r="D1633" t="s">
        <v>295</v>
      </c>
      <c r="E1633" t="s">
        <v>81</v>
      </c>
      <c r="F1633" t="s">
        <v>369</v>
      </c>
      <c r="G1633" t="s">
        <v>138</v>
      </c>
      <c r="H1633" s="9">
        <v>66</v>
      </c>
      <c r="I1633" t="s">
        <v>58</v>
      </c>
      <c r="J1633">
        <v>0</v>
      </c>
      <c r="K1633">
        <v>0</v>
      </c>
      <c r="L1633">
        <v>0</v>
      </c>
      <c r="M1633">
        <v>0</v>
      </c>
      <c r="N1633">
        <v>38472557</v>
      </c>
      <c r="P1633" t="s">
        <v>156</v>
      </c>
    </row>
    <row r="1634" spans="1:16" x14ac:dyDescent="0.25">
      <c r="A1634" s="39">
        <v>45421</v>
      </c>
      <c r="B1634" t="s">
        <v>256</v>
      </c>
      <c r="C1634" t="s">
        <v>8</v>
      </c>
      <c r="D1634" t="s">
        <v>392</v>
      </c>
      <c r="E1634" t="s">
        <v>417</v>
      </c>
      <c r="F1634" t="s">
        <v>192</v>
      </c>
      <c r="G1634" t="s">
        <v>138</v>
      </c>
      <c r="H1634" s="9"/>
      <c r="I1634" t="s">
        <v>262</v>
      </c>
      <c r="J1634">
        <v>0</v>
      </c>
      <c r="K1634">
        <v>0</v>
      </c>
      <c r="L1634">
        <v>0</v>
      </c>
      <c r="M1634">
        <v>0</v>
      </c>
      <c r="N1634">
        <v>0</v>
      </c>
      <c r="P1634" t="s">
        <v>149</v>
      </c>
    </row>
    <row r="1635" spans="1:16" x14ac:dyDescent="0.25">
      <c r="A1635" s="39">
        <v>45421</v>
      </c>
      <c r="B1635" t="s">
        <v>257</v>
      </c>
      <c r="C1635" t="s">
        <v>8</v>
      </c>
      <c r="D1635" t="s">
        <v>392</v>
      </c>
      <c r="E1635" t="s">
        <v>417</v>
      </c>
      <c r="F1635" t="s">
        <v>192</v>
      </c>
      <c r="G1635" t="s">
        <v>138</v>
      </c>
      <c r="H1635" s="9"/>
      <c r="I1635" t="s">
        <v>58</v>
      </c>
      <c r="J1635">
        <v>0</v>
      </c>
      <c r="K1635">
        <v>0</v>
      </c>
      <c r="L1635">
        <v>0</v>
      </c>
      <c r="M1635">
        <v>0</v>
      </c>
      <c r="N1635">
        <v>38.46</v>
      </c>
      <c r="P1635" t="s">
        <v>149</v>
      </c>
    </row>
    <row r="1636" spans="1:16" x14ac:dyDescent="0.25">
      <c r="A1636" s="39">
        <v>45421</v>
      </c>
      <c r="B1636" t="s">
        <v>37</v>
      </c>
      <c r="C1636" t="s">
        <v>8</v>
      </c>
      <c r="D1636" t="s">
        <v>347</v>
      </c>
      <c r="E1636" t="s">
        <v>348</v>
      </c>
      <c r="F1636" t="s">
        <v>346</v>
      </c>
      <c r="G1636" t="s">
        <v>138</v>
      </c>
      <c r="H1636" s="9">
        <v>68</v>
      </c>
      <c r="I1636" t="s">
        <v>58</v>
      </c>
      <c r="J1636">
        <v>0</v>
      </c>
      <c r="K1636">
        <v>0</v>
      </c>
      <c r="L1636">
        <v>0</v>
      </c>
      <c r="M1636">
        <v>0</v>
      </c>
      <c r="N1636">
        <v>13.5</v>
      </c>
      <c r="P1636" t="s">
        <v>270</v>
      </c>
    </row>
    <row r="1637" spans="1:16" x14ac:dyDescent="0.25">
      <c r="A1637" s="39">
        <v>45421</v>
      </c>
      <c r="B1637" t="s">
        <v>258</v>
      </c>
      <c r="C1637" t="s">
        <v>8</v>
      </c>
      <c r="G1637" t="s">
        <v>138</v>
      </c>
      <c r="H1637" s="9">
        <v>69</v>
      </c>
      <c r="I1637" t="s">
        <v>262</v>
      </c>
      <c r="J1637">
        <v>0</v>
      </c>
      <c r="K1637">
        <v>0</v>
      </c>
      <c r="L1637">
        <v>0</v>
      </c>
      <c r="M1637">
        <v>0</v>
      </c>
      <c r="N1637">
        <v>13.5</v>
      </c>
      <c r="P1637" t="s">
        <v>148</v>
      </c>
    </row>
    <row r="1638" spans="1:16" x14ac:dyDescent="0.25">
      <c r="A1638" s="39">
        <v>45421</v>
      </c>
      <c r="B1638" t="s">
        <v>259</v>
      </c>
      <c r="C1638" t="s">
        <v>8</v>
      </c>
      <c r="G1638" t="s">
        <v>138</v>
      </c>
      <c r="H1638" s="9">
        <v>69</v>
      </c>
      <c r="I1638" t="s">
        <v>262</v>
      </c>
      <c r="J1638">
        <v>0</v>
      </c>
      <c r="K1638">
        <v>0</v>
      </c>
      <c r="L1638">
        <v>0</v>
      </c>
      <c r="M1638">
        <v>0</v>
      </c>
      <c r="N1638">
        <v>41.06</v>
      </c>
      <c r="P1638" t="s">
        <v>148</v>
      </c>
    </row>
    <row r="1639" spans="1:16" x14ac:dyDescent="0.25">
      <c r="A1639" s="39">
        <v>45421</v>
      </c>
      <c r="B1639" t="s">
        <v>54</v>
      </c>
      <c r="C1639" t="s">
        <v>8</v>
      </c>
      <c r="D1639" t="s">
        <v>55</v>
      </c>
      <c r="E1639" t="s">
        <v>56</v>
      </c>
      <c r="F1639" t="s">
        <v>57</v>
      </c>
      <c r="G1639" t="s">
        <v>138</v>
      </c>
      <c r="H1639" s="9">
        <v>56</v>
      </c>
      <c r="I1639" t="s">
        <v>58</v>
      </c>
      <c r="J1639">
        <v>0</v>
      </c>
      <c r="K1639">
        <v>0</v>
      </c>
      <c r="L1639">
        <v>0</v>
      </c>
      <c r="M1639">
        <v>0</v>
      </c>
      <c r="N1639">
        <v>41.06</v>
      </c>
      <c r="P1639" t="s">
        <v>159</v>
      </c>
    </row>
    <row r="1640" spans="1:16" x14ac:dyDescent="0.25">
      <c r="A1640" s="39">
        <v>45422</v>
      </c>
      <c r="B1640" t="s">
        <v>136</v>
      </c>
      <c r="C1640" t="s">
        <v>6</v>
      </c>
      <c r="D1640" t="s">
        <v>174</v>
      </c>
      <c r="E1640" t="s">
        <v>81</v>
      </c>
      <c r="F1640" t="s">
        <v>90</v>
      </c>
      <c r="G1640" t="s">
        <v>138</v>
      </c>
      <c r="H1640" s="9" t="s">
        <v>160</v>
      </c>
      <c r="I1640" t="s">
        <v>58</v>
      </c>
      <c r="J1640">
        <v>0</v>
      </c>
      <c r="K1640">
        <v>0</v>
      </c>
      <c r="L1640">
        <v>0</v>
      </c>
      <c r="M1640">
        <v>0</v>
      </c>
      <c r="N1640">
        <v>42144554</v>
      </c>
      <c r="O1640" t="s">
        <v>245</v>
      </c>
      <c r="P1640" t="s">
        <v>153</v>
      </c>
    </row>
    <row r="1641" spans="1:16" x14ac:dyDescent="0.25">
      <c r="A1641" s="39">
        <v>45422</v>
      </c>
      <c r="B1641" t="s">
        <v>135</v>
      </c>
      <c r="C1641" t="s">
        <v>6</v>
      </c>
      <c r="D1641" t="s">
        <v>332</v>
      </c>
      <c r="E1641" t="s">
        <v>81</v>
      </c>
      <c r="F1641" t="s">
        <v>90</v>
      </c>
      <c r="G1641" t="s">
        <v>138</v>
      </c>
      <c r="H1641" s="9">
        <v>2</v>
      </c>
      <c r="I1641" t="s">
        <v>58</v>
      </c>
      <c r="J1641">
        <v>0</v>
      </c>
      <c r="K1641">
        <v>0</v>
      </c>
      <c r="L1641">
        <v>0</v>
      </c>
      <c r="M1641">
        <v>0</v>
      </c>
      <c r="N1641">
        <v>24.09</v>
      </c>
      <c r="P1641" t="s">
        <v>148</v>
      </c>
    </row>
    <row r="1642" spans="1:16" x14ac:dyDescent="0.25">
      <c r="A1642" s="39">
        <v>45422</v>
      </c>
      <c r="B1642" t="s">
        <v>134</v>
      </c>
      <c r="C1642" t="s">
        <v>6</v>
      </c>
      <c r="D1642" t="s">
        <v>175</v>
      </c>
      <c r="E1642" t="s">
        <v>81</v>
      </c>
      <c r="F1642" t="s">
        <v>90</v>
      </c>
      <c r="G1642" t="s">
        <v>138</v>
      </c>
      <c r="H1642" s="9">
        <v>47</v>
      </c>
      <c r="I1642" t="s">
        <v>58</v>
      </c>
      <c r="J1642">
        <v>0</v>
      </c>
      <c r="K1642">
        <v>0</v>
      </c>
      <c r="L1642">
        <v>0</v>
      </c>
      <c r="M1642">
        <v>0</v>
      </c>
      <c r="N1642">
        <v>0</v>
      </c>
      <c r="P1642" t="s">
        <v>148</v>
      </c>
    </row>
    <row r="1643" spans="1:16" x14ac:dyDescent="0.25">
      <c r="A1643" s="39">
        <v>45422</v>
      </c>
      <c r="B1643" t="s">
        <v>132</v>
      </c>
      <c r="C1643" t="s">
        <v>6</v>
      </c>
      <c r="D1643" t="s">
        <v>133</v>
      </c>
      <c r="E1643" t="s">
        <v>126</v>
      </c>
      <c r="F1643" t="s">
        <v>199</v>
      </c>
      <c r="G1643" t="s">
        <v>138</v>
      </c>
      <c r="H1643" s="9">
        <v>3</v>
      </c>
      <c r="I1643" t="s">
        <v>58</v>
      </c>
      <c r="J1643">
        <v>0</v>
      </c>
      <c r="K1643">
        <v>0</v>
      </c>
      <c r="L1643">
        <v>0</v>
      </c>
      <c r="M1643">
        <v>0</v>
      </c>
      <c r="N1643">
        <v>38.369999999999997</v>
      </c>
      <c r="O1643" t="s">
        <v>395</v>
      </c>
      <c r="P1643" t="s">
        <v>149</v>
      </c>
    </row>
    <row r="1644" spans="1:16" x14ac:dyDescent="0.25">
      <c r="A1644" s="39">
        <v>45422</v>
      </c>
      <c r="B1644" t="s">
        <v>131</v>
      </c>
      <c r="C1644" t="s">
        <v>6</v>
      </c>
      <c r="D1644" t="s">
        <v>396</v>
      </c>
      <c r="E1644" t="s">
        <v>60</v>
      </c>
      <c r="F1644" t="s">
        <v>90</v>
      </c>
      <c r="G1644" t="s">
        <v>138</v>
      </c>
      <c r="H1644" s="9">
        <v>4</v>
      </c>
      <c r="I1644" t="s">
        <v>58</v>
      </c>
      <c r="J1644">
        <v>0</v>
      </c>
      <c r="K1644">
        <v>0</v>
      </c>
      <c r="L1644">
        <v>0</v>
      </c>
      <c r="M1644">
        <v>0</v>
      </c>
      <c r="N1644">
        <v>23.93</v>
      </c>
      <c r="P1644" t="s">
        <v>154</v>
      </c>
    </row>
    <row r="1645" spans="1:16" x14ac:dyDescent="0.25">
      <c r="A1645" s="39">
        <v>45422</v>
      </c>
      <c r="B1645" t="s">
        <v>130</v>
      </c>
      <c r="C1645" t="s">
        <v>6</v>
      </c>
      <c r="D1645" t="s">
        <v>191</v>
      </c>
      <c r="E1645" t="s">
        <v>81</v>
      </c>
      <c r="F1645" t="s">
        <v>285</v>
      </c>
      <c r="G1645" t="s">
        <v>138</v>
      </c>
      <c r="H1645" s="9">
        <v>48</v>
      </c>
      <c r="I1645" t="s">
        <v>58</v>
      </c>
      <c r="J1645">
        <v>0</v>
      </c>
      <c r="K1645">
        <v>0</v>
      </c>
      <c r="L1645">
        <v>0</v>
      </c>
      <c r="M1645">
        <v>0</v>
      </c>
      <c r="N1645">
        <v>14.99</v>
      </c>
      <c r="P1645" t="s">
        <v>148</v>
      </c>
    </row>
    <row r="1646" spans="1:16" x14ac:dyDescent="0.25">
      <c r="A1646" s="39">
        <v>45422</v>
      </c>
      <c r="B1646" t="s">
        <v>128</v>
      </c>
      <c r="C1646" t="s">
        <v>6</v>
      </c>
      <c r="D1646" t="s">
        <v>129</v>
      </c>
      <c r="E1646" t="s">
        <v>126</v>
      </c>
      <c r="F1646" t="s">
        <v>199</v>
      </c>
      <c r="G1646" t="s">
        <v>138</v>
      </c>
      <c r="H1646" s="9">
        <v>5</v>
      </c>
      <c r="I1646" t="s">
        <v>58</v>
      </c>
      <c r="J1646">
        <v>0</v>
      </c>
      <c r="K1646">
        <v>0</v>
      </c>
      <c r="L1646">
        <v>0</v>
      </c>
      <c r="M1646">
        <v>0</v>
      </c>
      <c r="N1646">
        <v>41.06</v>
      </c>
      <c r="P1646" t="s">
        <v>149</v>
      </c>
    </row>
    <row r="1647" spans="1:16" x14ac:dyDescent="0.25">
      <c r="A1647" s="39">
        <v>45422</v>
      </c>
      <c r="B1647" t="s">
        <v>40</v>
      </c>
      <c r="C1647" t="s">
        <v>6</v>
      </c>
      <c r="D1647" t="s">
        <v>397</v>
      </c>
      <c r="E1647" t="s">
        <v>60</v>
      </c>
      <c r="F1647" t="s">
        <v>200</v>
      </c>
      <c r="G1647" t="s">
        <v>138</v>
      </c>
      <c r="H1647" s="9">
        <v>6</v>
      </c>
      <c r="I1647" t="s">
        <v>58</v>
      </c>
      <c r="J1647">
        <v>0</v>
      </c>
      <c r="K1647">
        <v>0</v>
      </c>
      <c r="L1647">
        <v>0</v>
      </c>
      <c r="M1647">
        <v>0</v>
      </c>
      <c r="N1647">
        <v>14.92</v>
      </c>
      <c r="O1647" t="s">
        <v>245</v>
      </c>
      <c r="P1647" t="s">
        <v>153</v>
      </c>
    </row>
    <row r="1648" spans="1:16" x14ac:dyDescent="0.25">
      <c r="A1648" s="39">
        <v>45422</v>
      </c>
      <c r="B1648" t="s">
        <v>127</v>
      </c>
      <c r="C1648" t="s">
        <v>6</v>
      </c>
      <c r="D1648" t="s">
        <v>203</v>
      </c>
      <c r="E1648" t="s">
        <v>81</v>
      </c>
      <c r="F1648" t="s">
        <v>285</v>
      </c>
      <c r="G1648" t="s">
        <v>138</v>
      </c>
      <c r="H1648" s="9">
        <v>49</v>
      </c>
      <c r="I1648" t="s">
        <v>58</v>
      </c>
      <c r="J1648">
        <v>0</v>
      </c>
      <c r="K1648">
        <v>0</v>
      </c>
      <c r="L1648">
        <v>0</v>
      </c>
      <c r="M1648">
        <v>0</v>
      </c>
      <c r="N1648">
        <v>20.85</v>
      </c>
      <c r="P1648" t="s">
        <v>151</v>
      </c>
    </row>
    <row r="1649" spans="1:16" x14ac:dyDescent="0.25">
      <c r="A1649" s="39">
        <v>45422</v>
      </c>
      <c r="B1649" t="s">
        <v>124</v>
      </c>
      <c r="C1649" t="s">
        <v>6</v>
      </c>
      <c r="D1649" t="s">
        <v>340</v>
      </c>
      <c r="E1649" t="s">
        <v>126</v>
      </c>
      <c r="F1649" t="s">
        <v>199</v>
      </c>
      <c r="G1649" t="s">
        <v>138</v>
      </c>
      <c r="H1649" s="9">
        <v>7</v>
      </c>
      <c r="I1649" t="s">
        <v>58</v>
      </c>
      <c r="J1649">
        <v>0</v>
      </c>
      <c r="K1649">
        <v>0</v>
      </c>
      <c r="L1649">
        <v>0</v>
      </c>
      <c r="M1649">
        <v>0</v>
      </c>
      <c r="N1649">
        <v>39863813</v>
      </c>
      <c r="P1649" t="s">
        <v>149</v>
      </c>
    </row>
    <row r="1650" spans="1:16" x14ac:dyDescent="0.25">
      <c r="A1650" s="39">
        <v>45422</v>
      </c>
      <c r="B1650" t="s">
        <v>122</v>
      </c>
      <c r="C1650" t="s">
        <v>6</v>
      </c>
      <c r="D1650" t="s">
        <v>356</v>
      </c>
      <c r="E1650" t="s">
        <v>81</v>
      </c>
      <c r="F1650" t="s">
        <v>90</v>
      </c>
      <c r="G1650" t="s">
        <v>138</v>
      </c>
      <c r="H1650" s="9">
        <v>8</v>
      </c>
      <c r="I1650" t="s">
        <v>58</v>
      </c>
      <c r="J1650">
        <v>0</v>
      </c>
      <c r="K1650">
        <v>0</v>
      </c>
      <c r="L1650">
        <v>0</v>
      </c>
      <c r="M1650">
        <v>0</v>
      </c>
      <c r="N1650">
        <v>20.9</v>
      </c>
      <c r="P1650" t="s">
        <v>148</v>
      </c>
    </row>
    <row r="1651" spans="1:16" x14ac:dyDescent="0.25">
      <c r="A1651" s="39">
        <v>45422</v>
      </c>
      <c r="B1651" t="s">
        <v>120</v>
      </c>
      <c r="C1651" t="s">
        <v>6</v>
      </c>
      <c r="D1651" t="s">
        <v>333</v>
      </c>
      <c r="E1651" t="s">
        <v>375</v>
      </c>
      <c r="F1651" t="s">
        <v>285</v>
      </c>
      <c r="G1651" t="s">
        <v>138</v>
      </c>
      <c r="H1651" s="9" t="s">
        <v>121</v>
      </c>
      <c r="I1651" t="s">
        <v>58</v>
      </c>
      <c r="J1651">
        <v>0</v>
      </c>
      <c r="K1651">
        <v>0</v>
      </c>
      <c r="L1651">
        <v>0</v>
      </c>
      <c r="M1651">
        <v>0</v>
      </c>
      <c r="N1651">
        <v>41.69</v>
      </c>
      <c r="P1651" t="s">
        <v>151</v>
      </c>
    </row>
    <row r="1652" spans="1:16" x14ac:dyDescent="0.25">
      <c r="A1652" s="39">
        <v>45422</v>
      </c>
      <c r="B1652" t="s">
        <v>119</v>
      </c>
      <c r="C1652" t="s">
        <v>6</v>
      </c>
      <c r="D1652" t="s">
        <v>178</v>
      </c>
      <c r="E1652" t="s">
        <v>399</v>
      </c>
      <c r="F1652" t="s">
        <v>192</v>
      </c>
      <c r="G1652" t="s">
        <v>138</v>
      </c>
      <c r="H1652" s="9">
        <v>9</v>
      </c>
      <c r="I1652" t="s">
        <v>58</v>
      </c>
      <c r="J1652">
        <v>0</v>
      </c>
      <c r="K1652">
        <v>0</v>
      </c>
      <c r="L1652">
        <v>0</v>
      </c>
      <c r="M1652">
        <v>0</v>
      </c>
      <c r="N1652">
        <v>41.62</v>
      </c>
      <c r="O1652" t="s">
        <v>400</v>
      </c>
      <c r="P1652" t="s">
        <v>149</v>
      </c>
    </row>
    <row r="1653" spans="1:16" x14ac:dyDescent="0.25">
      <c r="A1653" s="39">
        <v>45422</v>
      </c>
      <c r="B1653" t="s">
        <v>117</v>
      </c>
      <c r="C1653" t="s">
        <v>6</v>
      </c>
      <c r="D1653" t="s">
        <v>349</v>
      </c>
      <c r="E1653" t="s">
        <v>398</v>
      </c>
      <c r="F1653" t="s">
        <v>90</v>
      </c>
      <c r="G1653" t="s">
        <v>138</v>
      </c>
      <c r="H1653" s="9" t="s">
        <v>118</v>
      </c>
      <c r="I1653" t="s">
        <v>58</v>
      </c>
      <c r="J1653">
        <v>0</v>
      </c>
      <c r="K1653">
        <v>0</v>
      </c>
      <c r="L1653">
        <v>0</v>
      </c>
      <c r="M1653">
        <v>0</v>
      </c>
      <c r="N1653">
        <v>34.69</v>
      </c>
      <c r="P1653" t="s">
        <v>151</v>
      </c>
    </row>
    <row r="1654" spans="1:16" x14ac:dyDescent="0.25">
      <c r="A1654" s="39">
        <v>45422</v>
      </c>
      <c r="B1654" t="s">
        <v>39</v>
      </c>
      <c r="C1654" t="s">
        <v>6</v>
      </c>
      <c r="D1654" t="s">
        <v>177</v>
      </c>
      <c r="E1654" t="s">
        <v>377</v>
      </c>
      <c r="F1654" t="s">
        <v>90</v>
      </c>
      <c r="G1654" t="s">
        <v>138</v>
      </c>
      <c r="H1654" s="9" t="s">
        <v>116</v>
      </c>
      <c r="I1654" t="s">
        <v>58</v>
      </c>
      <c r="J1654">
        <v>0</v>
      </c>
      <c r="K1654">
        <v>0</v>
      </c>
      <c r="L1654">
        <v>0</v>
      </c>
      <c r="M1654">
        <v>0</v>
      </c>
      <c r="N1654">
        <v>41.24</v>
      </c>
      <c r="P1654" t="s">
        <v>151</v>
      </c>
    </row>
    <row r="1655" spans="1:16" x14ac:dyDescent="0.25">
      <c r="A1655" s="39">
        <v>45422</v>
      </c>
      <c r="B1655" t="s">
        <v>113</v>
      </c>
      <c r="C1655" t="s">
        <v>6</v>
      </c>
      <c r="D1655" t="s">
        <v>188</v>
      </c>
      <c r="E1655" t="s">
        <v>126</v>
      </c>
      <c r="F1655" t="s">
        <v>199</v>
      </c>
      <c r="G1655" t="s">
        <v>138</v>
      </c>
      <c r="H1655" s="9" t="s">
        <v>114</v>
      </c>
      <c r="I1655" t="s">
        <v>58</v>
      </c>
      <c r="J1655">
        <v>0</v>
      </c>
      <c r="K1655">
        <v>0</v>
      </c>
      <c r="L1655">
        <v>0</v>
      </c>
      <c r="M1655">
        <v>0</v>
      </c>
      <c r="N1655">
        <v>41.35</v>
      </c>
      <c r="P1655" t="s">
        <v>149</v>
      </c>
    </row>
    <row r="1656" spans="1:16" x14ac:dyDescent="0.25">
      <c r="A1656" s="39">
        <v>45422</v>
      </c>
      <c r="B1656" t="s">
        <v>111</v>
      </c>
      <c r="C1656" t="s">
        <v>6</v>
      </c>
      <c r="D1656" t="s">
        <v>189</v>
      </c>
      <c r="E1656" t="s">
        <v>81</v>
      </c>
      <c r="F1656" t="s">
        <v>285</v>
      </c>
      <c r="G1656" t="s">
        <v>138</v>
      </c>
      <c r="H1656" s="9" t="s">
        <v>112</v>
      </c>
      <c r="I1656" t="s">
        <v>58</v>
      </c>
      <c r="J1656">
        <v>0</v>
      </c>
      <c r="K1656">
        <v>0</v>
      </c>
      <c r="L1656">
        <v>0</v>
      </c>
      <c r="M1656">
        <v>0</v>
      </c>
      <c r="N1656">
        <v>20.48</v>
      </c>
      <c r="O1656" t="s">
        <v>245</v>
      </c>
      <c r="P1656" t="s">
        <v>153</v>
      </c>
    </row>
    <row r="1657" spans="1:16" x14ac:dyDescent="0.25">
      <c r="A1657" s="39">
        <v>45422</v>
      </c>
      <c r="B1657" t="s">
        <v>109</v>
      </c>
      <c r="C1657" t="s">
        <v>6</v>
      </c>
      <c r="D1657" t="s">
        <v>142</v>
      </c>
      <c r="E1657" t="s">
        <v>56</v>
      </c>
      <c r="F1657" t="s">
        <v>199</v>
      </c>
      <c r="G1657" t="s">
        <v>138</v>
      </c>
      <c r="H1657" s="9" t="s">
        <v>110</v>
      </c>
      <c r="I1657" t="s">
        <v>58</v>
      </c>
      <c r="J1657">
        <v>0</v>
      </c>
      <c r="K1657">
        <v>0</v>
      </c>
      <c r="L1657">
        <v>0</v>
      </c>
      <c r="M1657">
        <v>0</v>
      </c>
      <c r="N1657">
        <v>41.05</v>
      </c>
      <c r="P1657" t="s">
        <v>149</v>
      </c>
    </row>
    <row r="1658" spans="1:16" x14ac:dyDescent="0.25">
      <c r="A1658" s="39">
        <v>45422</v>
      </c>
      <c r="B1658" t="s">
        <v>107</v>
      </c>
      <c r="C1658" t="s">
        <v>6</v>
      </c>
      <c r="D1658" t="s">
        <v>401</v>
      </c>
      <c r="E1658" t="s">
        <v>56</v>
      </c>
      <c r="F1658" t="s">
        <v>93</v>
      </c>
      <c r="G1658" t="s">
        <v>138</v>
      </c>
      <c r="H1658" s="9" t="s">
        <v>108</v>
      </c>
      <c r="I1658" t="s">
        <v>58</v>
      </c>
      <c r="J1658">
        <v>0</v>
      </c>
      <c r="K1658">
        <v>0</v>
      </c>
      <c r="L1658">
        <v>0</v>
      </c>
      <c r="M1658">
        <v>0</v>
      </c>
      <c r="N1658">
        <v>12.09</v>
      </c>
      <c r="O1658" t="s">
        <v>402</v>
      </c>
      <c r="P1658" t="s">
        <v>403</v>
      </c>
    </row>
    <row r="1659" spans="1:16" x14ac:dyDescent="0.25">
      <c r="A1659" s="39">
        <v>45422</v>
      </c>
      <c r="B1659" t="s">
        <v>41</v>
      </c>
      <c r="C1659" t="s">
        <v>6</v>
      </c>
      <c r="D1659" t="s">
        <v>123</v>
      </c>
      <c r="E1659" t="s">
        <v>81</v>
      </c>
      <c r="F1659" t="s">
        <v>285</v>
      </c>
      <c r="G1659" t="s">
        <v>138</v>
      </c>
      <c r="H1659" s="9" t="s">
        <v>106</v>
      </c>
      <c r="I1659" t="s">
        <v>58</v>
      </c>
      <c r="J1659">
        <v>0</v>
      </c>
      <c r="K1659">
        <v>0</v>
      </c>
      <c r="L1659">
        <v>0</v>
      </c>
      <c r="M1659">
        <v>0</v>
      </c>
      <c r="N1659">
        <v>17.88</v>
      </c>
      <c r="O1659" t="s">
        <v>245</v>
      </c>
      <c r="P1659" t="s">
        <v>152</v>
      </c>
    </row>
    <row r="1660" spans="1:16" x14ac:dyDescent="0.25">
      <c r="A1660" s="39">
        <v>45422</v>
      </c>
      <c r="B1660" t="s">
        <v>43</v>
      </c>
      <c r="C1660" t="s">
        <v>6</v>
      </c>
      <c r="D1660" t="s">
        <v>282</v>
      </c>
      <c r="E1660" t="s">
        <v>275</v>
      </c>
      <c r="F1660" t="s">
        <v>276</v>
      </c>
      <c r="G1660" t="s">
        <v>138</v>
      </c>
      <c r="H1660" s="9">
        <v>10</v>
      </c>
      <c r="I1660" t="s">
        <v>58</v>
      </c>
      <c r="J1660">
        <v>0</v>
      </c>
      <c r="K1660">
        <v>0</v>
      </c>
      <c r="L1660">
        <v>0</v>
      </c>
      <c r="M1660">
        <v>0</v>
      </c>
      <c r="N1660">
        <v>17.25</v>
      </c>
      <c r="O1660" t="s">
        <v>320</v>
      </c>
      <c r="P1660" t="s">
        <v>154</v>
      </c>
    </row>
    <row r="1661" spans="1:16" x14ac:dyDescent="0.25">
      <c r="A1661" s="39">
        <v>45422</v>
      </c>
      <c r="B1661" t="s">
        <v>5</v>
      </c>
      <c r="C1661" t="s">
        <v>6</v>
      </c>
      <c r="D1661" t="s">
        <v>283</v>
      </c>
      <c r="E1661" t="s">
        <v>60</v>
      </c>
      <c r="F1661" t="s">
        <v>285</v>
      </c>
      <c r="G1661" t="s">
        <v>138</v>
      </c>
      <c r="H1661" s="9">
        <v>11</v>
      </c>
      <c r="I1661" t="s">
        <v>58</v>
      </c>
      <c r="J1661">
        <v>0</v>
      </c>
      <c r="K1661">
        <v>0</v>
      </c>
      <c r="L1661">
        <v>0</v>
      </c>
      <c r="M1661">
        <v>0</v>
      </c>
      <c r="N1661">
        <v>16.46</v>
      </c>
      <c r="O1661" t="s">
        <v>245</v>
      </c>
      <c r="P1661" t="s">
        <v>153</v>
      </c>
    </row>
    <row r="1662" spans="1:16" x14ac:dyDescent="0.25">
      <c r="A1662" s="39">
        <v>45422</v>
      </c>
      <c r="B1662" t="s">
        <v>9</v>
      </c>
      <c r="C1662" t="s">
        <v>6</v>
      </c>
      <c r="D1662" t="s">
        <v>189</v>
      </c>
      <c r="E1662" t="s">
        <v>360</v>
      </c>
      <c r="F1662" t="s">
        <v>276</v>
      </c>
      <c r="G1662" t="s">
        <v>138</v>
      </c>
      <c r="H1662" s="9">
        <v>12</v>
      </c>
      <c r="I1662" t="s">
        <v>58</v>
      </c>
      <c r="J1662">
        <v>0</v>
      </c>
      <c r="K1662">
        <v>0</v>
      </c>
      <c r="L1662">
        <v>0</v>
      </c>
      <c r="M1662">
        <v>0</v>
      </c>
      <c r="N1662">
        <v>23.18</v>
      </c>
      <c r="O1662" t="s">
        <v>245</v>
      </c>
      <c r="P1662" t="s">
        <v>153</v>
      </c>
    </row>
    <row r="1663" spans="1:16" x14ac:dyDescent="0.25">
      <c r="A1663" s="39">
        <v>45422</v>
      </c>
      <c r="B1663" t="s">
        <v>10</v>
      </c>
      <c r="C1663" t="s">
        <v>6</v>
      </c>
      <c r="D1663" t="s">
        <v>263</v>
      </c>
      <c r="E1663" t="s">
        <v>342</v>
      </c>
      <c r="F1663" t="s">
        <v>90</v>
      </c>
      <c r="G1663" t="s">
        <v>138</v>
      </c>
      <c r="H1663" s="9">
        <v>13</v>
      </c>
      <c r="I1663" t="s">
        <v>58</v>
      </c>
      <c r="J1663">
        <v>0</v>
      </c>
      <c r="K1663">
        <v>0</v>
      </c>
      <c r="L1663">
        <v>0</v>
      </c>
      <c r="M1663">
        <v>0</v>
      </c>
      <c r="N1663">
        <v>74.34</v>
      </c>
      <c r="P1663" t="s">
        <v>151</v>
      </c>
    </row>
    <row r="1664" spans="1:16" x14ac:dyDescent="0.25">
      <c r="A1664" s="39">
        <v>45422</v>
      </c>
      <c r="B1664" t="s">
        <v>11</v>
      </c>
      <c r="C1664" t="s">
        <v>6</v>
      </c>
      <c r="D1664" t="s">
        <v>205</v>
      </c>
      <c r="E1664" t="s">
        <v>60</v>
      </c>
      <c r="F1664" t="s">
        <v>93</v>
      </c>
      <c r="G1664" t="s">
        <v>138</v>
      </c>
      <c r="H1664" s="9">
        <v>14</v>
      </c>
      <c r="I1664" t="s">
        <v>58</v>
      </c>
      <c r="J1664">
        <v>0</v>
      </c>
      <c r="K1664">
        <v>0</v>
      </c>
      <c r="L1664">
        <v>0</v>
      </c>
      <c r="M1664">
        <v>0</v>
      </c>
      <c r="N1664">
        <v>11.39</v>
      </c>
      <c r="O1664" t="s">
        <v>274</v>
      </c>
      <c r="P1664" t="s">
        <v>147</v>
      </c>
    </row>
    <row r="1665" spans="1:16" x14ac:dyDescent="0.25">
      <c r="A1665" s="39">
        <v>45422</v>
      </c>
      <c r="B1665" t="s">
        <v>12</v>
      </c>
      <c r="C1665" t="s">
        <v>6</v>
      </c>
      <c r="D1665" t="s">
        <v>286</v>
      </c>
      <c r="E1665" t="s">
        <v>60</v>
      </c>
      <c r="F1665" t="s">
        <v>285</v>
      </c>
      <c r="G1665" t="s">
        <v>138</v>
      </c>
      <c r="H1665" s="9">
        <v>15</v>
      </c>
      <c r="I1665" t="s">
        <v>58</v>
      </c>
      <c r="J1665">
        <v>0</v>
      </c>
      <c r="K1665">
        <v>0</v>
      </c>
      <c r="L1665">
        <v>0</v>
      </c>
      <c r="M1665">
        <v>0</v>
      </c>
      <c r="N1665">
        <v>11.98</v>
      </c>
      <c r="O1665" t="s">
        <v>380</v>
      </c>
      <c r="P1665" t="s">
        <v>154</v>
      </c>
    </row>
    <row r="1666" spans="1:16" x14ac:dyDescent="0.25">
      <c r="A1666" s="39">
        <v>45422</v>
      </c>
      <c r="B1666" t="s">
        <v>105</v>
      </c>
      <c r="C1666" t="s">
        <v>6</v>
      </c>
      <c r="D1666" t="s">
        <v>267</v>
      </c>
      <c r="E1666" t="s">
        <v>60</v>
      </c>
      <c r="F1666" t="s">
        <v>93</v>
      </c>
      <c r="G1666" t="s">
        <v>138</v>
      </c>
      <c r="H1666" s="9">
        <v>16</v>
      </c>
      <c r="I1666" t="s">
        <v>58</v>
      </c>
      <c r="J1666">
        <v>0</v>
      </c>
      <c r="K1666">
        <v>0</v>
      </c>
      <c r="L1666">
        <v>0</v>
      </c>
      <c r="M1666">
        <v>0</v>
      </c>
      <c r="N1666">
        <v>12.39</v>
      </c>
      <c r="O1666" t="s">
        <v>274</v>
      </c>
      <c r="P1666" t="s">
        <v>147</v>
      </c>
    </row>
    <row r="1667" spans="1:16" x14ac:dyDescent="0.25">
      <c r="A1667" s="39">
        <v>45422</v>
      </c>
      <c r="B1667" t="s">
        <v>104</v>
      </c>
      <c r="C1667" t="s">
        <v>6</v>
      </c>
      <c r="D1667" t="s">
        <v>143</v>
      </c>
      <c r="E1667" t="s">
        <v>60</v>
      </c>
      <c r="F1667" t="s">
        <v>285</v>
      </c>
      <c r="G1667" t="s">
        <v>138</v>
      </c>
      <c r="H1667" s="9">
        <v>17</v>
      </c>
      <c r="I1667" t="s">
        <v>58</v>
      </c>
      <c r="J1667">
        <v>0</v>
      </c>
      <c r="K1667">
        <v>0</v>
      </c>
      <c r="L1667">
        <v>0</v>
      </c>
      <c r="M1667">
        <v>0</v>
      </c>
      <c r="N1667">
        <v>13.96</v>
      </c>
      <c r="O1667" t="s">
        <v>404</v>
      </c>
      <c r="P1667" t="s">
        <v>154</v>
      </c>
    </row>
    <row r="1668" spans="1:16" x14ac:dyDescent="0.25">
      <c r="A1668" s="39">
        <v>45422</v>
      </c>
      <c r="B1668" t="s">
        <v>13</v>
      </c>
      <c r="C1668" t="s">
        <v>6</v>
      </c>
      <c r="D1668" t="s">
        <v>350</v>
      </c>
      <c r="E1668" t="s">
        <v>60</v>
      </c>
      <c r="F1668" t="s">
        <v>93</v>
      </c>
      <c r="G1668" t="s">
        <v>138</v>
      </c>
      <c r="H1668" s="9">
        <v>18</v>
      </c>
      <c r="I1668" t="s">
        <v>58</v>
      </c>
      <c r="J1668">
        <v>0</v>
      </c>
      <c r="K1668">
        <v>0</v>
      </c>
      <c r="L1668">
        <v>0</v>
      </c>
      <c r="M1668">
        <v>0</v>
      </c>
      <c r="N1668">
        <v>12.4</v>
      </c>
      <c r="O1668" t="s">
        <v>274</v>
      </c>
      <c r="P1668" t="s">
        <v>147</v>
      </c>
    </row>
    <row r="1669" spans="1:16" x14ac:dyDescent="0.25">
      <c r="A1669" s="39">
        <v>45422</v>
      </c>
      <c r="B1669" t="s">
        <v>103</v>
      </c>
      <c r="C1669" t="s">
        <v>6</v>
      </c>
      <c r="D1669" t="s">
        <v>179</v>
      </c>
      <c r="E1669" t="s">
        <v>81</v>
      </c>
      <c r="F1669" t="s">
        <v>90</v>
      </c>
      <c r="G1669" t="s">
        <v>138</v>
      </c>
      <c r="H1669" s="9">
        <v>19</v>
      </c>
      <c r="I1669" t="s">
        <v>65</v>
      </c>
      <c r="J1669">
        <v>0</v>
      </c>
      <c r="K1669">
        <v>0</v>
      </c>
      <c r="L1669">
        <v>0</v>
      </c>
      <c r="M1669">
        <v>0</v>
      </c>
      <c r="N1669">
        <v>41.9</v>
      </c>
      <c r="P1669" t="s">
        <v>187</v>
      </c>
    </row>
    <row r="1670" spans="1:16" x14ac:dyDescent="0.25">
      <c r="A1670" s="39">
        <v>45422</v>
      </c>
      <c r="B1670" t="s">
        <v>101</v>
      </c>
      <c r="C1670" t="s">
        <v>6</v>
      </c>
      <c r="D1670" t="s">
        <v>405</v>
      </c>
      <c r="E1670" t="s">
        <v>81</v>
      </c>
      <c r="F1670" t="s">
        <v>285</v>
      </c>
      <c r="G1670" t="s">
        <v>138</v>
      </c>
      <c r="H1670" s="9" t="s">
        <v>102</v>
      </c>
      <c r="I1670" t="s">
        <v>58</v>
      </c>
      <c r="J1670">
        <v>0</v>
      </c>
      <c r="K1670">
        <v>0</v>
      </c>
      <c r="L1670">
        <v>0</v>
      </c>
      <c r="M1670">
        <v>0</v>
      </c>
      <c r="N1670">
        <v>19.600000000000001</v>
      </c>
      <c r="P1670" t="s">
        <v>151</v>
      </c>
    </row>
    <row r="1671" spans="1:16" x14ac:dyDescent="0.25">
      <c r="A1671" s="39">
        <v>45422</v>
      </c>
      <c r="B1671" t="s">
        <v>99</v>
      </c>
      <c r="C1671" t="s">
        <v>6</v>
      </c>
      <c r="D1671" t="s">
        <v>249</v>
      </c>
      <c r="E1671" t="s">
        <v>81</v>
      </c>
      <c r="F1671" t="s">
        <v>90</v>
      </c>
      <c r="G1671" t="s">
        <v>138</v>
      </c>
      <c r="H1671" s="9" t="s">
        <v>100</v>
      </c>
      <c r="J1671">
        <v>0</v>
      </c>
      <c r="K1671">
        <v>0</v>
      </c>
      <c r="L1671">
        <v>0</v>
      </c>
      <c r="M1671">
        <v>0</v>
      </c>
      <c r="N1671">
        <v>41.83</v>
      </c>
      <c r="P1671" t="s">
        <v>152</v>
      </c>
    </row>
    <row r="1672" spans="1:16" x14ac:dyDescent="0.25">
      <c r="A1672" s="39">
        <v>45422</v>
      </c>
      <c r="B1672" t="s">
        <v>97</v>
      </c>
      <c r="C1672" t="s">
        <v>6</v>
      </c>
      <c r="D1672" t="s">
        <v>288</v>
      </c>
      <c r="E1672" t="s">
        <v>352</v>
      </c>
      <c r="F1672" t="s">
        <v>285</v>
      </c>
      <c r="G1672" t="s">
        <v>138</v>
      </c>
      <c r="H1672" s="9" t="s">
        <v>98</v>
      </c>
      <c r="I1672" t="s">
        <v>58</v>
      </c>
      <c r="J1672">
        <v>0</v>
      </c>
      <c r="K1672">
        <v>0</v>
      </c>
      <c r="L1672">
        <v>0</v>
      </c>
      <c r="M1672">
        <v>0</v>
      </c>
      <c r="N1672">
        <v>22.49</v>
      </c>
      <c r="P1672" t="s">
        <v>148</v>
      </c>
    </row>
    <row r="1673" spans="1:16" x14ac:dyDescent="0.25">
      <c r="A1673" s="39">
        <v>45422</v>
      </c>
      <c r="B1673" t="s">
        <v>95</v>
      </c>
      <c r="C1673" t="s">
        <v>6</v>
      </c>
      <c r="D1673" t="s">
        <v>181</v>
      </c>
      <c r="E1673" t="s">
        <v>81</v>
      </c>
      <c r="F1673" t="s">
        <v>90</v>
      </c>
      <c r="G1673" t="s">
        <v>138</v>
      </c>
      <c r="H1673" s="9" t="s">
        <v>96</v>
      </c>
      <c r="I1673" t="s">
        <v>65</v>
      </c>
      <c r="J1673">
        <v>0</v>
      </c>
      <c r="K1673">
        <v>0</v>
      </c>
      <c r="L1673">
        <v>0</v>
      </c>
      <c r="M1673">
        <v>0</v>
      </c>
      <c r="N1673">
        <v>20.38</v>
      </c>
      <c r="O1673" t="s">
        <v>245</v>
      </c>
      <c r="P1673" t="s">
        <v>152</v>
      </c>
    </row>
    <row r="1674" spans="1:16" x14ac:dyDescent="0.25">
      <c r="A1674" s="39">
        <v>45422</v>
      </c>
      <c r="B1674" t="s">
        <v>14</v>
      </c>
      <c r="C1674" t="s">
        <v>6</v>
      </c>
      <c r="D1674" t="s">
        <v>289</v>
      </c>
      <c r="E1674" t="s">
        <v>352</v>
      </c>
      <c r="F1674" t="s">
        <v>285</v>
      </c>
      <c r="G1674" t="s">
        <v>138</v>
      </c>
      <c r="H1674" s="9" t="s">
        <v>94</v>
      </c>
      <c r="I1674" t="s">
        <v>58</v>
      </c>
      <c r="J1674">
        <v>0</v>
      </c>
      <c r="K1674">
        <v>0</v>
      </c>
      <c r="L1674">
        <v>0</v>
      </c>
      <c r="M1674">
        <v>0</v>
      </c>
      <c r="N1674">
        <v>25.88</v>
      </c>
      <c r="O1674" t="s">
        <v>341</v>
      </c>
      <c r="P1674" t="s">
        <v>151</v>
      </c>
    </row>
    <row r="1675" spans="1:16" x14ac:dyDescent="0.25">
      <c r="A1675" s="39">
        <v>45422</v>
      </c>
      <c r="B1675" t="s">
        <v>91</v>
      </c>
      <c r="C1675" t="s">
        <v>6</v>
      </c>
      <c r="D1675" t="s">
        <v>180</v>
      </c>
      <c r="E1675" t="s">
        <v>81</v>
      </c>
      <c r="F1675" t="s">
        <v>90</v>
      </c>
      <c r="G1675" t="s">
        <v>138</v>
      </c>
      <c r="H1675" s="9" t="s">
        <v>92</v>
      </c>
      <c r="J1675">
        <v>0</v>
      </c>
      <c r="K1675">
        <v>0</v>
      </c>
      <c r="L1675">
        <v>0</v>
      </c>
      <c r="M1675">
        <v>0</v>
      </c>
      <c r="N1675">
        <v>16.73</v>
      </c>
      <c r="O1675" t="s">
        <v>245</v>
      </c>
      <c r="P1675" t="s">
        <v>148</v>
      </c>
    </row>
    <row r="1676" spans="1:16" x14ac:dyDescent="0.25">
      <c r="A1676" s="39">
        <v>45422</v>
      </c>
      <c r="B1676" t="s">
        <v>15</v>
      </c>
      <c r="C1676" t="s">
        <v>6</v>
      </c>
      <c r="D1676" t="s">
        <v>140</v>
      </c>
      <c r="E1676" t="s">
        <v>81</v>
      </c>
      <c r="F1676" t="s">
        <v>285</v>
      </c>
      <c r="G1676" t="s">
        <v>138</v>
      </c>
      <c r="H1676" s="9">
        <v>20</v>
      </c>
      <c r="I1676" t="s">
        <v>58</v>
      </c>
      <c r="J1676">
        <v>0</v>
      </c>
      <c r="K1676">
        <v>0</v>
      </c>
      <c r="L1676">
        <v>0</v>
      </c>
      <c r="M1676">
        <v>0</v>
      </c>
      <c r="N1676">
        <v>20.190000000000001</v>
      </c>
      <c r="P1676" t="s">
        <v>148</v>
      </c>
    </row>
    <row r="1677" spans="1:16" x14ac:dyDescent="0.25">
      <c r="A1677" s="39">
        <v>45422</v>
      </c>
      <c r="B1677" t="s">
        <v>89</v>
      </c>
      <c r="C1677" t="s">
        <v>6</v>
      </c>
      <c r="D1677" t="s">
        <v>176</v>
      </c>
      <c r="E1677" t="s">
        <v>398</v>
      </c>
      <c r="F1677" t="s">
        <v>90</v>
      </c>
      <c r="G1677" t="s">
        <v>138</v>
      </c>
      <c r="H1677" s="9">
        <v>21</v>
      </c>
      <c r="I1677" t="s">
        <v>65</v>
      </c>
      <c r="J1677">
        <v>0</v>
      </c>
      <c r="K1677">
        <v>0</v>
      </c>
      <c r="L1677">
        <v>0</v>
      </c>
      <c r="M1677">
        <v>0</v>
      </c>
      <c r="N1677">
        <v>17.670000000000002</v>
      </c>
      <c r="O1677" t="s">
        <v>301</v>
      </c>
      <c r="P1677" t="s">
        <v>186</v>
      </c>
    </row>
    <row r="1678" spans="1:16" x14ac:dyDescent="0.25">
      <c r="A1678" s="39">
        <v>45422</v>
      </c>
      <c r="B1678" t="s">
        <v>16</v>
      </c>
      <c r="C1678" t="s">
        <v>6</v>
      </c>
      <c r="D1678" t="s">
        <v>407</v>
      </c>
      <c r="E1678" t="s">
        <v>360</v>
      </c>
      <c r="F1678" t="s">
        <v>253</v>
      </c>
      <c r="G1678" t="s">
        <v>138</v>
      </c>
      <c r="H1678" s="9">
        <v>22</v>
      </c>
      <c r="I1678" t="s">
        <v>58</v>
      </c>
      <c r="J1678">
        <v>0</v>
      </c>
      <c r="K1678">
        <v>0</v>
      </c>
      <c r="L1678">
        <v>0</v>
      </c>
      <c r="M1678">
        <v>0</v>
      </c>
      <c r="N1678">
        <v>21.19</v>
      </c>
      <c r="P1678" t="s">
        <v>151</v>
      </c>
    </row>
    <row r="1679" spans="1:16" x14ac:dyDescent="0.25">
      <c r="A1679" s="39">
        <v>45422</v>
      </c>
      <c r="B1679" t="s">
        <v>88</v>
      </c>
      <c r="C1679" t="s">
        <v>6</v>
      </c>
      <c r="D1679" t="s">
        <v>311</v>
      </c>
      <c r="E1679" t="s">
        <v>60</v>
      </c>
      <c r="F1679" t="s">
        <v>253</v>
      </c>
      <c r="G1679" t="s">
        <v>138</v>
      </c>
      <c r="H1679" s="9">
        <v>23</v>
      </c>
      <c r="J1679">
        <v>0</v>
      </c>
      <c r="K1679">
        <v>0</v>
      </c>
      <c r="L1679">
        <v>0</v>
      </c>
      <c r="M1679">
        <v>0</v>
      </c>
      <c r="N1679">
        <v>38.44</v>
      </c>
      <c r="P1679" t="s">
        <v>154</v>
      </c>
    </row>
    <row r="1680" spans="1:16" x14ac:dyDescent="0.25">
      <c r="A1680" s="39">
        <v>45422</v>
      </c>
      <c r="B1680" t="s">
        <v>17</v>
      </c>
      <c r="C1680" t="s">
        <v>6</v>
      </c>
      <c r="D1680" t="s">
        <v>272</v>
      </c>
      <c r="E1680" t="s">
        <v>275</v>
      </c>
      <c r="F1680" t="s">
        <v>276</v>
      </c>
      <c r="G1680" t="s">
        <v>138</v>
      </c>
      <c r="H1680" s="9">
        <v>24</v>
      </c>
      <c r="I1680" t="s">
        <v>58</v>
      </c>
      <c r="J1680">
        <v>0</v>
      </c>
      <c r="K1680">
        <v>0</v>
      </c>
      <c r="L1680">
        <v>0</v>
      </c>
      <c r="M1680">
        <v>0</v>
      </c>
      <c r="N1680">
        <v>20.56</v>
      </c>
      <c r="P1680" t="s">
        <v>151</v>
      </c>
    </row>
    <row r="1681" spans="1:16" x14ac:dyDescent="0.25">
      <c r="A1681" s="39">
        <v>45422</v>
      </c>
      <c r="B1681" t="s">
        <v>19</v>
      </c>
      <c r="C1681" t="s">
        <v>6</v>
      </c>
      <c r="D1681" t="s">
        <v>343</v>
      </c>
      <c r="E1681" t="s">
        <v>81</v>
      </c>
      <c r="F1681" t="s">
        <v>253</v>
      </c>
      <c r="G1681" t="s">
        <v>138</v>
      </c>
      <c r="H1681" s="9">
        <v>25</v>
      </c>
      <c r="I1681" t="s">
        <v>65</v>
      </c>
      <c r="J1681">
        <v>0</v>
      </c>
      <c r="K1681">
        <v>0</v>
      </c>
      <c r="L1681">
        <v>0</v>
      </c>
      <c r="M1681">
        <v>0</v>
      </c>
      <c r="N1681">
        <v>41.06</v>
      </c>
      <c r="P1681" t="s">
        <v>151</v>
      </c>
    </row>
    <row r="1682" spans="1:16" x14ac:dyDescent="0.25">
      <c r="A1682" s="39">
        <v>45422</v>
      </c>
      <c r="B1682" t="s">
        <v>18</v>
      </c>
      <c r="C1682" t="s">
        <v>6</v>
      </c>
      <c r="D1682" t="s">
        <v>268</v>
      </c>
      <c r="E1682" t="s">
        <v>408</v>
      </c>
      <c r="F1682" t="s">
        <v>253</v>
      </c>
      <c r="G1682" t="s">
        <v>138</v>
      </c>
      <c r="H1682" s="9">
        <v>26</v>
      </c>
      <c r="I1682" t="s">
        <v>58</v>
      </c>
      <c r="J1682">
        <v>0</v>
      </c>
      <c r="K1682">
        <v>0</v>
      </c>
      <c r="L1682">
        <v>0</v>
      </c>
      <c r="M1682">
        <v>0</v>
      </c>
      <c r="N1682">
        <v>18.89</v>
      </c>
      <c r="P1682" t="s">
        <v>148</v>
      </c>
    </row>
    <row r="1683" spans="1:16" x14ac:dyDescent="0.25">
      <c r="A1683" s="39">
        <v>45422</v>
      </c>
      <c r="B1683" t="s">
        <v>87</v>
      </c>
      <c r="C1683" t="s">
        <v>6</v>
      </c>
      <c r="G1683" t="s">
        <v>138</v>
      </c>
      <c r="H1683" s="9">
        <v>27</v>
      </c>
      <c r="J1683">
        <v>0</v>
      </c>
      <c r="K1683">
        <v>0</v>
      </c>
      <c r="L1683">
        <v>0</v>
      </c>
      <c r="M1683">
        <v>0</v>
      </c>
      <c r="N1683">
        <v>41146219</v>
      </c>
    </row>
    <row r="1684" spans="1:16" x14ac:dyDescent="0.25">
      <c r="A1684" s="39">
        <v>45422</v>
      </c>
      <c r="B1684" t="s">
        <v>42</v>
      </c>
      <c r="C1684" t="s">
        <v>6</v>
      </c>
      <c r="D1684" t="s">
        <v>246</v>
      </c>
      <c r="E1684" t="s">
        <v>81</v>
      </c>
      <c r="F1684" t="s">
        <v>285</v>
      </c>
      <c r="G1684" t="s">
        <v>138</v>
      </c>
      <c r="H1684" s="9">
        <v>28</v>
      </c>
      <c r="I1684" t="s">
        <v>58</v>
      </c>
      <c r="J1684">
        <v>0</v>
      </c>
      <c r="K1684">
        <v>0</v>
      </c>
      <c r="L1684">
        <v>0</v>
      </c>
      <c r="M1684">
        <v>0</v>
      </c>
      <c r="N1684">
        <v>20.7</v>
      </c>
      <c r="P1684" t="s">
        <v>148</v>
      </c>
    </row>
    <row r="1685" spans="1:16" x14ac:dyDescent="0.25">
      <c r="A1685" s="39">
        <v>45422</v>
      </c>
      <c r="B1685" t="s">
        <v>86</v>
      </c>
      <c r="C1685" t="s">
        <v>6</v>
      </c>
      <c r="D1685" t="s">
        <v>271</v>
      </c>
      <c r="E1685" t="s">
        <v>275</v>
      </c>
      <c r="F1685" t="s">
        <v>276</v>
      </c>
      <c r="G1685" t="s">
        <v>138</v>
      </c>
      <c r="H1685" s="9">
        <v>29</v>
      </c>
      <c r="I1685" t="s">
        <v>65</v>
      </c>
      <c r="J1685">
        <v>0</v>
      </c>
      <c r="K1685">
        <v>0</v>
      </c>
      <c r="L1685">
        <v>0</v>
      </c>
      <c r="M1685">
        <v>0</v>
      </c>
      <c r="N1685">
        <v>41.64</v>
      </c>
      <c r="O1685" t="s">
        <v>290</v>
      </c>
      <c r="P1685" t="s">
        <v>152</v>
      </c>
    </row>
    <row r="1686" spans="1:16" x14ac:dyDescent="0.25">
      <c r="A1686" s="39">
        <v>45422</v>
      </c>
      <c r="B1686" t="s">
        <v>38</v>
      </c>
      <c r="C1686" t="s">
        <v>6</v>
      </c>
      <c r="D1686" t="s">
        <v>141</v>
      </c>
      <c r="E1686" t="s">
        <v>81</v>
      </c>
      <c r="F1686" t="s">
        <v>285</v>
      </c>
      <c r="G1686" t="s">
        <v>138</v>
      </c>
      <c r="H1686" s="9" t="s">
        <v>85</v>
      </c>
      <c r="I1686" t="s">
        <v>58</v>
      </c>
      <c r="J1686">
        <v>0</v>
      </c>
      <c r="K1686">
        <v>0</v>
      </c>
      <c r="L1686">
        <v>0</v>
      </c>
      <c r="M1686">
        <v>0</v>
      </c>
      <c r="N1686">
        <v>37.5</v>
      </c>
      <c r="P1686" t="s">
        <v>151</v>
      </c>
    </row>
    <row r="1687" spans="1:16" x14ac:dyDescent="0.25">
      <c r="A1687" s="39">
        <v>45422</v>
      </c>
      <c r="B1687" t="s">
        <v>83</v>
      </c>
      <c r="C1687" t="s">
        <v>6</v>
      </c>
      <c r="G1687" t="s">
        <v>138</v>
      </c>
      <c r="H1687" s="9" t="s">
        <v>84</v>
      </c>
      <c r="J1687">
        <v>0</v>
      </c>
      <c r="K1687">
        <v>0</v>
      </c>
      <c r="L1687">
        <v>0</v>
      </c>
      <c r="M1687">
        <v>0</v>
      </c>
      <c r="N1687">
        <v>41.36</v>
      </c>
    </row>
    <row r="1688" spans="1:16" x14ac:dyDescent="0.25">
      <c r="A1688" s="39">
        <v>45422</v>
      </c>
      <c r="B1688" t="s">
        <v>20</v>
      </c>
      <c r="C1688" t="s">
        <v>6</v>
      </c>
      <c r="D1688" t="s">
        <v>351</v>
      </c>
      <c r="E1688" t="s">
        <v>352</v>
      </c>
      <c r="F1688" t="s">
        <v>285</v>
      </c>
      <c r="G1688" t="s">
        <v>138</v>
      </c>
      <c r="H1688" s="9" t="s">
        <v>82</v>
      </c>
      <c r="I1688" t="s">
        <v>58</v>
      </c>
      <c r="J1688">
        <v>0</v>
      </c>
      <c r="K1688">
        <v>0</v>
      </c>
      <c r="L1688">
        <v>0</v>
      </c>
      <c r="M1688">
        <v>0</v>
      </c>
      <c r="N1688">
        <v>22.79</v>
      </c>
      <c r="P1688" t="s">
        <v>151</v>
      </c>
    </row>
    <row r="1689" spans="1:16" x14ac:dyDescent="0.25">
      <c r="A1689" s="39">
        <v>45422</v>
      </c>
      <c r="B1689" t="s">
        <v>21</v>
      </c>
      <c r="C1689" t="s">
        <v>6</v>
      </c>
      <c r="D1689" t="s">
        <v>291</v>
      </c>
      <c r="E1689" t="s">
        <v>352</v>
      </c>
      <c r="F1689" t="s">
        <v>285</v>
      </c>
      <c r="G1689" t="s">
        <v>138</v>
      </c>
      <c r="H1689" s="9" t="s">
        <v>80</v>
      </c>
      <c r="I1689" t="s">
        <v>65</v>
      </c>
      <c r="J1689">
        <v>0</v>
      </c>
      <c r="K1689">
        <v>0</v>
      </c>
      <c r="L1689">
        <v>0</v>
      </c>
      <c r="M1689">
        <v>0</v>
      </c>
      <c r="N1689">
        <v>21.59</v>
      </c>
      <c r="P1689" t="s">
        <v>152</v>
      </c>
    </row>
    <row r="1690" spans="1:16" x14ac:dyDescent="0.25">
      <c r="A1690" s="39">
        <v>45422</v>
      </c>
      <c r="B1690" t="s">
        <v>22</v>
      </c>
      <c r="C1690" t="s">
        <v>6</v>
      </c>
      <c r="D1690" t="s">
        <v>353</v>
      </c>
      <c r="E1690" t="s">
        <v>352</v>
      </c>
      <c r="F1690" t="s">
        <v>285</v>
      </c>
      <c r="G1690" t="s">
        <v>138</v>
      </c>
      <c r="H1690" s="9" t="s">
        <v>79</v>
      </c>
      <c r="I1690" t="s">
        <v>58</v>
      </c>
      <c r="J1690">
        <v>0</v>
      </c>
      <c r="K1690">
        <v>0</v>
      </c>
      <c r="L1690">
        <v>0</v>
      </c>
      <c r="M1690">
        <v>0</v>
      </c>
      <c r="N1690">
        <v>13.62</v>
      </c>
      <c r="P1690" t="s">
        <v>148</v>
      </c>
    </row>
    <row r="1691" spans="1:16" x14ac:dyDescent="0.25">
      <c r="A1691" s="39">
        <v>45422</v>
      </c>
      <c r="B1691" t="s">
        <v>77</v>
      </c>
      <c r="C1691" t="s">
        <v>6</v>
      </c>
      <c r="G1691" t="s">
        <v>138</v>
      </c>
      <c r="H1691" s="9" t="s">
        <v>78</v>
      </c>
      <c r="J1691">
        <v>0</v>
      </c>
      <c r="K1691">
        <v>0</v>
      </c>
      <c r="L1691">
        <v>0</v>
      </c>
      <c r="M1691">
        <v>0</v>
      </c>
      <c r="N1691">
        <v>17.88</v>
      </c>
    </row>
    <row r="1692" spans="1:16" x14ac:dyDescent="0.25">
      <c r="A1692" s="39">
        <v>45422</v>
      </c>
      <c r="B1692" t="s">
        <v>23</v>
      </c>
      <c r="C1692" t="s">
        <v>6</v>
      </c>
      <c r="D1692" t="s">
        <v>409</v>
      </c>
      <c r="E1692" t="s">
        <v>352</v>
      </c>
      <c r="F1692" t="s">
        <v>285</v>
      </c>
      <c r="G1692" t="s">
        <v>138</v>
      </c>
      <c r="H1692" s="9">
        <v>30</v>
      </c>
      <c r="I1692" t="s">
        <v>58</v>
      </c>
      <c r="J1692">
        <v>0</v>
      </c>
      <c r="K1692">
        <v>0</v>
      </c>
      <c r="L1692">
        <v>0</v>
      </c>
      <c r="M1692">
        <v>0</v>
      </c>
      <c r="N1692">
        <v>23.22</v>
      </c>
      <c r="P1692" t="s">
        <v>148</v>
      </c>
    </row>
    <row r="1693" spans="1:16" x14ac:dyDescent="0.25">
      <c r="A1693" s="39">
        <v>45422</v>
      </c>
      <c r="B1693" t="s">
        <v>24</v>
      </c>
      <c r="C1693" t="s">
        <v>6</v>
      </c>
      <c r="D1693" t="s">
        <v>344</v>
      </c>
      <c r="E1693" t="s">
        <v>379</v>
      </c>
      <c r="F1693" t="s">
        <v>253</v>
      </c>
      <c r="G1693" t="s">
        <v>138</v>
      </c>
      <c r="H1693" s="9">
        <v>31</v>
      </c>
      <c r="I1693" t="s">
        <v>65</v>
      </c>
      <c r="J1693">
        <v>0</v>
      </c>
      <c r="K1693">
        <v>0</v>
      </c>
      <c r="L1693">
        <v>0</v>
      </c>
      <c r="M1693">
        <v>0</v>
      </c>
      <c r="N1693">
        <v>18.37</v>
      </c>
      <c r="O1693" t="s">
        <v>363</v>
      </c>
      <c r="P1693" t="s">
        <v>152</v>
      </c>
    </row>
    <row r="1694" spans="1:16" x14ac:dyDescent="0.25">
      <c r="A1694" s="39">
        <v>45422</v>
      </c>
      <c r="B1694" t="s">
        <v>75</v>
      </c>
      <c r="C1694" t="s">
        <v>6</v>
      </c>
      <c r="D1694" t="s">
        <v>410</v>
      </c>
      <c r="E1694" t="s">
        <v>202</v>
      </c>
      <c r="F1694" t="s">
        <v>346</v>
      </c>
      <c r="G1694" t="s">
        <v>138</v>
      </c>
      <c r="H1694" s="9">
        <v>32</v>
      </c>
      <c r="I1694" t="s">
        <v>58</v>
      </c>
      <c r="J1694">
        <v>0</v>
      </c>
      <c r="K1694">
        <v>0</v>
      </c>
      <c r="L1694">
        <v>0</v>
      </c>
      <c r="M1694">
        <v>0</v>
      </c>
      <c r="N1694">
        <v>12.9</v>
      </c>
      <c r="O1694" t="s">
        <v>248</v>
      </c>
      <c r="P1694" t="s">
        <v>303</v>
      </c>
    </row>
    <row r="1695" spans="1:16" x14ac:dyDescent="0.25">
      <c r="A1695" s="39">
        <v>45422</v>
      </c>
      <c r="B1695" t="s">
        <v>25</v>
      </c>
      <c r="C1695" t="s">
        <v>6</v>
      </c>
      <c r="D1695" t="s">
        <v>383</v>
      </c>
      <c r="E1695" t="s">
        <v>81</v>
      </c>
      <c r="F1695" t="s">
        <v>285</v>
      </c>
      <c r="G1695" t="s">
        <v>138</v>
      </c>
      <c r="H1695" s="9">
        <v>33</v>
      </c>
      <c r="I1695" t="s">
        <v>65</v>
      </c>
      <c r="J1695">
        <v>0</v>
      </c>
      <c r="K1695">
        <v>0</v>
      </c>
      <c r="L1695">
        <v>0</v>
      </c>
      <c r="M1695">
        <v>0</v>
      </c>
      <c r="N1695">
        <v>12.16</v>
      </c>
      <c r="P1695" t="s">
        <v>148</v>
      </c>
    </row>
    <row r="1696" spans="1:16" x14ac:dyDescent="0.25">
      <c r="A1696" s="39">
        <v>45422</v>
      </c>
      <c r="B1696" t="s">
        <v>74</v>
      </c>
      <c r="C1696" t="s">
        <v>6</v>
      </c>
      <c r="D1696" t="s">
        <v>292</v>
      </c>
      <c r="E1696" t="s">
        <v>60</v>
      </c>
      <c r="F1696" t="s">
        <v>346</v>
      </c>
      <c r="G1696" t="s">
        <v>138</v>
      </c>
      <c r="H1696" s="9">
        <v>34</v>
      </c>
      <c r="I1696" t="s">
        <v>58</v>
      </c>
      <c r="J1696">
        <v>0</v>
      </c>
      <c r="K1696">
        <v>0</v>
      </c>
      <c r="L1696">
        <v>0</v>
      </c>
      <c r="M1696">
        <v>0</v>
      </c>
      <c r="N1696">
        <v>15.61</v>
      </c>
      <c r="O1696" t="s">
        <v>421</v>
      </c>
      <c r="P1696" t="s">
        <v>293</v>
      </c>
    </row>
    <row r="1697" spans="1:16" x14ac:dyDescent="0.25">
      <c r="A1697" s="39">
        <v>45422</v>
      </c>
      <c r="B1697" t="s">
        <v>26</v>
      </c>
      <c r="C1697" t="s">
        <v>6</v>
      </c>
      <c r="D1697" t="s">
        <v>294</v>
      </c>
      <c r="E1697" t="s">
        <v>56</v>
      </c>
      <c r="F1697" t="s">
        <v>184</v>
      </c>
      <c r="G1697" t="s">
        <v>138</v>
      </c>
      <c r="H1697" s="9">
        <v>35</v>
      </c>
      <c r="I1697" t="s">
        <v>65</v>
      </c>
      <c r="J1697">
        <v>0</v>
      </c>
      <c r="K1697">
        <v>0</v>
      </c>
      <c r="L1697">
        <v>0</v>
      </c>
      <c r="M1697">
        <v>0</v>
      </c>
      <c r="N1697">
        <v>13.29</v>
      </c>
      <c r="O1697" t="s">
        <v>337</v>
      </c>
      <c r="P1697" t="s">
        <v>155</v>
      </c>
    </row>
    <row r="1698" spans="1:16" x14ac:dyDescent="0.25">
      <c r="A1698" s="39">
        <v>45422</v>
      </c>
      <c r="B1698" t="s">
        <v>27</v>
      </c>
      <c r="C1698" t="s">
        <v>6</v>
      </c>
      <c r="D1698" t="s">
        <v>384</v>
      </c>
      <c r="E1698" t="s">
        <v>366</v>
      </c>
      <c r="F1698" t="s">
        <v>346</v>
      </c>
      <c r="G1698" t="s">
        <v>138</v>
      </c>
      <c r="H1698" s="9">
        <v>36</v>
      </c>
      <c r="I1698" t="s">
        <v>58</v>
      </c>
      <c r="J1698">
        <v>0</v>
      </c>
      <c r="K1698">
        <v>0</v>
      </c>
      <c r="L1698">
        <v>0</v>
      </c>
      <c r="M1698">
        <v>0</v>
      </c>
      <c r="N1698">
        <v>13.89</v>
      </c>
      <c r="P1698" t="s">
        <v>269</v>
      </c>
    </row>
    <row r="1699" spans="1:16" x14ac:dyDescent="0.25">
      <c r="A1699" s="39">
        <v>45422</v>
      </c>
      <c r="B1699" t="s">
        <v>28</v>
      </c>
      <c r="C1699" t="s">
        <v>6</v>
      </c>
      <c r="D1699" t="s">
        <v>411</v>
      </c>
      <c r="E1699" t="s">
        <v>56</v>
      </c>
      <c r="F1699" t="s">
        <v>338</v>
      </c>
      <c r="G1699" t="s">
        <v>138</v>
      </c>
      <c r="H1699" s="9">
        <v>37</v>
      </c>
      <c r="I1699" t="s">
        <v>65</v>
      </c>
      <c r="J1699">
        <v>0</v>
      </c>
      <c r="K1699">
        <v>0</v>
      </c>
      <c r="L1699">
        <v>0</v>
      </c>
      <c r="M1699">
        <v>0</v>
      </c>
      <c r="N1699">
        <v>13.9</v>
      </c>
      <c r="O1699" t="s">
        <v>412</v>
      </c>
      <c r="P1699" t="s">
        <v>155</v>
      </c>
    </row>
    <row r="1700" spans="1:16" x14ac:dyDescent="0.25">
      <c r="A1700" s="39">
        <v>45422</v>
      </c>
      <c r="B1700" t="s">
        <v>72</v>
      </c>
      <c r="C1700" t="s">
        <v>6</v>
      </c>
      <c r="D1700" t="s">
        <v>322</v>
      </c>
      <c r="E1700" t="s">
        <v>202</v>
      </c>
      <c r="F1700" t="s">
        <v>346</v>
      </c>
      <c r="G1700" t="s">
        <v>138</v>
      </c>
      <c r="H1700" s="9">
        <v>38</v>
      </c>
      <c r="I1700" t="s">
        <v>58</v>
      </c>
      <c r="J1700">
        <v>0</v>
      </c>
      <c r="K1700">
        <v>0</v>
      </c>
      <c r="L1700">
        <v>0</v>
      </c>
      <c r="M1700">
        <v>0</v>
      </c>
      <c r="N1700">
        <v>15.45</v>
      </c>
      <c r="O1700" t="s">
        <v>248</v>
      </c>
      <c r="P1700" t="s">
        <v>157</v>
      </c>
    </row>
    <row r="1701" spans="1:16" x14ac:dyDescent="0.25">
      <c r="A1701" s="39">
        <v>45422</v>
      </c>
      <c r="B1701" t="s">
        <v>29</v>
      </c>
      <c r="C1701" t="s">
        <v>6</v>
      </c>
      <c r="D1701" t="s">
        <v>315</v>
      </c>
      <c r="E1701" t="s">
        <v>56</v>
      </c>
      <c r="F1701" t="s">
        <v>338</v>
      </c>
      <c r="G1701" t="s">
        <v>138</v>
      </c>
      <c r="H1701" s="9">
        <v>39</v>
      </c>
      <c r="I1701" t="s">
        <v>65</v>
      </c>
      <c r="J1701">
        <v>0</v>
      </c>
      <c r="K1701">
        <v>0</v>
      </c>
      <c r="L1701">
        <v>0</v>
      </c>
      <c r="M1701">
        <v>0</v>
      </c>
      <c r="N1701">
        <v>13.98</v>
      </c>
      <c r="O1701" t="s">
        <v>412</v>
      </c>
      <c r="P1701" t="s">
        <v>156</v>
      </c>
    </row>
    <row r="1702" spans="1:16" x14ac:dyDescent="0.25">
      <c r="A1702" s="39">
        <v>45422</v>
      </c>
      <c r="B1702" t="s">
        <v>30</v>
      </c>
      <c r="C1702" t="s">
        <v>6</v>
      </c>
      <c r="D1702" t="s">
        <v>305</v>
      </c>
      <c r="E1702" t="s">
        <v>81</v>
      </c>
      <c r="F1702" t="s">
        <v>90</v>
      </c>
      <c r="G1702" t="s">
        <v>138</v>
      </c>
      <c r="H1702" s="9" t="s">
        <v>71</v>
      </c>
      <c r="I1702" t="s">
        <v>58</v>
      </c>
      <c r="J1702">
        <v>0</v>
      </c>
      <c r="K1702">
        <v>0</v>
      </c>
      <c r="L1702">
        <v>0</v>
      </c>
      <c r="M1702">
        <v>0</v>
      </c>
      <c r="N1702">
        <v>10.84</v>
      </c>
      <c r="P1702" t="s">
        <v>150</v>
      </c>
    </row>
    <row r="1703" spans="1:16" x14ac:dyDescent="0.25">
      <c r="A1703" s="39">
        <v>45422</v>
      </c>
      <c r="B1703" t="s">
        <v>31</v>
      </c>
      <c r="C1703" t="s">
        <v>6</v>
      </c>
      <c r="E1703" t="s">
        <v>56</v>
      </c>
      <c r="G1703" t="s">
        <v>138</v>
      </c>
      <c r="H1703" s="9" t="s">
        <v>70</v>
      </c>
      <c r="I1703" t="s">
        <v>65</v>
      </c>
      <c r="J1703">
        <v>0</v>
      </c>
      <c r="K1703">
        <v>0</v>
      </c>
      <c r="L1703">
        <v>0</v>
      </c>
      <c r="M1703">
        <v>0</v>
      </c>
      <c r="N1703">
        <v>13.5</v>
      </c>
      <c r="O1703" t="s">
        <v>250</v>
      </c>
      <c r="P1703" t="s">
        <v>156</v>
      </c>
    </row>
    <row r="1704" spans="1:16" x14ac:dyDescent="0.25">
      <c r="A1704" s="39">
        <v>45422</v>
      </c>
      <c r="B1704" t="s">
        <v>32</v>
      </c>
      <c r="C1704" t="s">
        <v>6</v>
      </c>
      <c r="D1704" t="s">
        <v>413</v>
      </c>
      <c r="E1704" t="s">
        <v>202</v>
      </c>
      <c r="F1704" t="s">
        <v>346</v>
      </c>
      <c r="G1704" t="s">
        <v>138</v>
      </c>
      <c r="H1704" s="9" t="s">
        <v>69</v>
      </c>
      <c r="I1704" t="s">
        <v>58</v>
      </c>
      <c r="J1704">
        <v>0</v>
      </c>
      <c r="K1704">
        <v>0</v>
      </c>
      <c r="L1704">
        <v>0</v>
      </c>
      <c r="M1704">
        <v>0</v>
      </c>
      <c r="N1704">
        <v>14.39</v>
      </c>
      <c r="P1704" t="s">
        <v>414</v>
      </c>
    </row>
    <row r="1705" spans="1:16" x14ac:dyDescent="0.25">
      <c r="A1705" s="39">
        <v>45422</v>
      </c>
      <c r="B1705" t="s">
        <v>67</v>
      </c>
      <c r="C1705" t="s">
        <v>6</v>
      </c>
      <c r="D1705" t="s">
        <v>354</v>
      </c>
      <c r="E1705" t="s">
        <v>56</v>
      </c>
      <c r="F1705" t="s">
        <v>367</v>
      </c>
      <c r="G1705" t="s">
        <v>138</v>
      </c>
      <c r="H1705" s="9" t="s">
        <v>68</v>
      </c>
      <c r="I1705" t="s">
        <v>65</v>
      </c>
      <c r="J1705">
        <v>0</v>
      </c>
      <c r="K1705">
        <v>0</v>
      </c>
      <c r="L1705">
        <v>0</v>
      </c>
      <c r="M1705">
        <v>0</v>
      </c>
      <c r="N1705">
        <v>13.8</v>
      </c>
      <c r="P1705" t="s">
        <v>156</v>
      </c>
    </row>
    <row r="1706" spans="1:16" x14ac:dyDescent="0.25">
      <c r="A1706" s="39">
        <v>45422</v>
      </c>
      <c r="B1706" t="s">
        <v>33</v>
      </c>
      <c r="C1706" t="s">
        <v>6</v>
      </c>
      <c r="D1706" t="s">
        <v>277</v>
      </c>
      <c r="E1706" t="s">
        <v>73</v>
      </c>
      <c r="F1706" t="s">
        <v>346</v>
      </c>
      <c r="G1706" t="s">
        <v>138</v>
      </c>
      <c r="H1706" s="9" t="s">
        <v>66</v>
      </c>
      <c r="I1706" t="s">
        <v>58</v>
      </c>
      <c r="J1706">
        <v>0</v>
      </c>
      <c r="K1706">
        <v>0</v>
      </c>
      <c r="L1706">
        <v>0</v>
      </c>
      <c r="M1706">
        <v>0</v>
      </c>
      <c r="N1706">
        <v>14.19</v>
      </c>
      <c r="P1706" t="s">
        <v>201</v>
      </c>
    </row>
    <row r="1707" spans="1:16" x14ac:dyDescent="0.25">
      <c r="A1707" s="39">
        <v>45422</v>
      </c>
      <c r="B1707" t="s">
        <v>34</v>
      </c>
      <c r="C1707" t="s">
        <v>6</v>
      </c>
      <c r="D1707" t="s">
        <v>415</v>
      </c>
      <c r="E1707" t="s">
        <v>56</v>
      </c>
      <c r="F1707" t="s">
        <v>346</v>
      </c>
      <c r="G1707" t="s">
        <v>138</v>
      </c>
      <c r="H1707" s="9" t="s">
        <v>64</v>
      </c>
      <c r="I1707" t="s">
        <v>65</v>
      </c>
      <c r="J1707">
        <v>0</v>
      </c>
      <c r="K1707">
        <v>0</v>
      </c>
      <c r="L1707">
        <v>0</v>
      </c>
      <c r="M1707">
        <v>0</v>
      </c>
      <c r="N1707">
        <v>15.6</v>
      </c>
      <c r="P1707" t="s">
        <v>416</v>
      </c>
    </row>
    <row r="1708" spans="1:16" x14ac:dyDescent="0.25">
      <c r="A1708" s="39">
        <v>45422</v>
      </c>
      <c r="B1708" t="s">
        <v>35</v>
      </c>
      <c r="C1708" t="s">
        <v>6</v>
      </c>
      <c r="D1708" t="s">
        <v>331</v>
      </c>
      <c r="E1708" t="s">
        <v>60</v>
      </c>
      <c r="F1708" t="s">
        <v>346</v>
      </c>
      <c r="G1708" t="s">
        <v>138</v>
      </c>
      <c r="H1708" s="9">
        <v>40</v>
      </c>
      <c r="I1708" t="s">
        <v>58</v>
      </c>
      <c r="J1708">
        <v>0</v>
      </c>
      <c r="K1708">
        <v>0</v>
      </c>
      <c r="L1708">
        <v>0</v>
      </c>
      <c r="M1708">
        <v>0</v>
      </c>
      <c r="N1708">
        <v>14.64</v>
      </c>
      <c r="O1708" t="s">
        <v>248</v>
      </c>
      <c r="P1708" t="s">
        <v>158</v>
      </c>
    </row>
    <row r="1709" spans="1:16" x14ac:dyDescent="0.25">
      <c r="A1709" s="39">
        <v>45422</v>
      </c>
      <c r="B1709" t="s">
        <v>418</v>
      </c>
      <c r="C1709" t="s">
        <v>6</v>
      </c>
      <c r="G1709" t="s">
        <v>138</v>
      </c>
      <c r="H1709" s="9">
        <v>43</v>
      </c>
      <c r="I1709" t="s">
        <v>262</v>
      </c>
      <c r="J1709">
        <v>0</v>
      </c>
      <c r="K1709">
        <v>0</v>
      </c>
      <c r="L1709">
        <v>0</v>
      </c>
      <c r="M1709">
        <v>0</v>
      </c>
      <c r="N1709">
        <v>17.670000000000002</v>
      </c>
    </row>
    <row r="1710" spans="1:16" x14ac:dyDescent="0.25">
      <c r="A1710" s="39">
        <v>45422</v>
      </c>
      <c r="B1710" t="s">
        <v>419</v>
      </c>
      <c r="C1710" t="s">
        <v>6</v>
      </c>
      <c r="G1710" t="s">
        <v>138</v>
      </c>
      <c r="H1710" s="9">
        <v>43</v>
      </c>
      <c r="I1710" t="s">
        <v>262</v>
      </c>
      <c r="J1710">
        <v>0</v>
      </c>
      <c r="K1710">
        <v>0</v>
      </c>
      <c r="L1710">
        <v>0</v>
      </c>
      <c r="M1710">
        <v>0</v>
      </c>
      <c r="N1710">
        <v>13.49</v>
      </c>
    </row>
    <row r="1711" spans="1:16" x14ac:dyDescent="0.25">
      <c r="A1711" s="39">
        <v>45422</v>
      </c>
      <c r="B1711" t="s">
        <v>36</v>
      </c>
      <c r="C1711" t="s">
        <v>6</v>
      </c>
      <c r="D1711" t="s">
        <v>295</v>
      </c>
      <c r="E1711" t="s">
        <v>81</v>
      </c>
      <c r="F1711" t="s">
        <v>369</v>
      </c>
      <c r="G1711" t="s">
        <v>138</v>
      </c>
      <c r="H1711" s="9">
        <v>66</v>
      </c>
      <c r="I1711" t="s">
        <v>58</v>
      </c>
      <c r="J1711">
        <v>0</v>
      </c>
      <c r="K1711">
        <v>0</v>
      </c>
      <c r="L1711">
        <v>0</v>
      </c>
      <c r="M1711">
        <v>0</v>
      </c>
      <c r="N1711">
        <v>38472557</v>
      </c>
      <c r="O1711" t="s">
        <v>424</v>
      </c>
      <c r="P1711" t="s">
        <v>156</v>
      </c>
    </row>
    <row r="1712" spans="1:16" x14ac:dyDescent="0.25">
      <c r="A1712" s="39">
        <v>45422</v>
      </c>
      <c r="B1712" t="s">
        <v>256</v>
      </c>
      <c r="C1712" t="s">
        <v>6</v>
      </c>
      <c r="D1712" t="s">
        <v>392</v>
      </c>
      <c r="E1712" t="s">
        <v>417</v>
      </c>
      <c r="F1712" t="s">
        <v>192</v>
      </c>
      <c r="G1712" t="s">
        <v>138</v>
      </c>
      <c r="H1712" s="9"/>
      <c r="I1712" t="s">
        <v>262</v>
      </c>
      <c r="J1712">
        <v>0</v>
      </c>
      <c r="K1712">
        <v>0</v>
      </c>
      <c r="L1712">
        <v>0</v>
      </c>
      <c r="M1712">
        <v>0</v>
      </c>
      <c r="N1712">
        <v>0</v>
      </c>
      <c r="P1712" t="s">
        <v>149</v>
      </c>
    </row>
    <row r="1713" spans="1:16" x14ac:dyDescent="0.25">
      <c r="A1713" s="39">
        <v>45422</v>
      </c>
      <c r="B1713" t="s">
        <v>257</v>
      </c>
      <c r="C1713" t="s">
        <v>6</v>
      </c>
      <c r="D1713" t="s">
        <v>392</v>
      </c>
      <c r="E1713" t="s">
        <v>417</v>
      </c>
      <c r="F1713" t="s">
        <v>192</v>
      </c>
      <c r="G1713" t="s">
        <v>138</v>
      </c>
      <c r="H1713" s="9"/>
      <c r="I1713" t="s">
        <v>58</v>
      </c>
      <c r="J1713">
        <v>0</v>
      </c>
      <c r="K1713">
        <v>0</v>
      </c>
      <c r="L1713">
        <v>0</v>
      </c>
      <c r="M1713">
        <v>0</v>
      </c>
      <c r="N1713">
        <v>38.46</v>
      </c>
      <c r="O1713" t="s">
        <v>400</v>
      </c>
      <c r="P1713" t="s">
        <v>149</v>
      </c>
    </row>
    <row r="1714" spans="1:16" x14ac:dyDescent="0.25">
      <c r="A1714" s="39">
        <v>45422</v>
      </c>
      <c r="B1714" t="s">
        <v>37</v>
      </c>
      <c r="C1714" t="s">
        <v>6</v>
      </c>
      <c r="D1714" t="s">
        <v>347</v>
      </c>
      <c r="E1714" t="s">
        <v>348</v>
      </c>
      <c r="F1714" t="s">
        <v>346</v>
      </c>
      <c r="G1714" t="s">
        <v>138</v>
      </c>
      <c r="H1714" s="9">
        <v>68</v>
      </c>
      <c r="I1714" t="s">
        <v>58</v>
      </c>
      <c r="J1714">
        <v>0</v>
      </c>
      <c r="K1714">
        <v>0</v>
      </c>
      <c r="L1714">
        <v>0</v>
      </c>
      <c r="M1714">
        <v>0</v>
      </c>
      <c r="N1714">
        <v>13.5</v>
      </c>
      <c r="P1714" t="s">
        <v>270</v>
      </c>
    </row>
    <row r="1715" spans="1:16" x14ac:dyDescent="0.25">
      <c r="A1715" s="39">
        <v>45422</v>
      </c>
      <c r="B1715" t="s">
        <v>258</v>
      </c>
      <c r="C1715" t="s">
        <v>6</v>
      </c>
      <c r="G1715" t="s">
        <v>138</v>
      </c>
      <c r="H1715" s="9">
        <v>69</v>
      </c>
      <c r="I1715" t="s">
        <v>262</v>
      </c>
      <c r="J1715">
        <v>0</v>
      </c>
      <c r="K1715">
        <v>0</v>
      </c>
      <c r="L1715">
        <v>0</v>
      </c>
      <c r="M1715">
        <v>0</v>
      </c>
      <c r="N1715">
        <v>13.5</v>
      </c>
      <c r="O1715" t="s">
        <v>245</v>
      </c>
      <c r="P1715" t="s">
        <v>148</v>
      </c>
    </row>
    <row r="1716" spans="1:16" x14ac:dyDescent="0.25">
      <c r="A1716" s="39">
        <v>45422</v>
      </c>
      <c r="B1716" t="s">
        <v>259</v>
      </c>
      <c r="C1716" t="s">
        <v>6</v>
      </c>
      <c r="G1716" t="s">
        <v>138</v>
      </c>
      <c r="H1716" s="9">
        <v>69</v>
      </c>
      <c r="I1716" t="s">
        <v>262</v>
      </c>
      <c r="J1716">
        <v>0</v>
      </c>
      <c r="K1716">
        <v>0</v>
      </c>
      <c r="L1716">
        <v>0</v>
      </c>
      <c r="M1716">
        <v>0</v>
      </c>
      <c r="N1716">
        <v>41.06</v>
      </c>
      <c r="O1716" t="s">
        <v>245</v>
      </c>
      <c r="P1716" t="s">
        <v>148</v>
      </c>
    </row>
    <row r="1717" spans="1:16" x14ac:dyDescent="0.25">
      <c r="A1717" s="39">
        <v>45422</v>
      </c>
      <c r="B1717" t="s">
        <v>54</v>
      </c>
      <c r="C1717" t="s">
        <v>6</v>
      </c>
      <c r="D1717" t="s">
        <v>55</v>
      </c>
      <c r="E1717" t="s">
        <v>56</v>
      </c>
      <c r="F1717" t="s">
        <v>57</v>
      </c>
      <c r="G1717" t="s">
        <v>138</v>
      </c>
      <c r="H1717" s="9">
        <v>56</v>
      </c>
      <c r="I1717" t="s">
        <v>58</v>
      </c>
      <c r="J1717">
        <v>0</v>
      </c>
      <c r="K1717">
        <v>0</v>
      </c>
      <c r="L1717">
        <v>0</v>
      </c>
      <c r="M1717">
        <v>0</v>
      </c>
      <c r="N1717">
        <v>41.06</v>
      </c>
      <c r="P1717" t="s">
        <v>159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3D3590-EE27-47D1-822F-752E1A34A0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May</vt:lpstr>
      <vt:lpstr>June</vt:lpstr>
      <vt:lpstr>WholeDayAllCols</vt:lpstr>
      <vt:lpstr>Custom Data</vt:lpstr>
      <vt:lpstr>Custom Full</vt:lpstr>
      <vt:lpstr>ManualCpy</vt:lpstr>
      <vt:lpstr>Paste</vt:lpstr>
      <vt:lpstr>MissingDays</vt:lpstr>
    </vt:vector>
  </TitlesOfParts>
  <Company>Viva Media Packaging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Kong</dc:creator>
  <cp:lastModifiedBy>Nudam</cp:lastModifiedBy>
  <cp:lastPrinted>2023-06-06T19:08:01Z</cp:lastPrinted>
  <dcterms:created xsi:type="dcterms:W3CDTF">2022-05-11T20:12:40Z</dcterms:created>
  <dcterms:modified xsi:type="dcterms:W3CDTF">2024-05-11T17:41:33Z</dcterms:modified>
</cp:coreProperties>
</file>